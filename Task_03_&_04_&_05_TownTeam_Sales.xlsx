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tables/table1.xml" ContentType="application/vnd.openxmlformats-officedocument.spreadsheetml.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6.xml" ContentType="application/vnd.openxmlformats-officedocument.drawing+xml"/>
  <Override PartName="/xl/slicers/slicer4.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Aisha\Courses\Tech Mind\Data Analysis Diploma\Module Excel\Projects\Town Team Sales Analysis\"/>
    </mc:Choice>
  </mc:AlternateContent>
  <xr:revisionPtr revIDLastSave="0" documentId="13_ncr:1_{6F1A91EB-D440-4963-B704-CC54EF30322A}" xr6:coauthVersionLast="47" xr6:coauthVersionMax="47" xr10:uidLastSave="{00000000-0000-0000-0000-000000000000}"/>
  <bookViews>
    <workbookView xWindow="-108" yWindow="-108" windowWidth="23256" windowHeight="12456" activeTab="7" xr2:uid="{00000000-000D-0000-FFFF-FFFF00000000}"/>
  </bookViews>
  <sheets>
    <sheet name="Task_DB" sheetId="25" r:id="rId1"/>
    <sheet name="Task_PT" sheetId="21" r:id="rId2"/>
    <sheet name="Cleaned-data" sheetId="19" r:id="rId3"/>
    <sheet name="Sheet2" sheetId="14" state="hidden" r:id="rId4"/>
    <sheet name="new dash" sheetId="17" state="hidden" r:id="rId5"/>
    <sheet name="Raw-data" sheetId="1" r:id="rId6"/>
    <sheet name="Meta-data" sheetId="3" r:id="rId7"/>
    <sheet name="KPIS" sheetId="12" r:id="rId8"/>
    <sheet name="Questions" sheetId="6" r:id="rId9"/>
    <sheet name="Pivot tables" sheetId="7" state="hidden" r:id="rId10"/>
    <sheet name="Dashboard" sheetId="10" state="hidden" r:id="rId11"/>
  </sheets>
  <definedNames>
    <definedName name="Slicer_Category_name1">#N/A</definedName>
    <definedName name="Slicer_Year">#N/A</definedName>
    <definedName name="Slicer_year1">#N/A</definedName>
    <definedName name="Slicer_Years__Order_date1">#N/A</definedName>
  </definedNames>
  <calcPr calcId="191029"/>
  <pivotCaches>
    <pivotCache cacheId="0" r:id="rId12"/>
    <pivotCache cacheId="1" r:id="rId13"/>
    <pivotCache cacheId="2" r:id="rId14"/>
  </pivotCaches>
  <extLs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1" i="21" l="1"/>
  <c r="I5" i="19"/>
  <c r="J5" i="19" s="1"/>
  <c r="I6" i="19"/>
  <c r="J6" i="19" s="1"/>
  <c r="I7" i="19"/>
  <c r="J7" i="19" s="1"/>
  <c r="I8" i="19"/>
  <c r="J8" i="19" s="1"/>
  <c r="I9" i="19"/>
  <c r="J9" i="19" s="1"/>
  <c r="I10" i="19"/>
  <c r="J10" i="19" s="1"/>
  <c r="I11" i="19"/>
  <c r="J11" i="19" s="1"/>
  <c r="I12" i="19"/>
  <c r="J12" i="19" s="1"/>
  <c r="I13" i="19"/>
  <c r="J13" i="19" s="1"/>
  <c r="I14" i="19"/>
  <c r="J14" i="19" s="1"/>
  <c r="I15" i="19"/>
  <c r="J15" i="19" s="1"/>
  <c r="I16" i="19"/>
  <c r="J16" i="19" s="1"/>
  <c r="I17" i="19"/>
  <c r="J17" i="19" s="1"/>
  <c r="I18" i="19"/>
  <c r="J18" i="19" s="1"/>
  <c r="I19" i="19"/>
  <c r="J19" i="19" s="1"/>
  <c r="I20" i="19"/>
  <c r="J20" i="19" s="1"/>
  <c r="I21" i="19"/>
  <c r="J21" i="19" s="1"/>
  <c r="I22" i="19"/>
  <c r="J22" i="19" s="1"/>
  <c r="I23" i="19"/>
  <c r="J23" i="19" s="1"/>
  <c r="I24" i="19"/>
  <c r="J24" i="19" s="1"/>
  <c r="I25" i="19"/>
  <c r="J25" i="19" s="1"/>
  <c r="I26" i="19"/>
  <c r="J26" i="19" s="1"/>
  <c r="I27" i="19"/>
  <c r="J27" i="19" s="1"/>
  <c r="I28" i="19"/>
  <c r="J28" i="19" s="1"/>
  <c r="I29" i="19"/>
  <c r="J29" i="19" s="1"/>
  <c r="I30" i="19"/>
  <c r="J30" i="19" s="1"/>
  <c r="I31" i="19"/>
  <c r="J31" i="19" s="1"/>
  <c r="I32" i="19"/>
  <c r="J32" i="19" s="1"/>
  <c r="I33" i="19"/>
  <c r="J33" i="19" s="1"/>
  <c r="I34" i="19"/>
  <c r="J34" i="19" s="1"/>
  <c r="I35" i="19"/>
  <c r="J35" i="19" s="1"/>
  <c r="I36" i="19"/>
  <c r="J36" i="19" s="1"/>
  <c r="I37" i="19"/>
  <c r="J37" i="19" s="1"/>
  <c r="I38" i="19"/>
  <c r="J38" i="19" s="1"/>
  <c r="I39" i="19"/>
  <c r="J39" i="19" s="1"/>
  <c r="I40" i="19"/>
  <c r="J40" i="19" s="1"/>
  <c r="I41" i="19"/>
  <c r="J41" i="19" s="1"/>
  <c r="I42" i="19"/>
  <c r="J42" i="19" s="1"/>
  <c r="I43" i="19"/>
  <c r="J43" i="19" s="1"/>
  <c r="I44" i="19"/>
  <c r="J44" i="19" s="1"/>
  <c r="I45" i="19"/>
  <c r="J45" i="19" s="1"/>
  <c r="I46" i="19"/>
  <c r="J46" i="19" s="1"/>
  <c r="I47" i="19"/>
  <c r="J47" i="19" s="1"/>
  <c r="I48" i="19"/>
  <c r="J48" i="19" s="1"/>
  <c r="I49" i="19"/>
  <c r="J49" i="19" s="1"/>
  <c r="I50" i="19"/>
  <c r="J50" i="19" s="1"/>
  <c r="I51" i="19"/>
  <c r="J51" i="19" s="1"/>
  <c r="I52" i="19"/>
  <c r="J52" i="19" s="1"/>
  <c r="I53" i="19"/>
  <c r="J53" i="19" s="1"/>
  <c r="I54" i="19"/>
  <c r="J54" i="19" s="1"/>
  <c r="I55" i="19"/>
  <c r="J55" i="19" s="1"/>
  <c r="I56" i="19"/>
  <c r="J56" i="19" s="1"/>
  <c r="I57" i="19"/>
  <c r="J57" i="19" s="1"/>
  <c r="I58" i="19"/>
  <c r="J58" i="19" s="1"/>
  <c r="I59" i="19"/>
  <c r="J59" i="19" s="1"/>
  <c r="I60" i="19"/>
  <c r="J60" i="19" s="1"/>
  <c r="I61" i="19"/>
  <c r="J61" i="19" s="1"/>
  <c r="I62" i="19"/>
  <c r="J62" i="19" s="1"/>
  <c r="I63" i="19"/>
  <c r="J63" i="19" s="1"/>
  <c r="I64" i="19"/>
  <c r="J64" i="19" s="1"/>
  <c r="I65" i="19"/>
  <c r="J65" i="19" s="1"/>
  <c r="I66" i="19"/>
  <c r="J66" i="19" s="1"/>
  <c r="I67" i="19"/>
  <c r="J67" i="19" s="1"/>
  <c r="I68" i="19"/>
  <c r="J68" i="19" s="1"/>
  <c r="I69" i="19"/>
  <c r="J69" i="19" s="1"/>
  <c r="I70" i="19"/>
  <c r="J70" i="19" s="1"/>
  <c r="I71" i="19"/>
  <c r="J71" i="19" s="1"/>
  <c r="I72" i="19"/>
  <c r="J72" i="19" s="1"/>
  <c r="I73" i="19"/>
  <c r="J73" i="19" s="1"/>
  <c r="I74" i="19"/>
  <c r="J74" i="19" s="1"/>
  <c r="I75" i="19"/>
  <c r="J75" i="19" s="1"/>
  <c r="I76" i="19"/>
  <c r="J76" i="19" s="1"/>
  <c r="I77" i="19"/>
  <c r="J77" i="19" s="1"/>
  <c r="I78" i="19"/>
  <c r="J78" i="19" s="1"/>
  <c r="I79" i="19"/>
  <c r="J79" i="19" s="1"/>
  <c r="I80" i="19"/>
  <c r="J80" i="19" s="1"/>
  <c r="I81" i="19"/>
  <c r="J81" i="19" s="1"/>
  <c r="I82" i="19"/>
  <c r="J82" i="19" s="1"/>
  <c r="I83" i="19"/>
  <c r="J83" i="19" s="1"/>
  <c r="I84" i="19"/>
  <c r="J84" i="19" s="1"/>
  <c r="I85" i="19"/>
  <c r="J85" i="19" s="1"/>
  <c r="I86" i="19"/>
  <c r="J86" i="19" s="1"/>
  <c r="I87" i="19"/>
  <c r="J87" i="19" s="1"/>
  <c r="I88" i="19"/>
  <c r="J88" i="19" s="1"/>
  <c r="I89" i="19"/>
  <c r="J89" i="19" s="1"/>
  <c r="I90" i="19"/>
  <c r="J90" i="19" s="1"/>
  <c r="I91" i="19"/>
  <c r="J91" i="19" s="1"/>
  <c r="I92" i="19"/>
  <c r="J92" i="19" s="1"/>
  <c r="I93" i="19"/>
  <c r="J93" i="19" s="1"/>
  <c r="I94" i="19"/>
  <c r="J94" i="19" s="1"/>
  <c r="I95" i="19"/>
  <c r="J95" i="19" s="1"/>
  <c r="I96" i="19"/>
  <c r="J96" i="19" s="1"/>
  <c r="I97" i="19"/>
  <c r="J97" i="19" s="1"/>
  <c r="I98" i="19"/>
  <c r="J98" i="19" s="1"/>
  <c r="I99" i="19"/>
  <c r="J99" i="19" s="1"/>
  <c r="I100" i="19"/>
  <c r="J100" i="19" s="1"/>
  <c r="I101" i="19"/>
  <c r="J101" i="19" s="1"/>
  <c r="I102" i="19"/>
  <c r="J102" i="19" s="1"/>
  <c r="I103" i="19"/>
  <c r="J103" i="19" s="1"/>
  <c r="I104" i="19"/>
  <c r="J104" i="19" s="1"/>
  <c r="I105" i="19"/>
  <c r="J105" i="19" s="1"/>
  <c r="I106" i="19"/>
  <c r="J106" i="19" s="1"/>
  <c r="I107" i="19"/>
  <c r="J107" i="19" s="1"/>
  <c r="I108" i="19"/>
  <c r="J108" i="19" s="1"/>
  <c r="I109" i="19"/>
  <c r="J109" i="19" s="1"/>
  <c r="I110" i="19"/>
  <c r="J110" i="19" s="1"/>
  <c r="I111" i="19"/>
  <c r="J111" i="19" s="1"/>
  <c r="I112" i="19"/>
  <c r="J112" i="19" s="1"/>
  <c r="I113" i="19"/>
  <c r="J113" i="19" s="1"/>
  <c r="I114" i="19"/>
  <c r="J114" i="19" s="1"/>
  <c r="I115" i="19"/>
  <c r="J115" i="19" s="1"/>
  <c r="I116" i="19"/>
  <c r="J116" i="19" s="1"/>
  <c r="I117" i="19"/>
  <c r="J117" i="19" s="1"/>
  <c r="I118" i="19"/>
  <c r="J118" i="19" s="1"/>
  <c r="I119" i="19"/>
  <c r="J119" i="19" s="1"/>
  <c r="I120" i="19"/>
  <c r="J120" i="19" s="1"/>
  <c r="I121" i="19"/>
  <c r="J121" i="19" s="1"/>
  <c r="I122" i="19"/>
  <c r="J122" i="19" s="1"/>
  <c r="I123" i="19"/>
  <c r="J123" i="19" s="1"/>
  <c r="I124" i="19"/>
  <c r="J124" i="19" s="1"/>
  <c r="I125" i="19"/>
  <c r="J125" i="19" s="1"/>
  <c r="I126" i="19"/>
  <c r="J126" i="19" s="1"/>
  <c r="I127" i="19"/>
  <c r="J127" i="19" s="1"/>
  <c r="I128" i="19"/>
  <c r="J128" i="19" s="1"/>
  <c r="I129" i="19"/>
  <c r="J129" i="19" s="1"/>
  <c r="I130" i="19"/>
  <c r="J130" i="19" s="1"/>
  <c r="I131" i="19"/>
  <c r="J131" i="19" s="1"/>
  <c r="I132" i="19"/>
  <c r="J132" i="19" s="1"/>
  <c r="I133" i="19"/>
  <c r="J133" i="19" s="1"/>
  <c r="I134" i="19"/>
  <c r="J134" i="19" s="1"/>
  <c r="I135" i="19"/>
  <c r="J135" i="19" s="1"/>
  <c r="I136" i="19"/>
  <c r="J136" i="19" s="1"/>
  <c r="I137" i="19"/>
  <c r="J137" i="19" s="1"/>
  <c r="I138" i="19"/>
  <c r="J138" i="19" s="1"/>
  <c r="I139" i="19"/>
  <c r="J139" i="19" s="1"/>
  <c r="I140" i="19"/>
  <c r="J140" i="19" s="1"/>
  <c r="I141" i="19"/>
  <c r="J141" i="19" s="1"/>
  <c r="I142" i="19"/>
  <c r="J142" i="19" s="1"/>
  <c r="I143" i="19"/>
  <c r="J143" i="19" s="1"/>
  <c r="I144" i="19"/>
  <c r="J144" i="19" s="1"/>
  <c r="I145" i="19"/>
  <c r="J145" i="19" s="1"/>
  <c r="I146" i="19"/>
  <c r="J146" i="19" s="1"/>
  <c r="I147" i="19"/>
  <c r="J147" i="19" s="1"/>
  <c r="I148" i="19"/>
  <c r="J148" i="19" s="1"/>
  <c r="I149" i="19"/>
  <c r="J149" i="19" s="1"/>
  <c r="I150" i="19"/>
  <c r="J150" i="19" s="1"/>
  <c r="I151" i="19"/>
  <c r="J151" i="19" s="1"/>
  <c r="I152" i="19"/>
  <c r="J152" i="19" s="1"/>
  <c r="I153" i="19"/>
  <c r="J153" i="19" s="1"/>
  <c r="I154" i="19"/>
  <c r="J154" i="19" s="1"/>
  <c r="I155" i="19"/>
  <c r="J155" i="19" s="1"/>
  <c r="I156" i="19"/>
  <c r="J156" i="19" s="1"/>
  <c r="I157" i="19"/>
  <c r="J157" i="19" s="1"/>
  <c r="I158" i="19"/>
  <c r="J158" i="19" s="1"/>
  <c r="I159" i="19"/>
  <c r="J159" i="19" s="1"/>
  <c r="I160" i="19"/>
  <c r="J160" i="19" s="1"/>
  <c r="I161" i="19"/>
  <c r="J161" i="19" s="1"/>
  <c r="I162" i="19"/>
  <c r="J162" i="19" s="1"/>
  <c r="I163" i="19"/>
  <c r="J163" i="19" s="1"/>
  <c r="I164" i="19"/>
  <c r="J164" i="19" s="1"/>
  <c r="I165" i="19"/>
  <c r="J165" i="19" s="1"/>
  <c r="I166" i="19"/>
  <c r="J166" i="19" s="1"/>
  <c r="I167" i="19"/>
  <c r="J167" i="19" s="1"/>
  <c r="I168" i="19"/>
  <c r="J168" i="19" s="1"/>
  <c r="I169" i="19"/>
  <c r="J169" i="19" s="1"/>
  <c r="I170" i="19"/>
  <c r="J170" i="19" s="1"/>
  <c r="I171" i="19"/>
  <c r="J171" i="19" s="1"/>
  <c r="I172" i="19"/>
  <c r="J172" i="19" s="1"/>
  <c r="I173" i="19"/>
  <c r="J173" i="19" s="1"/>
  <c r="I174" i="19"/>
  <c r="J174" i="19" s="1"/>
  <c r="I175" i="19"/>
  <c r="J175" i="19" s="1"/>
  <c r="I176" i="19"/>
  <c r="J176" i="19" s="1"/>
  <c r="I177" i="19"/>
  <c r="J177" i="19" s="1"/>
  <c r="I178" i="19"/>
  <c r="J178" i="19" s="1"/>
  <c r="I179" i="19"/>
  <c r="J179" i="19" s="1"/>
  <c r="I180" i="19"/>
  <c r="J180" i="19" s="1"/>
  <c r="I181" i="19"/>
  <c r="J181" i="19" s="1"/>
  <c r="I182" i="19"/>
  <c r="J182" i="19" s="1"/>
  <c r="I183" i="19"/>
  <c r="J183" i="19" s="1"/>
  <c r="I184" i="19"/>
  <c r="J184" i="19" s="1"/>
  <c r="I185" i="19"/>
  <c r="J185" i="19" s="1"/>
  <c r="I186" i="19"/>
  <c r="J186" i="19" s="1"/>
  <c r="I187" i="19"/>
  <c r="J187" i="19" s="1"/>
  <c r="I188" i="19"/>
  <c r="J188" i="19" s="1"/>
  <c r="I189" i="19"/>
  <c r="J189" i="19" s="1"/>
  <c r="I190" i="19"/>
  <c r="J190" i="19" s="1"/>
  <c r="I191" i="19"/>
  <c r="J191" i="19" s="1"/>
  <c r="I192" i="19"/>
  <c r="J192" i="19" s="1"/>
  <c r="I193" i="19"/>
  <c r="J193" i="19" s="1"/>
  <c r="I194" i="19"/>
  <c r="J194" i="19" s="1"/>
  <c r="I195" i="19"/>
  <c r="J195" i="19" s="1"/>
  <c r="I196" i="19"/>
  <c r="J196" i="19" s="1"/>
  <c r="I197" i="19"/>
  <c r="J197" i="19" s="1"/>
  <c r="I198" i="19"/>
  <c r="J198" i="19" s="1"/>
  <c r="I199" i="19"/>
  <c r="J199" i="19" s="1"/>
  <c r="I200" i="19"/>
  <c r="J200" i="19" s="1"/>
  <c r="I201" i="19"/>
  <c r="J201" i="19" s="1"/>
  <c r="I202" i="19"/>
  <c r="J202" i="19" s="1"/>
  <c r="I203" i="19"/>
  <c r="J203" i="19" s="1"/>
  <c r="I204" i="19"/>
  <c r="J204" i="19" s="1"/>
  <c r="I205" i="19"/>
  <c r="J205" i="19" s="1"/>
  <c r="I206" i="19"/>
  <c r="J206" i="19" s="1"/>
  <c r="I207" i="19"/>
  <c r="J207" i="19" s="1"/>
  <c r="I208" i="19"/>
  <c r="J208" i="19" s="1"/>
  <c r="I209" i="19"/>
  <c r="J209" i="19" s="1"/>
  <c r="I210" i="19"/>
  <c r="J210" i="19" s="1"/>
  <c r="I211" i="19"/>
  <c r="J211" i="19" s="1"/>
  <c r="I212" i="19"/>
  <c r="J212" i="19" s="1"/>
  <c r="I213" i="19"/>
  <c r="J213" i="19" s="1"/>
  <c r="I214" i="19"/>
  <c r="J214" i="19" s="1"/>
  <c r="I215" i="19"/>
  <c r="J215" i="19" s="1"/>
  <c r="I216" i="19"/>
  <c r="J216" i="19" s="1"/>
  <c r="I217" i="19"/>
  <c r="J217" i="19" s="1"/>
  <c r="I218" i="19"/>
  <c r="J218" i="19" s="1"/>
  <c r="I219" i="19"/>
  <c r="J219" i="19" s="1"/>
  <c r="I220" i="19"/>
  <c r="J220" i="19" s="1"/>
  <c r="I221" i="19"/>
  <c r="J221" i="19" s="1"/>
  <c r="I222" i="19"/>
  <c r="J222" i="19" s="1"/>
  <c r="I223" i="19"/>
  <c r="J223" i="19" s="1"/>
  <c r="I224" i="19"/>
  <c r="J224" i="19" s="1"/>
  <c r="I225" i="19"/>
  <c r="J225" i="19" s="1"/>
  <c r="I226" i="19"/>
  <c r="J226" i="19" s="1"/>
  <c r="I227" i="19"/>
  <c r="J227" i="19" s="1"/>
  <c r="I228" i="19"/>
  <c r="J228" i="19" s="1"/>
  <c r="I229" i="19"/>
  <c r="J229" i="19" s="1"/>
  <c r="I230" i="19"/>
  <c r="J230" i="19" s="1"/>
  <c r="I231" i="19"/>
  <c r="J231" i="19" s="1"/>
  <c r="I232" i="19"/>
  <c r="J232" i="19" s="1"/>
  <c r="I233" i="19"/>
  <c r="J233" i="19" s="1"/>
  <c r="I234" i="19"/>
  <c r="J234" i="19" s="1"/>
  <c r="I235" i="19"/>
  <c r="J235" i="19" s="1"/>
  <c r="I236" i="19"/>
  <c r="J236" i="19" s="1"/>
  <c r="I237" i="19"/>
  <c r="J237" i="19" s="1"/>
  <c r="I238" i="19"/>
  <c r="J238" i="19" s="1"/>
  <c r="I239" i="19"/>
  <c r="J239" i="19" s="1"/>
  <c r="I240" i="19"/>
  <c r="J240" i="19" s="1"/>
  <c r="I241" i="19"/>
  <c r="J241" i="19" s="1"/>
  <c r="I242" i="19"/>
  <c r="J242" i="19" s="1"/>
  <c r="I243" i="19"/>
  <c r="J243" i="19" s="1"/>
  <c r="I244" i="19"/>
  <c r="J244" i="19" s="1"/>
  <c r="I245" i="19"/>
  <c r="J245" i="19" s="1"/>
  <c r="I246" i="19"/>
  <c r="J246" i="19" s="1"/>
  <c r="I247" i="19"/>
  <c r="J247" i="19" s="1"/>
  <c r="I248" i="19"/>
  <c r="J248" i="19" s="1"/>
  <c r="I249" i="19"/>
  <c r="J249" i="19" s="1"/>
  <c r="I250" i="19"/>
  <c r="J250" i="19" s="1"/>
  <c r="I251" i="19"/>
  <c r="J251" i="19" s="1"/>
  <c r="I252" i="19"/>
  <c r="J252" i="19" s="1"/>
  <c r="I253" i="19"/>
  <c r="J253" i="19" s="1"/>
  <c r="I254" i="19"/>
  <c r="J254" i="19" s="1"/>
  <c r="I255" i="19"/>
  <c r="J255" i="19" s="1"/>
  <c r="I256" i="19"/>
  <c r="J256" i="19" s="1"/>
  <c r="I257" i="19"/>
  <c r="J257" i="19" s="1"/>
  <c r="I258" i="19"/>
  <c r="J258" i="19" s="1"/>
  <c r="I259" i="19"/>
  <c r="J259" i="19" s="1"/>
  <c r="I260" i="19"/>
  <c r="J260" i="19" s="1"/>
  <c r="I261" i="19"/>
  <c r="J261" i="19" s="1"/>
  <c r="I262" i="19"/>
  <c r="J262" i="19" s="1"/>
  <c r="I263" i="19"/>
  <c r="J263" i="19" s="1"/>
  <c r="I264" i="19"/>
  <c r="J264" i="19" s="1"/>
  <c r="I265" i="19"/>
  <c r="J265" i="19" s="1"/>
  <c r="I266" i="19"/>
  <c r="J266" i="19" s="1"/>
  <c r="I267" i="19"/>
  <c r="J267" i="19" s="1"/>
  <c r="I268" i="19"/>
  <c r="J268" i="19" s="1"/>
  <c r="I269" i="19"/>
  <c r="J269" i="19" s="1"/>
  <c r="I270" i="19"/>
  <c r="J270" i="19" s="1"/>
  <c r="I271" i="19"/>
  <c r="J271" i="19" s="1"/>
  <c r="I272" i="19"/>
  <c r="J272" i="19" s="1"/>
  <c r="I273" i="19"/>
  <c r="J273" i="19" s="1"/>
  <c r="I274" i="19"/>
  <c r="J274" i="19" s="1"/>
  <c r="I275" i="19"/>
  <c r="J275" i="19" s="1"/>
  <c r="I276" i="19"/>
  <c r="J276" i="19" s="1"/>
  <c r="I277" i="19"/>
  <c r="J277" i="19" s="1"/>
  <c r="I278" i="19"/>
  <c r="J278" i="19" s="1"/>
  <c r="I279" i="19"/>
  <c r="J279" i="19" s="1"/>
  <c r="I280" i="19"/>
  <c r="J280" i="19" s="1"/>
  <c r="I281" i="19"/>
  <c r="J281" i="19" s="1"/>
  <c r="I282" i="19"/>
  <c r="J282" i="19" s="1"/>
  <c r="I283" i="19"/>
  <c r="J283" i="19" s="1"/>
  <c r="I284" i="19"/>
  <c r="J284" i="19" s="1"/>
  <c r="I285" i="19"/>
  <c r="J285" i="19" s="1"/>
  <c r="I286" i="19"/>
  <c r="J286" i="19" s="1"/>
  <c r="I287" i="19"/>
  <c r="J287" i="19" s="1"/>
  <c r="I288" i="19"/>
  <c r="J288" i="19" s="1"/>
  <c r="I289" i="19"/>
  <c r="J289" i="19" s="1"/>
  <c r="I290" i="19"/>
  <c r="J290" i="19" s="1"/>
  <c r="I291" i="19"/>
  <c r="J291" i="19" s="1"/>
  <c r="I292" i="19"/>
  <c r="J292" i="19" s="1"/>
  <c r="I293" i="19"/>
  <c r="J293" i="19" s="1"/>
  <c r="I294" i="19"/>
  <c r="J294" i="19" s="1"/>
  <c r="I295" i="19"/>
  <c r="J295" i="19" s="1"/>
  <c r="I296" i="19"/>
  <c r="J296" i="19" s="1"/>
  <c r="I297" i="19"/>
  <c r="J297" i="19" s="1"/>
  <c r="I298" i="19"/>
  <c r="J298" i="19" s="1"/>
  <c r="I299" i="19"/>
  <c r="J299" i="19" s="1"/>
  <c r="I300" i="19"/>
  <c r="J300" i="19" s="1"/>
  <c r="I301" i="19"/>
  <c r="J301" i="19" s="1"/>
  <c r="I302" i="19"/>
  <c r="J302" i="19" s="1"/>
  <c r="I303" i="19"/>
  <c r="J303" i="19" s="1"/>
  <c r="I304" i="19"/>
  <c r="J304" i="19" s="1"/>
  <c r="I305" i="19"/>
  <c r="J305" i="19" s="1"/>
  <c r="I306" i="19"/>
  <c r="J306" i="19" s="1"/>
  <c r="I307" i="19"/>
  <c r="J307" i="19" s="1"/>
  <c r="I308" i="19"/>
  <c r="J308" i="19" s="1"/>
  <c r="I309" i="19"/>
  <c r="J309" i="19" s="1"/>
  <c r="I310" i="19"/>
  <c r="J310" i="19" s="1"/>
  <c r="I311" i="19"/>
  <c r="J311" i="19" s="1"/>
  <c r="I312" i="19"/>
  <c r="J312" i="19" s="1"/>
  <c r="I313" i="19"/>
  <c r="J313" i="19" s="1"/>
  <c r="I314" i="19"/>
  <c r="J314" i="19" s="1"/>
  <c r="I315" i="19"/>
  <c r="J315" i="19" s="1"/>
  <c r="I316" i="19"/>
  <c r="J316" i="19" s="1"/>
  <c r="I317" i="19"/>
  <c r="J317" i="19" s="1"/>
  <c r="I318" i="19"/>
  <c r="J318" i="19" s="1"/>
  <c r="I319" i="19"/>
  <c r="J319" i="19" s="1"/>
  <c r="I320" i="19"/>
  <c r="J320" i="19" s="1"/>
  <c r="I321" i="19"/>
  <c r="J321" i="19" s="1"/>
  <c r="I322" i="19"/>
  <c r="J322" i="19" s="1"/>
  <c r="I323" i="19"/>
  <c r="J323" i="19" s="1"/>
  <c r="I324" i="19"/>
  <c r="J324" i="19" s="1"/>
  <c r="I325" i="19"/>
  <c r="J325" i="19" s="1"/>
  <c r="I326" i="19"/>
  <c r="J326" i="19" s="1"/>
  <c r="I327" i="19"/>
  <c r="J327" i="19" s="1"/>
  <c r="I328" i="19"/>
  <c r="J328" i="19" s="1"/>
  <c r="I329" i="19"/>
  <c r="J329" i="19" s="1"/>
  <c r="I330" i="19"/>
  <c r="J330" i="19" s="1"/>
  <c r="I331" i="19"/>
  <c r="J331" i="19" s="1"/>
  <c r="I332" i="19"/>
  <c r="J332" i="19" s="1"/>
  <c r="I333" i="19"/>
  <c r="J333" i="19" s="1"/>
  <c r="I334" i="19"/>
  <c r="J334" i="19" s="1"/>
  <c r="I335" i="19"/>
  <c r="J335" i="19" s="1"/>
  <c r="I336" i="19"/>
  <c r="J336" i="19" s="1"/>
  <c r="I337" i="19"/>
  <c r="J337" i="19" s="1"/>
  <c r="I338" i="19"/>
  <c r="J338" i="19" s="1"/>
  <c r="I339" i="19"/>
  <c r="J339" i="19" s="1"/>
  <c r="I340" i="19"/>
  <c r="J340" i="19" s="1"/>
  <c r="I341" i="19"/>
  <c r="J341" i="19" s="1"/>
  <c r="I342" i="19"/>
  <c r="J342" i="19" s="1"/>
  <c r="I343" i="19"/>
  <c r="J343" i="19" s="1"/>
  <c r="I344" i="19"/>
  <c r="J344" i="19" s="1"/>
  <c r="I345" i="19"/>
  <c r="J345" i="19" s="1"/>
  <c r="I346" i="19"/>
  <c r="J346" i="19" s="1"/>
  <c r="I347" i="19"/>
  <c r="J347" i="19" s="1"/>
  <c r="I348" i="19"/>
  <c r="J348" i="19" s="1"/>
  <c r="I349" i="19"/>
  <c r="J349" i="19" s="1"/>
  <c r="I350" i="19"/>
  <c r="J350" i="19" s="1"/>
  <c r="I351" i="19"/>
  <c r="J351" i="19" s="1"/>
  <c r="I352" i="19"/>
  <c r="J352" i="19" s="1"/>
  <c r="I353" i="19"/>
  <c r="J353" i="19" s="1"/>
  <c r="I354" i="19"/>
  <c r="J354" i="19" s="1"/>
  <c r="I355" i="19"/>
  <c r="J355" i="19" s="1"/>
  <c r="I356" i="19"/>
  <c r="J356" i="19" s="1"/>
  <c r="I357" i="19"/>
  <c r="J357" i="19" s="1"/>
  <c r="I358" i="19"/>
  <c r="J358" i="19" s="1"/>
  <c r="I359" i="19"/>
  <c r="J359" i="19" s="1"/>
  <c r="I360" i="19"/>
  <c r="J360" i="19" s="1"/>
  <c r="I361" i="19"/>
  <c r="J361" i="19" s="1"/>
  <c r="I362" i="19"/>
  <c r="J362" i="19" s="1"/>
  <c r="I363" i="19"/>
  <c r="J363" i="19" s="1"/>
  <c r="I364" i="19"/>
  <c r="J364" i="19" s="1"/>
  <c r="I365" i="19"/>
  <c r="J365" i="19" s="1"/>
  <c r="I366" i="19"/>
  <c r="J366" i="19" s="1"/>
  <c r="I367" i="19"/>
  <c r="J367" i="19" s="1"/>
  <c r="I368" i="19"/>
  <c r="J368" i="19" s="1"/>
  <c r="I369" i="19"/>
  <c r="J369" i="19" s="1"/>
  <c r="I370" i="19"/>
  <c r="J370" i="19" s="1"/>
  <c r="I371" i="19"/>
  <c r="J371" i="19" s="1"/>
  <c r="I372" i="19"/>
  <c r="J372" i="19" s="1"/>
  <c r="I373" i="19"/>
  <c r="J373" i="19" s="1"/>
  <c r="I374" i="19"/>
  <c r="J374" i="19" s="1"/>
  <c r="I375" i="19"/>
  <c r="J375" i="19" s="1"/>
  <c r="I376" i="19"/>
  <c r="J376" i="19" s="1"/>
  <c r="I377" i="19"/>
  <c r="J377" i="19" s="1"/>
  <c r="I378" i="19"/>
  <c r="J378" i="19" s="1"/>
  <c r="I379" i="19"/>
  <c r="J379" i="19" s="1"/>
  <c r="I380" i="19"/>
  <c r="J380" i="19" s="1"/>
  <c r="I381" i="19"/>
  <c r="J381" i="19" s="1"/>
  <c r="I382" i="19"/>
  <c r="J382" i="19" s="1"/>
  <c r="I383" i="19"/>
  <c r="J383" i="19" s="1"/>
  <c r="I384" i="19"/>
  <c r="J384" i="19" s="1"/>
  <c r="I385" i="19"/>
  <c r="J385" i="19" s="1"/>
  <c r="I386" i="19"/>
  <c r="J386" i="19" s="1"/>
  <c r="I387" i="19"/>
  <c r="J387" i="19" s="1"/>
  <c r="I388" i="19"/>
  <c r="J388" i="19" s="1"/>
  <c r="I389" i="19"/>
  <c r="J389" i="19" s="1"/>
  <c r="I390" i="19"/>
  <c r="J390" i="19" s="1"/>
  <c r="I391" i="19"/>
  <c r="J391" i="19" s="1"/>
  <c r="I392" i="19"/>
  <c r="J392" i="19" s="1"/>
  <c r="I393" i="19"/>
  <c r="J393" i="19" s="1"/>
  <c r="I394" i="19"/>
  <c r="J394" i="19" s="1"/>
  <c r="I395" i="19"/>
  <c r="J395" i="19" s="1"/>
  <c r="I396" i="19"/>
  <c r="J396" i="19" s="1"/>
  <c r="I397" i="19"/>
  <c r="J397" i="19" s="1"/>
  <c r="I398" i="19"/>
  <c r="J398" i="19" s="1"/>
  <c r="I399" i="19"/>
  <c r="J399" i="19" s="1"/>
  <c r="I400" i="19"/>
  <c r="J400" i="19" s="1"/>
  <c r="I401" i="19"/>
  <c r="J401" i="19" s="1"/>
  <c r="I402" i="19"/>
  <c r="J402" i="19" s="1"/>
  <c r="I403" i="19"/>
  <c r="J403" i="19" s="1"/>
  <c r="I404" i="19"/>
  <c r="J404" i="19" s="1"/>
  <c r="I405" i="19"/>
  <c r="J405" i="19" s="1"/>
  <c r="I406" i="19"/>
  <c r="J406" i="19" s="1"/>
  <c r="I407" i="19"/>
  <c r="J407" i="19" s="1"/>
  <c r="I408" i="19"/>
  <c r="J408" i="19" s="1"/>
  <c r="I409" i="19"/>
  <c r="J409" i="19" s="1"/>
  <c r="I410" i="19"/>
  <c r="J410" i="19" s="1"/>
  <c r="I411" i="19"/>
  <c r="J411" i="19" s="1"/>
  <c r="I412" i="19"/>
  <c r="J412" i="19" s="1"/>
  <c r="I413" i="19"/>
  <c r="J413" i="19" s="1"/>
  <c r="I414" i="19"/>
  <c r="J414" i="19" s="1"/>
  <c r="I415" i="19"/>
  <c r="J415" i="19" s="1"/>
  <c r="I416" i="19"/>
  <c r="J416" i="19" s="1"/>
  <c r="I417" i="19"/>
  <c r="J417" i="19" s="1"/>
  <c r="I418" i="19"/>
  <c r="J418" i="19" s="1"/>
  <c r="I419" i="19"/>
  <c r="J419" i="19" s="1"/>
  <c r="I420" i="19"/>
  <c r="J420" i="19" s="1"/>
  <c r="I421" i="19"/>
  <c r="J421" i="19" s="1"/>
  <c r="I422" i="19"/>
  <c r="J422" i="19" s="1"/>
  <c r="I423" i="19"/>
  <c r="J423" i="19" s="1"/>
  <c r="I424" i="19"/>
  <c r="J424" i="19" s="1"/>
  <c r="I425" i="19"/>
  <c r="J425" i="19" s="1"/>
  <c r="I426" i="19"/>
  <c r="J426" i="19" s="1"/>
  <c r="I427" i="19"/>
  <c r="J427" i="19" s="1"/>
  <c r="I428" i="19"/>
  <c r="J428" i="19" s="1"/>
  <c r="I429" i="19"/>
  <c r="J429" i="19" s="1"/>
  <c r="I430" i="19"/>
  <c r="J430" i="19" s="1"/>
  <c r="I431" i="19"/>
  <c r="J431" i="19" s="1"/>
  <c r="I432" i="19"/>
  <c r="J432" i="19" s="1"/>
  <c r="I433" i="19"/>
  <c r="J433" i="19" s="1"/>
  <c r="I434" i="19"/>
  <c r="J434" i="19" s="1"/>
  <c r="I435" i="19"/>
  <c r="J435" i="19" s="1"/>
  <c r="I436" i="19"/>
  <c r="J436" i="19" s="1"/>
  <c r="I437" i="19"/>
  <c r="J437" i="19" s="1"/>
  <c r="I438" i="19"/>
  <c r="J438" i="19" s="1"/>
  <c r="I439" i="19"/>
  <c r="J439" i="19" s="1"/>
  <c r="I440" i="19"/>
  <c r="J440" i="19" s="1"/>
  <c r="I441" i="19"/>
  <c r="J441" i="19" s="1"/>
  <c r="I442" i="19"/>
  <c r="J442" i="19" s="1"/>
  <c r="I443" i="19"/>
  <c r="J443" i="19" s="1"/>
  <c r="I444" i="19"/>
  <c r="J444" i="19" s="1"/>
  <c r="I445" i="19"/>
  <c r="J445" i="19" s="1"/>
  <c r="I446" i="19"/>
  <c r="J446" i="19" s="1"/>
  <c r="I447" i="19"/>
  <c r="J447" i="19" s="1"/>
  <c r="I448" i="19"/>
  <c r="J448" i="19" s="1"/>
  <c r="I449" i="19"/>
  <c r="J449" i="19" s="1"/>
  <c r="I450" i="19"/>
  <c r="J450" i="19" s="1"/>
  <c r="I451" i="19"/>
  <c r="J451" i="19" s="1"/>
  <c r="I452" i="19"/>
  <c r="J452" i="19" s="1"/>
  <c r="I453" i="19"/>
  <c r="J453" i="19" s="1"/>
  <c r="I454" i="19"/>
  <c r="J454" i="19" s="1"/>
  <c r="I455" i="19"/>
  <c r="J455" i="19" s="1"/>
  <c r="I456" i="19"/>
  <c r="J456" i="19" s="1"/>
  <c r="I457" i="19"/>
  <c r="J457" i="19" s="1"/>
  <c r="I458" i="19"/>
  <c r="J458" i="19" s="1"/>
  <c r="I459" i="19"/>
  <c r="J459" i="19" s="1"/>
  <c r="I460" i="19"/>
  <c r="J460" i="19" s="1"/>
  <c r="I461" i="19"/>
  <c r="J461" i="19" s="1"/>
  <c r="I462" i="19"/>
  <c r="J462" i="19" s="1"/>
  <c r="I463" i="19"/>
  <c r="J463" i="19" s="1"/>
  <c r="I464" i="19"/>
  <c r="J464" i="19" s="1"/>
  <c r="I465" i="19"/>
  <c r="J465" i="19" s="1"/>
  <c r="I466" i="19"/>
  <c r="J466" i="19" s="1"/>
  <c r="I467" i="19"/>
  <c r="J467" i="19" s="1"/>
  <c r="I468" i="19"/>
  <c r="J468" i="19" s="1"/>
  <c r="I469" i="19"/>
  <c r="J469" i="19" s="1"/>
  <c r="I470" i="19"/>
  <c r="J470" i="19" s="1"/>
  <c r="I471" i="19"/>
  <c r="J471" i="19" s="1"/>
  <c r="I472" i="19"/>
  <c r="J472" i="19" s="1"/>
  <c r="I473" i="19"/>
  <c r="J473" i="19" s="1"/>
  <c r="I474" i="19"/>
  <c r="J474" i="19" s="1"/>
  <c r="I475" i="19"/>
  <c r="J475" i="19" s="1"/>
  <c r="I476" i="19"/>
  <c r="J476" i="19" s="1"/>
  <c r="I477" i="19"/>
  <c r="J477" i="19" s="1"/>
  <c r="I478" i="19"/>
  <c r="J478" i="19" s="1"/>
  <c r="I479" i="19"/>
  <c r="J479" i="19" s="1"/>
  <c r="I480" i="19"/>
  <c r="J480" i="19" s="1"/>
  <c r="I481" i="19"/>
  <c r="J481" i="19" s="1"/>
  <c r="I482" i="19"/>
  <c r="J482" i="19" s="1"/>
  <c r="I483" i="19"/>
  <c r="J483" i="19" s="1"/>
  <c r="I484" i="19"/>
  <c r="J484" i="19" s="1"/>
  <c r="I485" i="19"/>
  <c r="J485" i="19" s="1"/>
  <c r="I486" i="19"/>
  <c r="J486" i="19" s="1"/>
  <c r="I487" i="19"/>
  <c r="J487" i="19" s="1"/>
  <c r="I488" i="19"/>
  <c r="J488" i="19" s="1"/>
  <c r="I489" i="19"/>
  <c r="J489" i="19" s="1"/>
  <c r="I490" i="19"/>
  <c r="J490" i="19" s="1"/>
  <c r="I491" i="19"/>
  <c r="J491" i="19" s="1"/>
  <c r="I492" i="19"/>
  <c r="J492" i="19" s="1"/>
  <c r="I493" i="19"/>
  <c r="J493" i="19" s="1"/>
  <c r="I494" i="19"/>
  <c r="J494" i="19" s="1"/>
  <c r="I495" i="19"/>
  <c r="J495" i="19" s="1"/>
  <c r="I496" i="19"/>
  <c r="J496" i="19" s="1"/>
  <c r="I497" i="19"/>
  <c r="J497" i="19" s="1"/>
  <c r="I498" i="19"/>
  <c r="J498" i="19" s="1"/>
  <c r="I499" i="19"/>
  <c r="J499" i="19" s="1"/>
  <c r="I500" i="19"/>
  <c r="J500" i="19" s="1"/>
  <c r="I501" i="19"/>
  <c r="J501" i="19" s="1"/>
  <c r="I502" i="19"/>
  <c r="J502" i="19" s="1"/>
  <c r="I503" i="19"/>
  <c r="J503" i="19" s="1"/>
  <c r="I504" i="19"/>
  <c r="J504" i="19" s="1"/>
  <c r="I505" i="19"/>
  <c r="J505" i="19" s="1"/>
  <c r="I506" i="19"/>
  <c r="J506" i="19" s="1"/>
  <c r="I507" i="19"/>
  <c r="J507" i="19" s="1"/>
  <c r="I508" i="19"/>
  <c r="J508" i="19" s="1"/>
  <c r="I509" i="19"/>
  <c r="J509" i="19" s="1"/>
  <c r="I510" i="19"/>
  <c r="J510" i="19" s="1"/>
  <c r="I511" i="19"/>
  <c r="J511" i="19" s="1"/>
  <c r="I512" i="19"/>
  <c r="J512" i="19" s="1"/>
  <c r="I513" i="19"/>
  <c r="J513" i="19" s="1"/>
  <c r="I514" i="19"/>
  <c r="J514" i="19" s="1"/>
  <c r="I515" i="19"/>
  <c r="J515" i="19" s="1"/>
  <c r="I516" i="19"/>
  <c r="J516" i="19" s="1"/>
  <c r="I517" i="19"/>
  <c r="J517" i="19" s="1"/>
  <c r="I518" i="19"/>
  <c r="J518" i="19" s="1"/>
  <c r="I519" i="19"/>
  <c r="J519" i="19" s="1"/>
  <c r="I520" i="19"/>
  <c r="J520" i="19" s="1"/>
  <c r="I521" i="19"/>
  <c r="J521" i="19" s="1"/>
  <c r="I522" i="19"/>
  <c r="J522" i="19" s="1"/>
  <c r="I523" i="19"/>
  <c r="J523" i="19" s="1"/>
  <c r="I524" i="19"/>
  <c r="J524" i="19" s="1"/>
  <c r="I525" i="19"/>
  <c r="J525" i="19" s="1"/>
  <c r="I526" i="19"/>
  <c r="J526" i="19" s="1"/>
  <c r="I527" i="19"/>
  <c r="J527" i="19" s="1"/>
  <c r="I528" i="19"/>
  <c r="J528" i="19" s="1"/>
  <c r="I529" i="19"/>
  <c r="J529" i="19" s="1"/>
  <c r="I530" i="19"/>
  <c r="J530" i="19" s="1"/>
  <c r="I531" i="19"/>
  <c r="J531" i="19" s="1"/>
  <c r="I532" i="19"/>
  <c r="J532" i="19" s="1"/>
  <c r="I533" i="19"/>
  <c r="J533" i="19" s="1"/>
  <c r="I534" i="19"/>
  <c r="J534" i="19" s="1"/>
  <c r="I535" i="19"/>
  <c r="J535" i="19" s="1"/>
  <c r="I536" i="19"/>
  <c r="J536" i="19" s="1"/>
  <c r="I537" i="19"/>
  <c r="J537" i="19" s="1"/>
  <c r="I538" i="19"/>
  <c r="J538" i="19" s="1"/>
  <c r="I539" i="19"/>
  <c r="J539" i="19" s="1"/>
  <c r="I540" i="19"/>
  <c r="J540" i="19" s="1"/>
  <c r="I541" i="19"/>
  <c r="J541" i="19" s="1"/>
  <c r="I542" i="19"/>
  <c r="J542" i="19" s="1"/>
  <c r="I543" i="19"/>
  <c r="J543" i="19" s="1"/>
  <c r="I544" i="19"/>
  <c r="J544" i="19" s="1"/>
  <c r="I545" i="19"/>
  <c r="J545" i="19" s="1"/>
  <c r="I546" i="19"/>
  <c r="J546" i="19" s="1"/>
  <c r="I547" i="19"/>
  <c r="J547" i="19" s="1"/>
  <c r="I548" i="19"/>
  <c r="J548" i="19" s="1"/>
  <c r="I549" i="19"/>
  <c r="J549" i="19" s="1"/>
  <c r="I550" i="19"/>
  <c r="J550" i="19" s="1"/>
  <c r="I551" i="19"/>
  <c r="J551" i="19" s="1"/>
  <c r="I552" i="19"/>
  <c r="J552" i="19" s="1"/>
  <c r="I553" i="19"/>
  <c r="J553" i="19" s="1"/>
  <c r="I554" i="19"/>
  <c r="J554" i="19" s="1"/>
  <c r="I555" i="19"/>
  <c r="J555" i="19" s="1"/>
  <c r="I556" i="19"/>
  <c r="J556" i="19" s="1"/>
  <c r="I557" i="19"/>
  <c r="J557" i="19" s="1"/>
  <c r="I558" i="19"/>
  <c r="J558" i="19" s="1"/>
  <c r="I559" i="19"/>
  <c r="J559" i="19" s="1"/>
  <c r="I560" i="19"/>
  <c r="J560" i="19" s="1"/>
  <c r="I561" i="19"/>
  <c r="J561" i="19" s="1"/>
  <c r="I562" i="19"/>
  <c r="J562" i="19" s="1"/>
  <c r="I563" i="19"/>
  <c r="J563" i="19" s="1"/>
  <c r="I564" i="19"/>
  <c r="J564" i="19" s="1"/>
  <c r="I565" i="19"/>
  <c r="J565" i="19" s="1"/>
  <c r="I566" i="19"/>
  <c r="J566" i="19" s="1"/>
  <c r="I567" i="19"/>
  <c r="J567" i="19" s="1"/>
  <c r="I568" i="19"/>
  <c r="J568" i="19" s="1"/>
  <c r="I569" i="19"/>
  <c r="J569" i="19" s="1"/>
  <c r="I570" i="19"/>
  <c r="J570" i="19" s="1"/>
  <c r="I571" i="19"/>
  <c r="J571" i="19" s="1"/>
  <c r="I572" i="19"/>
  <c r="J572" i="19" s="1"/>
  <c r="I573" i="19"/>
  <c r="J573" i="19" s="1"/>
  <c r="I574" i="19"/>
  <c r="J574" i="19" s="1"/>
  <c r="I575" i="19"/>
  <c r="J575" i="19" s="1"/>
  <c r="I576" i="19"/>
  <c r="J576" i="19" s="1"/>
  <c r="I577" i="19"/>
  <c r="J577" i="19" s="1"/>
  <c r="I578" i="19"/>
  <c r="J578" i="19" s="1"/>
  <c r="I579" i="19"/>
  <c r="J579" i="19" s="1"/>
  <c r="I580" i="19"/>
  <c r="J580" i="19" s="1"/>
  <c r="I581" i="19"/>
  <c r="J581" i="19" s="1"/>
  <c r="I582" i="19"/>
  <c r="J582" i="19" s="1"/>
  <c r="I583" i="19"/>
  <c r="J583" i="19" s="1"/>
  <c r="I584" i="19"/>
  <c r="J584" i="19" s="1"/>
  <c r="I585" i="19"/>
  <c r="J585" i="19" s="1"/>
  <c r="I586" i="19"/>
  <c r="J586" i="19" s="1"/>
  <c r="I587" i="19"/>
  <c r="J587" i="19" s="1"/>
  <c r="I588" i="19"/>
  <c r="J588" i="19" s="1"/>
  <c r="I589" i="19"/>
  <c r="J589" i="19" s="1"/>
  <c r="I590" i="19"/>
  <c r="J590" i="19" s="1"/>
  <c r="I591" i="19"/>
  <c r="J591" i="19" s="1"/>
  <c r="I592" i="19"/>
  <c r="J592" i="19" s="1"/>
  <c r="I593" i="19"/>
  <c r="J593" i="19" s="1"/>
  <c r="I594" i="19"/>
  <c r="J594" i="19" s="1"/>
  <c r="I595" i="19"/>
  <c r="J595" i="19" s="1"/>
  <c r="I596" i="19"/>
  <c r="J596" i="19" s="1"/>
  <c r="I597" i="19"/>
  <c r="J597" i="19" s="1"/>
  <c r="I598" i="19"/>
  <c r="J598" i="19" s="1"/>
  <c r="I599" i="19"/>
  <c r="J599" i="19" s="1"/>
  <c r="I600" i="19"/>
  <c r="J600" i="19" s="1"/>
  <c r="I601" i="19"/>
  <c r="J601" i="19" s="1"/>
  <c r="I602" i="19"/>
  <c r="J602" i="19" s="1"/>
  <c r="I603" i="19"/>
  <c r="J603" i="19" s="1"/>
  <c r="I604" i="19"/>
  <c r="J604" i="19" s="1"/>
  <c r="I605" i="19"/>
  <c r="J605" i="19" s="1"/>
  <c r="I606" i="19"/>
  <c r="J606" i="19" s="1"/>
  <c r="I607" i="19"/>
  <c r="J607" i="19" s="1"/>
  <c r="I608" i="19"/>
  <c r="J608" i="19" s="1"/>
  <c r="I609" i="19"/>
  <c r="J609" i="19" s="1"/>
  <c r="I610" i="19"/>
  <c r="J610" i="19" s="1"/>
  <c r="I611" i="19"/>
  <c r="J611" i="19" s="1"/>
  <c r="I612" i="19"/>
  <c r="J612" i="19" s="1"/>
  <c r="I613" i="19"/>
  <c r="J613" i="19" s="1"/>
  <c r="I614" i="19"/>
  <c r="J614" i="19" s="1"/>
  <c r="I615" i="19"/>
  <c r="J615" i="19" s="1"/>
  <c r="I616" i="19"/>
  <c r="J616" i="19" s="1"/>
  <c r="I617" i="19"/>
  <c r="J617" i="19" s="1"/>
  <c r="I618" i="19"/>
  <c r="J618" i="19" s="1"/>
  <c r="I619" i="19"/>
  <c r="J619" i="19" s="1"/>
  <c r="I620" i="19"/>
  <c r="J620" i="19" s="1"/>
  <c r="I621" i="19"/>
  <c r="J621" i="19" s="1"/>
  <c r="I622" i="19"/>
  <c r="J622" i="19" s="1"/>
  <c r="I623" i="19"/>
  <c r="J623" i="19" s="1"/>
  <c r="I624" i="19"/>
  <c r="J624" i="19" s="1"/>
  <c r="I625" i="19"/>
  <c r="J625" i="19" s="1"/>
  <c r="I626" i="19"/>
  <c r="J626" i="19" s="1"/>
  <c r="I627" i="19"/>
  <c r="J627" i="19" s="1"/>
  <c r="I628" i="19"/>
  <c r="J628" i="19" s="1"/>
  <c r="I629" i="19"/>
  <c r="J629" i="19" s="1"/>
  <c r="I630" i="19"/>
  <c r="J630" i="19" s="1"/>
  <c r="I631" i="19"/>
  <c r="J631" i="19" s="1"/>
  <c r="I632" i="19"/>
  <c r="J632" i="19" s="1"/>
  <c r="I633" i="19"/>
  <c r="J633" i="19" s="1"/>
  <c r="I634" i="19"/>
  <c r="J634" i="19" s="1"/>
  <c r="I635" i="19"/>
  <c r="J635" i="19" s="1"/>
  <c r="I636" i="19"/>
  <c r="J636" i="19" s="1"/>
  <c r="I637" i="19"/>
  <c r="J637" i="19" s="1"/>
  <c r="I638" i="19"/>
  <c r="J638" i="19" s="1"/>
  <c r="I639" i="19"/>
  <c r="J639" i="19" s="1"/>
  <c r="I640" i="19"/>
  <c r="J640" i="19" s="1"/>
  <c r="I641" i="19"/>
  <c r="J641" i="19" s="1"/>
  <c r="I642" i="19"/>
  <c r="J642" i="19" s="1"/>
  <c r="I643" i="19"/>
  <c r="J643" i="19" s="1"/>
  <c r="I644" i="19"/>
  <c r="J644" i="19" s="1"/>
  <c r="I645" i="19"/>
  <c r="J645" i="19" s="1"/>
  <c r="I646" i="19"/>
  <c r="J646" i="19" s="1"/>
  <c r="I647" i="19"/>
  <c r="J647" i="19" s="1"/>
  <c r="I648" i="19"/>
  <c r="J648" i="19" s="1"/>
  <c r="I649" i="19"/>
  <c r="J649" i="19" s="1"/>
  <c r="I650" i="19"/>
  <c r="J650" i="19" s="1"/>
  <c r="I651" i="19"/>
  <c r="J651" i="19" s="1"/>
  <c r="I652" i="19"/>
  <c r="J652" i="19" s="1"/>
  <c r="I653" i="19"/>
  <c r="J653" i="19" s="1"/>
  <c r="I654" i="19"/>
  <c r="J654" i="19" s="1"/>
  <c r="I655" i="19"/>
  <c r="J655" i="19" s="1"/>
  <c r="I656" i="19"/>
  <c r="J656" i="19" s="1"/>
  <c r="I657" i="19"/>
  <c r="J657" i="19" s="1"/>
  <c r="I658" i="19"/>
  <c r="J658" i="19" s="1"/>
  <c r="I659" i="19"/>
  <c r="J659" i="19" s="1"/>
  <c r="I660" i="19"/>
  <c r="J660" i="19" s="1"/>
  <c r="I661" i="19"/>
  <c r="J661" i="19" s="1"/>
  <c r="I662" i="19"/>
  <c r="J662" i="19" s="1"/>
  <c r="I663" i="19"/>
  <c r="J663" i="19" s="1"/>
  <c r="I664" i="19"/>
  <c r="J664" i="19" s="1"/>
  <c r="I665" i="19"/>
  <c r="J665" i="19" s="1"/>
  <c r="I666" i="19"/>
  <c r="J666" i="19" s="1"/>
  <c r="I667" i="19"/>
  <c r="J667" i="19" s="1"/>
  <c r="I668" i="19"/>
  <c r="J668" i="19" s="1"/>
  <c r="I669" i="19"/>
  <c r="J669" i="19" s="1"/>
  <c r="I670" i="19"/>
  <c r="J670" i="19" s="1"/>
  <c r="I671" i="19"/>
  <c r="J671" i="19" s="1"/>
  <c r="I672" i="19"/>
  <c r="J672" i="19" s="1"/>
  <c r="I673" i="19"/>
  <c r="J673" i="19" s="1"/>
  <c r="I674" i="19"/>
  <c r="J674" i="19" s="1"/>
  <c r="I675" i="19"/>
  <c r="J675" i="19" s="1"/>
  <c r="I676" i="19"/>
  <c r="J676" i="19" s="1"/>
  <c r="I677" i="19"/>
  <c r="J677" i="19" s="1"/>
  <c r="I678" i="19"/>
  <c r="J678" i="19" s="1"/>
  <c r="I679" i="19"/>
  <c r="J679" i="19" s="1"/>
  <c r="I680" i="19"/>
  <c r="J680" i="19" s="1"/>
  <c r="I681" i="19"/>
  <c r="J681" i="19" s="1"/>
  <c r="I682" i="19"/>
  <c r="J682" i="19" s="1"/>
  <c r="I683" i="19"/>
  <c r="J683" i="19" s="1"/>
  <c r="I684" i="19"/>
  <c r="J684" i="19" s="1"/>
  <c r="I685" i="19"/>
  <c r="J685" i="19" s="1"/>
  <c r="I686" i="19"/>
  <c r="J686" i="19" s="1"/>
  <c r="I687" i="19"/>
  <c r="J687" i="19" s="1"/>
  <c r="I688" i="19"/>
  <c r="J688" i="19" s="1"/>
  <c r="I689" i="19"/>
  <c r="J689" i="19" s="1"/>
  <c r="I690" i="19"/>
  <c r="J690" i="19" s="1"/>
  <c r="I691" i="19"/>
  <c r="J691" i="19" s="1"/>
  <c r="I692" i="19"/>
  <c r="J692" i="19" s="1"/>
  <c r="I693" i="19"/>
  <c r="J693" i="19" s="1"/>
  <c r="I694" i="19"/>
  <c r="J694" i="19" s="1"/>
  <c r="I695" i="19"/>
  <c r="J695" i="19" s="1"/>
  <c r="I696" i="19"/>
  <c r="J696" i="19" s="1"/>
  <c r="I697" i="19"/>
  <c r="J697" i="19" s="1"/>
  <c r="I698" i="19"/>
  <c r="J698" i="19" s="1"/>
  <c r="I699" i="19"/>
  <c r="J699" i="19" s="1"/>
  <c r="I700" i="19"/>
  <c r="J700" i="19" s="1"/>
  <c r="I701" i="19"/>
  <c r="J701" i="19" s="1"/>
  <c r="I702" i="19"/>
  <c r="J702" i="19" s="1"/>
  <c r="I703" i="19"/>
  <c r="J703" i="19" s="1"/>
  <c r="I704" i="19"/>
  <c r="J704" i="19" s="1"/>
  <c r="I705" i="19"/>
  <c r="J705" i="19" s="1"/>
  <c r="I706" i="19"/>
  <c r="J706" i="19" s="1"/>
  <c r="I707" i="19"/>
  <c r="J707" i="19" s="1"/>
  <c r="I708" i="19"/>
  <c r="J708" i="19" s="1"/>
  <c r="I709" i="19"/>
  <c r="J709" i="19" s="1"/>
  <c r="I710" i="19"/>
  <c r="J710" i="19" s="1"/>
  <c r="I711" i="19"/>
  <c r="J711" i="19" s="1"/>
  <c r="I712" i="19"/>
  <c r="J712" i="19" s="1"/>
  <c r="I713" i="19"/>
  <c r="J713" i="19" s="1"/>
  <c r="I714" i="19"/>
  <c r="J714" i="19" s="1"/>
  <c r="I715" i="19"/>
  <c r="J715" i="19" s="1"/>
  <c r="I716" i="19"/>
  <c r="J716" i="19" s="1"/>
  <c r="I717" i="19"/>
  <c r="J717" i="19" s="1"/>
  <c r="I718" i="19"/>
  <c r="J718" i="19" s="1"/>
  <c r="I719" i="19"/>
  <c r="J719" i="19" s="1"/>
  <c r="I720" i="19"/>
  <c r="J720" i="19" s="1"/>
  <c r="I721" i="19"/>
  <c r="J721" i="19" s="1"/>
  <c r="I722" i="19"/>
  <c r="J722" i="19" s="1"/>
  <c r="I723" i="19"/>
  <c r="J723" i="19" s="1"/>
  <c r="I724" i="19"/>
  <c r="J724" i="19" s="1"/>
  <c r="I725" i="19"/>
  <c r="J725" i="19" s="1"/>
  <c r="I726" i="19"/>
  <c r="J726" i="19" s="1"/>
  <c r="I727" i="19"/>
  <c r="J727" i="19" s="1"/>
  <c r="I728" i="19"/>
  <c r="J728" i="19" s="1"/>
  <c r="I729" i="19"/>
  <c r="J729" i="19" s="1"/>
  <c r="I730" i="19"/>
  <c r="J730" i="19" s="1"/>
  <c r="I731" i="19"/>
  <c r="J731" i="19" s="1"/>
  <c r="I732" i="19"/>
  <c r="J732" i="19" s="1"/>
  <c r="I733" i="19"/>
  <c r="J733" i="19" s="1"/>
  <c r="I734" i="19"/>
  <c r="J734" i="19" s="1"/>
  <c r="I735" i="19"/>
  <c r="J735" i="19" s="1"/>
  <c r="I736" i="19"/>
  <c r="J736" i="19" s="1"/>
  <c r="I737" i="19"/>
  <c r="J737" i="19" s="1"/>
  <c r="I738" i="19"/>
  <c r="J738" i="19" s="1"/>
  <c r="I739" i="19"/>
  <c r="J739" i="19" s="1"/>
  <c r="I740" i="19"/>
  <c r="J740" i="19" s="1"/>
  <c r="I741" i="19"/>
  <c r="J741" i="19" s="1"/>
  <c r="I742" i="19"/>
  <c r="J742" i="19" s="1"/>
  <c r="I743" i="19"/>
  <c r="J743" i="19" s="1"/>
  <c r="I744" i="19"/>
  <c r="J744" i="19" s="1"/>
  <c r="I745" i="19"/>
  <c r="J745" i="19" s="1"/>
  <c r="I746" i="19"/>
  <c r="J746" i="19" s="1"/>
  <c r="I747" i="19"/>
  <c r="J747" i="19" s="1"/>
  <c r="I748" i="19"/>
  <c r="J748" i="19" s="1"/>
  <c r="I749" i="19"/>
  <c r="J749" i="19" s="1"/>
  <c r="I750" i="19"/>
  <c r="J750" i="19" s="1"/>
  <c r="I751" i="19"/>
  <c r="J751" i="19" s="1"/>
  <c r="I752" i="19"/>
  <c r="J752" i="19" s="1"/>
  <c r="I753" i="19"/>
  <c r="J753" i="19" s="1"/>
  <c r="I754" i="19"/>
  <c r="J754" i="19" s="1"/>
  <c r="I755" i="19"/>
  <c r="J755" i="19" s="1"/>
  <c r="I756" i="19"/>
  <c r="J756" i="19" s="1"/>
  <c r="I757" i="19"/>
  <c r="J757" i="19" s="1"/>
  <c r="I758" i="19"/>
  <c r="J758" i="19" s="1"/>
  <c r="I759" i="19"/>
  <c r="J759" i="19" s="1"/>
  <c r="I760" i="19"/>
  <c r="J760" i="19" s="1"/>
  <c r="I761" i="19"/>
  <c r="J761" i="19" s="1"/>
  <c r="I762" i="19"/>
  <c r="J762" i="19" s="1"/>
  <c r="I763" i="19"/>
  <c r="J763" i="19" s="1"/>
  <c r="I764" i="19"/>
  <c r="J764" i="19" s="1"/>
  <c r="I765" i="19"/>
  <c r="J765" i="19" s="1"/>
  <c r="I766" i="19"/>
  <c r="J766" i="19" s="1"/>
  <c r="I767" i="19"/>
  <c r="J767" i="19" s="1"/>
  <c r="I768" i="19"/>
  <c r="J768" i="19" s="1"/>
  <c r="I769" i="19"/>
  <c r="J769" i="19" s="1"/>
  <c r="I770" i="19"/>
  <c r="J770" i="19" s="1"/>
  <c r="I771" i="19"/>
  <c r="J771" i="19" s="1"/>
  <c r="I772" i="19"/>
  <c r="J772" i="19" s="1"/>
  <c r="I773" i="19"/>
  <c r="J773" i="19" s="1"/>
  <c r="I774" i="19"/>
  <c r="J774" i="19" s="1"/>
  <c r="I775" i="19"/>
  <c r="J775" i="19" s="1"/>
  <c r="I776" i="19"/>
  <c r="J776" i="19" s="1"/>
  <c r="I777" i="19"/>
  <c r="J777" i="19" s="1"/>
  <c r="I778" i="19"/>
  <c r="J778" i="19" s="1"/>
  <c r="I779" i="19"/>
  <c r="J779" i="19" s="1"/>
  <c r="I780" i="19"/>
  <c r="J780" i="19" s="1"/>
  <c r="I781" i="19"/>
  <c r="J781" i="19" s="1"/>
  <c r="I782" i="19"/>
  <c r="J782" i="19" s="1"/>
  <c r="I783" i="19"/>
  <c r="J783" i="19" s="1"/>
  <c r="I784" i="19"/>
  <c r="J784" i="19" s="1"/>
  <c r="I785" i="19"/>
  <c r="J785" i="19" s="1"/>
  <c r="I786" i="19"/>
  <c r="J786" i="19" s="1"/>
  <c r="I787" i="19"/>
  <c r="J787" i="19" s="1"/>
  <c r="I788" i="19"/>
  <c r="J788" i="19" s="1"/>
  <c r="I789" i="19"/>
  <c r="J789" i="19" s="1"/>
  <c r="I790" i="19"/>
  <c r="J790" i="19" s="1"/>
  <c r="I791" i="19"/>
  <c r="J791" i="19" s="1"/>
  <c r="I792" i="19"/>
  <c r="J792" i="19" s="1"/>
  <c r="I793" i="19"/>
  <c r="J793" i="19" s="1"/>
  <c r="I794" i="19"/>
  <c r="J794" i="19" s="1"/>
  <c r="I795" i="19"/>
  <c r="J795" i="19" s="1"/>
  <c r="I796" i="19"/>
  <c r="J796" i="19" s="1"/>
  <c r="I797" i="19"/>
  <c r="J797" i="19" s="1"/>
  <c r="I798" i="19"/>
  <c r="J798" i="19" s="1"/>
  <c r="I799" i="19"/>
  <c r="J799" i="19" s="1"/>
  <c r="I800" i="19"/>
  <c r="J800" i="19" s="1"/>
  <c r="I801" i="19"/>
  <c r="J801" i="19" s="1"/>
  <c r="I802" i="19"/>
  <c r="J802" i="19" s="1"/>
  <c r="I803" i="19"/>
  <c r="J803" i="19" s="1"/>
  <c r="I804" i="19"/>
  <c r="J804" i="19" s="1"/>
  <c r="I805" i="19"/>
  <c r="J805" i="19" s="1"/>
  <c r="I806" i="19"/>
  <c r="J806" i="19" s="1"/>
  <c r="I807" i="19"/>
  <c r="J807" i="19" s="1"/>
  <c r="I808" i="19"/>
  <c r="J808" i="19" s="1"/>
  <c r="I809" i="19"/>
  <c r="J809" i="19" s="1"/>
  <c r="I810" i="19"/>
  <c r="J810" i="19" s="1"/>
  <c r="I811" i="19"/>
  <c r="J811" i="19" s="1"/>
  <c r="I812" i="19"/>
  <c r="J812" i="19" s="1"/>
  <c r="I813" i="19"/>
  <c r="J813" i="19" s="1"/>
  <c r="I814" i="19"/>
  <c r="J814" i="19" s="1"/>
  <c r="I815" i="19"/>
  <c r="J815" i="19" s="1"/>
  <c r="I816" i="19"/>
  <c r="J816" i="19" s="1"/>
  <c r="I817" i="19"/>
  <c r="J817" i="19" s="1"/>
  <c r="I818" i="19"/>
  <c r="J818" i="19" s="1"/>
  <c r="I819" i="19"/>
  <c r="J819" i="19" s="1"/>
  <c r="I820" i="19"/>
  <c r="J820" i="19" s="1"/>
  <c r="I821" i="19"/>
  <c r="J821" i="19" s="1"/>
  <c r="I822" i="19"/>
  <c r="J822" i="19" s="1"/>
  <c r="I823" i="19"/>
  <c r="J823" i="19" s="1"/>
  <c r="I824" i="19"/>
  <c r="J824" i="19" s="1"/>
  <c r="I825" i="19"/>
  <c r="J825" i="19" s="1"/>
  <c r="I826" i="19"/>
  <c r="J826" i="19" s="1"/>
  <c r="I827" i="19"/>
  <c r="J827" i="19" s="1"/>
  <c r="I828" i="19"/>
  <c r="J828" i="19" s="1"/>
  <c r="I829" i="19"/>
  <c r="J829" i="19" s="1"/>
  <c r="I830" i="19"/>
  <c r="J830" i="19" s="1"/>
  <c r="I831" i="19"/>
  <c r="J831" i="19" s="1"/>
  <c r="I832" i="19"/>
  <c r="J832" i="19" s="1"/>
  <c r="I833" i="19"/>
  <c r="J833" i="19" s="1"/>
  <c r="I834" i="19"/>
  <c r="J834" i="19" s="1"/>
  <c r="I835" i="19"/>
  <c r="J835" i="19" s="1"/>
  <c r="I836" i="19"/>
  <c r="J836" i="19" s="1"/>
  <c r="I837" i="19"/>
  <c r="J837" i="19" s="1"/>
  <c r="I838" i="19"/>
  <c r="J838" i="19" s="1"/>
  <c r="I839" i="19"/>
  <c r="J839" i="19" s="1"/>
  <c r="I840" i="19"/>
  <c r="J840" i="19" s="1"/>
  <c r="I841" i="19"/>
  <c r="J841" i="19" s="1"/>
  <c r="I842" i="19"/>
  <c r="J842" i="19" s="1"/>
  <c r="I843" i="19"/>
  <c r="J843" i="19" s="1"/>
  <c r="I844" i="19"/>
  <c r="J844" i="19" s="1"/>
  <c r="I845" i="19"/>
  <c r="J845" i="19" s="1"/>
  <c r="I846" i="19"/>
  <c r="J846" i="19" s="1"/>
  <c r="I847" i="19"/>
  <c r="J847" i="19" s="1"/>
  <c r="I848" i="19"/>
  <c r="J848" i="19" s="1"/>
  <c r="I849" i="19"/>
  <c r="J849" i="19" s="1"/>
  <c r="I850" i="19"/>
  <c r="J850" i="19" s="1"/>
  <c r="I851" i="19"/>
  <c r="J851" i="19" s="1"/>
  <c r="I852" i="19"/>
  <c r="J852" i="19" s="1"/>
  <c r="I853" i="19"/>
  <c r="J853" i="19" s="1"/>
  <c r="I854" i="19"/>
  <c r="J854" i="19" s="1"/>
  <c r="I855" i="19"/>
  <c r="J855" i="19" s="1"/>
  <c r="I856" i="19"/>
  <c r="J856" i="19" s="1"/>
  <c r="I857" i="19"/>
  <c r="J857" i="19" s="1"/>
  <c r="I858" i="19"/>
  <c r="J858" i="19" s="1"/>
  <c r="I859" i="19"/>
  <c r="J859" i="19" s="1"/>
  <c r="I860" i="19"/>
  <c r="J860" i="19" s="1"/>
  <c r="I861" i="19"/>
  <c r="J861" i="19" s="1"/>
  <c r="I862" i="19"/>
  <c r="J862" i="19" s="1"/>
  <c r="I863" i="19"/>
  <c r="J863" i="19" s="1"/>
  <c r="I864" i="19"/>
  <c r="J864" i="19" s="1"/>
  <c r="I865" i="19"/>
  <c r="J865" i="19" s="1"/>
  <c r="I866" i="19"/>
  <c r="J866" i="19" s="1"/>
  <c r="I867" i="19"/>
  <c r="J867" i="19" s="1"/>
  <c r="I868" i="19"/>
  <c r="J868" i="19" s="1"/>
  <c r="I869" i="19"/>
  <c r="J869" i="19" s="1"/>
  <c r="I870" i="19"/>
  <c r="J870" i="19" s="1"/>
  <c r="I871" i="19"/>
  <c r="J871" i="19" s="1"/>
  <c r="I872" i="19"/>
  <c r="J872" i="19" s="1"/>
  <c r="I873" i="19"/>
  <c r="J873" i="19" s="1"/>
  <c r="I874" i="19"/>
  <c r="J874" i="19" s="1"/>
  <c r="I875" i="19"/>
  <c r="J875" i="19" s="1"/>
  <c r="I876" i="19"/>
  <c r="J876" i="19" s="1"/>
  <c r="I877" i="19"/>
  <c r="J877" i="19" s="1"/>
  <c r="I878" i="19"/>
  <c r="J878" i="19" s="1"/>
  <c r="I879" i="19"/>
  <c r="J879" i="19" s="1"/>
  <c r="I880" i="19"/>
  <c r="J880" i="19" s="1"/>
  <c r="I881" i="19"/>
  <c r="J881" i="19" s="1"/>
  <c r="I882" i="19"/>
  <c r="J882" i="19" s="1"/>
  <c r="I883" i="19"/>
  <c r="J883" i="19" s="1"/>
  <c r="I884" i="19"/>
  <c r="J884" i="19" s="1"/>
  <c r="I885" i="19"/>
  <c r="J885" i="19" s="1"/>
  <c r="I886" i="19"/>
  <c r="J886" i="19" s="1"/>
  <c r="I887" i="19"/>
  <c r="J887" i="19" s="1"/>
  <c r="I888" i="19"/>
  <c r="J888" i="19" s="1"/>
  <c r="I889" i="19"/>
  <c r="J889" i="19" s="1"/>
  <c r="I890" i="19"/>
  <c r="J890" i="19" s="1"/>
  <c r="I891" i="19"/>
  <c r="J891" i="19" s="1"/>
  <c r="I892" i="19"/>
  <c r="J892" i="19" s="1"/>
  <c r="I893" i="19"/>
  <c r="J893" i="19" s="1"/>
  <c r="I894" i="19"/>
  <c r="J894" i="19" s="1"/>
  <c r="I895" i="19"/>
  <c r="J895" i="19" s="1"/>
  <c r="I896" i="19"/>
  <c r="J896" i="19" s="1"/>
  <c r="I897" i="19"/>
  <c r="J897" i="19" s="1"/>
  <c r="I898" i="19"/>
  <c r="J898" i="19" s="1"/>
  <c r="I899" i="19"/>
  <c r="J899" i="19" s="1"/>
  <c r="I900" i="19"/>
  <c r="J900" i="19" s="1"/>
  <c r="I901" i="19"/>
  <c r="J901" i="19" s="1"/>
  <c r="I902" i="19"/>
  <c r="J902" i="19" s="1"/>
  <c r="I903" i="19"/>
  <c r="J903" i="19" s="1"/>
  <c r="I904" i="19"/>
  <c r="J904" i="19" s="1"/>
  <c r="I905" i="19"/>
  <c r="J905" i="19" s="1"/>
  <c r="I906" i="19"/>
  <c r="J906" i="19" s="1"/>
  <c r="I907" i="19"/>
  <c r="J907" i="19" s="1"/>
  <c r="I908" i="19"/>
  <c r="J908" i="19" s="1"/>
  <c r="I909" i="19"/>
  <c r="J909" i="19" s="1"/>
  <c r="I910" i="19"/>
  <c r="J910" i="19" s="1"/>
  <c r="I911" i="19"/>
  <c r="J911" i="19" s="1"/>
  <c r="I912" i="19"/>
  <c r="J912" i="19" s="1"/>
  <c r="I913" i="19"/>
  <c r="J913" i="19" s="1"/>
  <c r="I914" i="19"/>
  <c r="J914" i="19" s="1"/>
  <c r="I915" i="19"/>
  <c r="J915" i="19" s="1"/>
  <c r="I916" i="19"/>
  <c r="J916" i="19" s="1"/>
  <c r="I917" i="19"/>
  <c r="J917" i="19" s="1"/>
  <c r="I918" i="19"/>
  <c r="J918" i="19" s="1"/>
  <c r="I919" i="19"/>
  <c r="J919" i="19" s="1"/>
  <c r="I920" i="19"/>
  <c r="J920" i="19" s="1"/>
  <c r="I921" i="19"/>
  <c r="J921" i="19" s="1"/>
  <c r="I922" i="19"/>
  <c r="J922" i="19" s="1"/>
  <c r="I923" i="19"/>
  <c r="J923" i="19" s="1"/>
  <c r="I924" i="19"/>
  <c r="J924" i="19" s="1"/>
  <c r="I925" i="19"/>
  <c r="J925" i="19" s="1"/>
  <c r="I926" i="19"/>
  <c r="J926" i="19" s="1"/>
  <c r="I927" i="19"/>
  <c r="J927" i="19" s="1"/>
  <c r="I928" i="19"/>
  <c r="J928" i="19" s="1"/>
  <c r="I929" i="19"/>
  <c r="J929" i="19" s="1"/>
  <c r="I930" i="19"/>
  <c r="J930" i="19" s="1"/>
  <c r="I931" i="19"/>
  <c r="J931" i="19" s="1"/>
  <c r="I932" i="19"/>
  <c r="J932" i="19" s="1"/>
  <c r="I933" i="19"/>
  <c r="J933" i="19" s="1"/>
  <c r="I934" i="19"/>
  <c r="J934" i="19" s="1"/>
  <c r="I935" i="19"/>
  <c r="J935" i="19" s="1"/>
  <c r="I936" i="19"/>
  <c r="J936" i="19" s="1"/>
  <c r="I937" i="19"/>
  <c r="J937" i="19" s="1"/>
  <c r="I938" i="19"/>
  <c r="J938" i="19" s="1"/>
  <c r="I939" i="19"/>
  <c r="J939" i="19" s="1"/>
  <c r="I940" i="19"/>
  <c r="J940" i="19" s="1"/>
  <c r="I941" i="19"/>
  <c r="J941" i="19" s="1"/>
  <c r="I942" i="19"/>
  <c r="J942" i="19" s="1"/>
  <c r="I943" i="19"/>
  <c r="J943" i="19" s="1"/>
  <c r="I944" i="19"/>
  <c r="J944" i="19" s="1"/>
  <c r="I945" i="19"/>
  <c r="J945" i="19" s="1"/>
  <c r="I946" i="19"/>
  <c r="J946" i="19" s="1"/>
  <c r="I947" i="19"/>
  <c r="J947" i="19" s="1"/>
  <c r="I948" i="19"/>
  <c r="J948" i="19" s="1"/>
  <c r="I949" i="19"/>
  <c r="J949" i="19" s="1"/>
  <c r="I950" i="19"/>
  <c r="J950" i="19" s="1"/>
  <c r="I951" i="19"/>
  <c r="J951" i="19" s="1"/>
  <c r="I952" i="19"/>
  <c r="J952" i="19" s="1"/>
  <c r="I953" i="19"/>
  <c r="J953" i="19" s="1"/>
  <c r="I954" i="19"/>
  <c r="J954" i="19" s="1"/>
  <c r="I955" i="19"/>
  <c r="J955" i="19" s="1"/>
  <c r="I956" i="19"/>
  <c r="J956" i="19" s="1"/>
  <c r="I957" i="19"/>
  <c r="J957" i="19" s="1"/>
  <c r="I958" i="19"/>
  <c r="J958" i="19" s="1"/>
  <c r="I959" i="19"/>
  <c r="J959" i="19" s="1"/>
  <c r="I960" i="19"/>
  <c r="J960" i="19" s="1"/>
  <c r="I961" i="19"/>
  <c r="J961" i="19" s="1"/>
  <c r="I962" i="19"/>
  <c r="J962" i="19" s="1"/>
  <c r="I963" i="19"/>
  <c r="J963" i="19" s="1"/>
  <c r="I964" i="19"/>
  <c r="J964" i="19" s="1"/>
  <c r="I965" i="19"/>
  <c r="J965" i="19" s="1"/>
  <c r="I966" i="19"/>
  <c r="J966" i="19" s="1"/>
  <c r="I967" i="19"/>
  <c r="J967" i="19" s="1"/>
  <c r="I968" i="19"/>
  <c r="J968" i="19" s="1"/>
  <c r="I969" i="19"/>
  <c r="J969" i="19" s="1"/>
  <c r="I970" i="19"/>
  <c r="J970" i="19" s="1"/>
  <c r="I971" i="19"/>
  <c r="J971" i="19" s="1"/>
  <c r="I972" i="19"/>
  <c r="J972" i="19" s="1"/>
  <c r="I973" i="19"/>
  <c r="J973" i="19" s="1"/>
  <c r="I974" i="19"/>
  <c r="J974" i="19" s="1"/>
  <c r="I975" i="19"/>
  <c r="J975" i="19" s="1"/>
  <c r="I976" i="19"/>
  <c r="J976" i="19" s="1"/>
  <c r="I977" i="19"/>
  <c r="J977" i="19" s="1"/>
  <c r="I978" i="19"/>
  <c r="J978" i="19" s="1"/>
  <c r="I979" i="19"/>
  <c r="J979" i="19" s="1"/>
  <c r="I980" i="19"/>
  <c r="J980" i="19" s="1"/>
  <c r="I981" i="19"/>
  <c r="J981" i="19" s="1"/>
  <c r="I982" i="19"/>
  <c r="J982" i="19" s="1"/>
  <c r="I983" i="19"/>
  <c r="J983" i="19" s="1"/>
  <c r="I984" i="19"/>
  <c r="J984" i="19" s="1"/>
  <c r="I985" i="19"/>
  <c r="J985" i="19" s="1"/>
  <c r="I986" i="19"/>
  <c r="J986" i="19" s="1"/>
  <c r="I987" i="19"/>
  <c r="J987" i="19" s="1"/>
  <c r="I988" i="19"/>
  <c r="J988" i="19" s="1"/>
  <c r="I989" i="19"/>
  <c r="J989" i="19" s="1"/>
  <c r="I990" i="19"/>
  <c r="J990" i="19" s="1"/>
  <c r="I991" i="19"/>
  <c r="J991" i="19" s="1"/>
  <c r="I992" i="19"/>
  <c r="J992" i="19" s="1"/>
  <c r="I993" i="19"/>
  <c r="J993" i="19" s="1"/>
  <c r="I994" i="19"/>
  <c r="J994" i="19" s="1"/>
  <c r="I995" i="19"/>
  <c r="J995" i="19" s="1"/>
  <c r="I996" i="19"/>
  <c r="J996" i="19" s="1"/>
  <c r="I997" i="19"/>
  <c r="J997" i="19" s="1"/>
  <c r="I998" i="19"/>
  <c r="J998" i="19" s="1"/>
  <c r="I999" i="19"/>
  <c r="J999" i="19" s="1"/>
  <c r="I1000" i="19"/>
  <c r="J1000" i="19" s="1"/>
  <c r="I1001" i="19"/>
  <c r="J1001" i="19" s="1"/>
  <c r="I1002" i="19"/>
  <c r="J1002" i="19" s="1"/>
  <c r="I1003" i="19"/>
  <c r="J1003" i="19" s="1"/>
  <c r="I1004" i="19"/>
  <c r="J1004" i="19" s="1"/>
  <c r="I1005" i="19"/>
  <c r="J1005" i="19" s="1"/>
  <c r="I1006" i="19"/>
  <c r="J1006" i="19" s="1"/>
  <c r="I1007" i="19"/>
  <c r="J1007" i="19" s="1"/>
  <c r="I1008" i="19"/>
  <c r="J1008" i="19" s="1"/>
  <c r="I1009" i="19"/>
  <c r="J1009" i="19" s="1"/>
  <c r="I1010" i="19"/>
  <c r="J1010" i="19" s="1"/>
  <c r="I1011" i="19"/>
  <c r="J1011" i="19" s="1"/>
  <c r="I1012" i="19"/>
  <c r="J1012" i="19" s="1"/>
  <c r="I1013" i="19"/>
  <c r="J1013" i="19" s="1"/>
  <c r="I1014" i="19"/>
  <c r="J1014" i="19" s="1"/>
  <c r="I1015" i="19"/>
  <c r="J1015" i="19" s="1"/>
  <c r="I1016" i="19"/>
  <c r="J1016" i="19" s="1"/>
  <c r="I1017" i="19"/>
  <c r="J1017" i="19" s="1"/>
  <c r="I1018" i="19"/>
  <c r="J1018" i="19" s="1"/>
  <c r="I1019" i="19"/>
  <c r="J1019" i="19" s="1"/>
  <c r="I1020" i="19"/>
  <c r="J1020" i="19" s="1"/>
  <c r="I1021" i="19"/>
  <c r="J1021" i="19" s="1"/>
  <c r="I1022" i="19"/>
  <c r="J1022" i="19" s="1"/>
  <c r="I1023" i="19"/>
  <c r="J1023" i="19" s="1"/>
  <c r="I1024" i="19"/>
  <c r="J1024" i="19" s="1"/>
  <c r="I1025" i="19"/>
  <c r="J1025" i="19" s="1"/>
  <c r="I1026" i="19"/>
  <c r="J1026" i="19" s="1"/>
  <c r="I1027" i="19"/>
  <c r="J1027" i="19" s="1"/>
  <c r="I1028" i="19"/>
  <c r="J1028" i="19" s="1"/>
  <c r="I1029" i="19"/>
  <c r="J1029" i="19" s="1"/>
  <c r="I1030" i="19"/>
  <c r="J1030" i="19" s="1"/>
  <c r="I1031" i="19"/>
  <c r="J1031" i="19" s="1"/>
  <c r="I1032" i="19"/>
  <c r="J1032" i="19" s="1"/>
  <c r="I1033" i="19"/>
  <c r="J1033" i="19" s="1"/>
  <c r="I1034" i="19"/>
  <c r="J1034" i="19" s="1"/>
  <c r="I1035" i="19"/>
  <c r="J1035" i="19" s="1"/>
  <c r="I1036" i="19"/>
  <c r="J1036" i="19" s="1"/>
  <c r="I1037" i="19"/>
  <c r="J1037" i="19" s="1"/>
  <c r="I1038" i="19"/>
  <c r="J1038" i="19" s="1"/>
  <c r="I1039" i="19"/>
  <c r="J1039" i="19" s="1"/>
  <c r="I1040" i="19"/>
  <c r="J1040" i="19" s="1"/>
  <c r="G91" i="7"/>
</calcChain>
</file>

<file path=xl/sharedStrings.xml><?xml version="1.0" encoding="utf-8"?>
<sst xmlns="http://schemas.openxmlformats.org/spreadsheetml/2006/main" count="6551" uniqueCount="94">
  <si>
    <t>Sales data from 2019 to 2021</t>
  </si>
  <si>
    <t xml:space="preserve">Reciept no </t>
  </si>
  <si>
    <t xml:space="preserve">Order date </t>
  </si>
  <si>
    <t>Ordertype name</t>
  </si>
  <si>
    <t>Item name</t>
  </si>
  <si>
    <t>Category name</t>
  </si>
  <si>
    <t>Selling price</t>
  </si>
  <si>
    <t>Item quantity</t>
  </si>
  <si>
    <t>Item amount</t>
  </si>
  <si>
    <t>On Shop</t>
  </si>
  <si>
    <t xml:space="preserve"> Jeans - Levis</t>
  </si>
  <si>
    <t>Casual Wear</t>
  </si>
  <si>
    <t xml:space="preserve"> Jeans - Denim</t>
  </si>
  <si>
    <t>Online Order</t>
  </si>
  <si>
    <t xml:space="preserve"> Jeans - Zara</t>
  </si>
  <si>
    <t xml:space="preserve"> Jeans - Lega</t>
  </si>
  <si>
    <t xml:space="preserve"> Shirt - PE</t>
  </si>
  <si>
    <t>Semi Formal</t>
  </si>
  <si>
    <t xml:space="preserve"> T-shirt</t>
  </si>
  <si>
    <t xml:space="preserve"> shirt</t>
  </si>
  <si>
    <t>Formal</t>
  </si>
  <si>
    <t xml:space="preserve"> Shirt - Arrow</t>
  </si>
  <si>
    <t xml:space="preserve"> Wallet</t>
  </si>
  <si>
    <t>Accessories</t>
  </si>
  <si>
    <t xml:space="preserve"> Chain</t>
  </si>
  <si>
    <t xml:space="preserve">The total price for all the ordered products </t>
  </si>
  <si>
    <t xml:space="preserve">The quantity of the sold product </t>
  </si>
  <si>
    <t>The final price ( the customer selling price )</t>
  </si>
  <si>
    <t xml:space="preserve">The main category of the product </t>
  </si>
  <si>
    <t xml:space="preserve">The name of the product </t>
  </si>
  <si>
    <t xml:space="preserve">The way of selling this product whether online or on our store </t>
  </si>
  <si>
    <t xml:space="preserve">The idintifier of the process </t>
  </si>
  <si>
    <t>Receipt no</t>
  </si>
  <si>
    <t xml:space="preserve">The date of the selling process </t>
  </si>
  <si>
    <t>Sale date</t>
  </si>
  <si>
    <t xml:space="preserve">Every column describe a certain entity of our data </t>
  </si>
  <si>
    <t>This data represents the sales over months from 2019 to 2020 for town team clothing company.</t>
  </si>
  <si>
    <t xml:space="preserve">Meta-data </t>
  </si>
  <si>
    <t>Sum of Item amount</t>
  </si>
  <si>
    <t>Row Labels</t>
  </si>
  <si>
    <t>Grand Total</t>
  </si>
  <si>
    <t>Sum of Item quantity</t>
  </si>
  <si>
    <t>Sum of Item amount2</t>
  </si>
  <si>
    <t>Average of Item amount</t>
  </si>
  <si>
    <t>last</t>
  </si>
  <si>
    <t xml:space="preserve">Count of Reciept no </t>
  </si>
  <si>
    <t>count of products</t>
  </si>
  <si>
    <t xml:space="preserve">We need from you to add 15% discount on  Jeans - Denim products </t>
  </si>
  <si>
    <t>we need to know our total sales for each year and please measure if we incresed or not.</t>
  </si>
  <si>
    <t xml:space="preserve">total sales </t>
  </si>
  <si>
    <t xml:space="preserve"> </t>
  </si>
  <si>
    <t>total sales for each year</t>
  </si>
  <si>
    <t>number of producs we have?</t>
  </si>
  <si>
    <t xml:space="preserve">Avg of quantity </t>
  </si>
  <si>
    <t xml:space="preserve">number of transaction across whole data </t>
  </si>
  <si>
    <t>shop</t>
  </si>
  <si>
    <t>on</t>
  </si>
  <si>
    <t>website</t>
  </si>
  <si>
    <t>Count of Item name</t>
  </si>
  <si>
    <t>year</t>
  </si>
  <si>
    <t>item names</t>
  </si>
  <si>
    <t>Sum of Total Sales</t>
  </si>
  <si>
    <t>category name</t>
  </si>
  <si>
    <t>Average of Total Sales2</t>
  </si>
  <si>
    <t>Max of Total Sales2</t>
  </si>
  <si>
    <t>Min of Total Sales2</t>
  </si>
  <si>
    <t>Jan</t>
  </si>
  <si>
    <t>Feb</t>
  </si>
  <si>
    <t>Mar</t>
  </si>
  <si>
    <t>Apr</t>
  </si>
  <si>
    <t>May</t>
  </si>
  <si>
    <t>Jun</t>
  </si>
  <si>
    <t>Jul</t>
  </si>
  <si>
    <t>Aug</t>
  </si>
  <si>
    <t>Sep</t>
  </si>
  <si>
    <t>Oct</t>
  </si>
  <si>
    <t>Nov</t>
  </si>
  <si>
    <t>Dec</t>
  </si>
  <si>
    <t>`</t>
  </si>
  <si>
    <t>Total sales after 15% discount</t>
  </si>
  <si>
    <t>Total sales</t>
  </si>
  <si>
    <t>2021</t>
  </si>
  <si>
    <t>Sum of Total sales after 15% discount</t>
  </si>
  <si>
    <t>Count of uniqe item name</t>
  </si>
  <si>
    <t>Average of Item quantity</t>
  </si>
  <si>
    <t>KPI_no1</t>
  </si>
  <si>
    <t>KPI_no2</t>
  </si>
  <si>
    <t>KPI_no3</t>
  </si>
  <si>
    <t>KPI_no4</t>
  </si>
  <si>
    <t>KPI_no5</t>
  </si>
  <si>
    <t>Average of Total sales after 15% discount</t>
  </si>
  <si>
    <t>Column Labels</t>
  </si>
  <si>
    <t>2019</t>
  </si>
  <si>
    <t>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</si>
</sst>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14009]dd/mm/yyyy;@"/>
    <numFmt numFmtId="165" formatCode="[$EGP]\ #,##0"/>
    <numFmt numFmtId="166" formatCode="_-* #,##0_-;\-* #,##0_-;_-* &quot;-&quot;??_-;_-@_-"/>
    <numFmt numFmtId="167" formatCode="[$-F800]dddd\,\ mmmm\ dd\,\ yyyy"/>
  </numFmts>
  <fonts count="7" x14ac:knownFonts="1">
    <font>
      <sz val="11"/>
      <color theme="1"/>
      <name val="Arial"/>
      <family val="2"/>
      <scheme val="minor"/>
    </font>
    <font>
      <sz val="14"/>
      <color theme="5" tint="-0.499984740745262"/>
      <name val="Arial"/>
      <family val="2"/>
      <scheme val="minor"/>
    </font>
    <font>
      <sz val="12"/>
      <color theme="1"/>
      <name val="Arial"/>
      <family val="2"/>
      <scheme val="minor"/>
    </font>
    <font>
      <b/>
      <sz val="12"/>
      <color theme="1"/>
      <name val="Arial"/>
      <family val="2"/>
      <scheme val="minor"/>
    </font>
    <font>
      <sz val="14"/>
      <color theme="1"/>
      <name val="Arial"/>
      <family val="2"/>
      <scheme val="minor"/>
    </font>
    <font>
      <sz val="16"/>
      <color theme="5" tint="-0.249977111117893"/>
      <name val="Arial"/>
      <family val="2"/>
      <scheme val="minor"/>
    </font>
    <font>
      <b/>
      <sz val="11"/>
      <color theme="0"/>
      <name val="Arial"/>
      <family val="2"/>
      <scheme val="minor"/>
    </font>
  </fonts>
  <fills count="9">
    <fill>
      <patternFill patternType="none"/>
    </fill>
    <fill>
      <patternFill patternType="gray125"/>
    </fill>
    <fill>
      <patternFill patternType="solid">
        <fgColor theme="0"/>
        <bgColor indexed="64"/>
      </patternFill>
    </fill>
    <fill>
      <patternFill patternType="solid">
        <fgColor theme="2" tint="-0.89999084444715716"/>
        <bgColor indexed="64"/>
      </patternFill>
    </fill>
    <fill>
      <patternFill patternType="solid">
        <fgColor theme="1" tint="0.499984740745262"/>
        <bgColor indexed="64"/>
      </patternFill>
    </fill>
    <fill>
      <patternFill patternType="solid">
        <fgColor theme="1" tint="0.14999847407452621"/>
        <bgColor indexed="64"/>
      </patternFill>
    </fill>
    <fill>
      <patternFill patternType="solid">
        <fgColor theme="3" tint="0.39997558519241921"/>
        <bgColor indexed="64"/>
      </patternFill>
    </fill>
    <fill>
      <patternFill patternType="solid">
        <fgColor rgb="FFFFC000"/>
        <bgColor indexed="64"/>
      </patternFill>
    </fill>
    <fill>
      <patternFill patternType="solid">
        <fgColor theme="2" tint="-0.499984740745262"/>
        <bgColor indexed="64"/>
      </patternFill>
    </fill>
  </fills>
  <borders count="7">
    <border>
      <left/>
      <right/>
      <top/>
      <bottom/>
      <diagonal/>
    </border>
    <border>
      <left/>
      <right/>
      <top style="thin">
        <color theme="4" tint="0.39997558519241921"/>
      </top>
      <bottom style="thin">
        <color theme="4" tint="0.39997558519241921"/>
      </bottom>
      <diagonal/>
    </border>
    <border>
      <left/>
      <right/>
      <top style="thin">
        <color theme="4" tint="0.39997558519241921"/>
      </top>
      <bottom/>
      <diagonal/>
    </border>
    <border>
      <left/>
      <right style="thin">
        <color theme="4" tint="0.39997558519241921"/>
      </right>
      <top style="thin">
        <color theme="4" tint="0.39997558519241921"/>
      </top>
      <bottom style="thin">
        <color theme="4" tint="0.39997558519241921"/>
      </bottom>
      <diagonal/>
    </border>
    <border>
      <left/>
      <right style="thin">
        <color theme="4" tint="0.39997558519241921"/>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s>
  <cellStyleXfs count="1">
    <xf numFmtId="0" fontId="0" fillId="0" borderId="0"/>
  </cellStyleXfs>
  <cellXfs count="37">
    <xf numFmtId="0" fontId="0" fillId="0" borderId="0" xfId="0"/>
    <xf numFmtId="0" fontId="1" fillId="2" borderId="0" xfId="0" applyFont="1" applyFill="1"/>
    <xf numFmtId="0" fontId="0" fillId="2" borderId="0" xfId="0" applyFill="1"/>
    <xf numFmtId="0" fontId="2" fillId="2" borderId="0" xfId="0" applyFont="1" applyFill="1"/>
    <xf numFmtId="0" fontId="3" fillId="2" borderId="0" xfId="0" applyFont="1" applyFill="1"/>
    <xf numFmtId="164" fontId="3" fillId="2" borderId="0" xfId="0" applyNumberFormat="1" applyFont="1" applyFill="1"/>
    <xf numFmtId="0" fontId="4" fillId="2" borderId="0" xfId="0" applyFont="1" applyFill="1"/>
    <xf numFmtId="0" fontId="5" fillId="2" borderId="0" xfId="0" applyFont="1" applyFill="1"/>
    <xf numFmtId="0" fontId="0" fillId="0" borderId="0" xfId="0" pivotButton="1"/>
    <xf numFmtId="0" fontId="0" fillId="0" borderId="0" xfId="0" applyAlignment="1">
      <alignment horizontal="left"/>
    </xf>
    <xf numFmtId="165" fontId="0" fillId="0" borderId="0" xfId="0" applyNumberFormat="1"/>
    <xf numFmtId="10" fontId="0" fillId="0" borderId="0" xfId="0" applyNumberFormat="1"/>
    <xf numFmtId="0" fontId="0" fillId="0" borderId="0" xfId="0" applyAlignment="1">
      <alignment horizontal="left" indent="1"/>
    </xf>
    <xf numFmtId="0" fontId="6" fillId="3" borderId="2" xfId="0" applyFont="1" applyFill="1" applyBorder="1"/>
    <xf numFmtId="0" fontId="6" fillId="3" borderId="4" xfId="0" applyFont="1" applyFill="1" applyBorder="1"/>
    <xf numFmtId="0" fontId="0" fillId="0" borderId="0" xfId="0" applyAlignment="1">
      <alignment horizontal="center" vertical="center"/>
    </xf>
    <xf numFmtId="0" fontId="0" fillId="2" borderId="5" xfId="0" applyFill="1" applyBorder="1"/>
    <xf numFmtId="2" fontId="0" fillId="2" borderId="1" xfId="0" applyNumberFormat="1" applyFill="1" applyBorder="1"/>
    <xf numFmtId="0" fontId="0" fillId="2" borderId="1" xfId="0" applyFill="1" applyBorder="1"/>
    <xf numFmtId="0" fontId="0" fillId="2" borderId="3" xfId="0" applyFill="1" applyBorder="1"/>
    <xf numFmtId="0" fontId="6" fillId="3" borderId="6" xfId="0" applyFont="1" applyFill="1" applyBorder="1"/>
    <xf numFmtId="0" fontId="0" fillId="2" borderId="6" xfId="0" applyFill="1" applyBorder="1"/>
    <xf numFmtId="2" fontId="0" fillId="2" borderId="2" xfId="0" applyNumberFormat="1" applyFill="1" applyBorder="1"/>
    <xf numFmtId="0" fontId="0" fillId="2" borderId="2" xfId="0" applyFill="1" applyBorder="1"/>
    <xf numFmtId="0" fontId="0" fillId="2" borderId="4" xfId="0" applyFill="1" applyBorder="1"/>
    <xf numFmtId="0" fontId="0" fillId="4" borderId="0" xfId="0" applyFill="1"/>
    <xf numFmtId="0" fontId="0" fillId="5" borderId="0" xfId="0" applyFill="1"/>
    <xf numFmtId="0" fontId="6" fillId="3" borderId="0" xfId="0" applyFont="1" applyFill="1"/>
    <xf numFmtId="1" fontId="0" fillId="2" borderId="2" xfId="0" applyNumberFormat="1" applyFill="1" applyBorder="1"/>
    <xf numFmtId="49" fontId="0" fillId="2" borderId="2" xfId="0" applyNumberFormat="1" applyFill="1" applyBorder="1"/>
    <xf numFmtId="1" fontId="0" fillId="2" borderId="0" xfId="0" applyNumberFormat="1" applyFill="1"/>
    <xf numFmtId="166" fontId="0" fillId="0" borderId="0" xfId="0" applyNumberFormat="1"/>
    <xf numFmtId="0" fontId="0" fillId="6" borderId="0" xfId="0" applyFill="1"/>
    <xf numFmtId="0" fontId="0" fillId="7" borderId="0" xfId="0" applyFill="1" applyAlignment="1">
      <alignment horizontal="left"/>
    </xf>
    <xf numFmtId="166" fontId="0" fillId="7" borderId="0" xfId="0" applyNumberFormat="1" applyFill="1"/>
    <xf numFmtId="167" fontId="0" fillId="2" borderId="2" xfId="0" applyNumberFormat="1" applyFill="1" applyBorder="1"/>
    <xf numFmtId="0" fontId="0" fillId="8" borderId="0" xfId="0" applyFill="1"/>
  </cellXfs>
  <cellStyles count="1">
    <cellStyle name="Normal" xfId="0" builtinId="0"/>
  </cellStyles>
  <dxfs count="33">
    <dxf>
      <numFmt numFmtId="165" formatCode="[$EGP]\ #,##0"/>
    </dxf>
    <dxf>
      <numFmt numFmtId="165" formatCode="[$EGP]\ #,##0"/>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9" formatCode="dd/mm/yyyy"/>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 formatCode="0"/>
      <fill>
        <patternFill patternType="solid">
          <fgColor indexed="64"/>
          <bgColor theme="0"/>
        </patternFill>
      </fill>
    </dxf>
    <dxf>
      <numFmt numFmtId="1" formatCode="0"/>
      <fill>
        <patternFill patternType="solid">
          <fgColor indexed="64"/>
          <bgColor theme="0"/>
        </patternFill>
      </fill>
      <border diagonalUp="0" diagonalDown="0" outline="0">
        <left/>
        <right/>
        <top style="thin">
          <color theme="4" tint="0.39997558519241921"/>
        </top>
        <bottom/>
      </border>
    </dxf>
    <dxf>
      <numFmt numFmtId="1" formatCode="0"/>
      <fill>
        <patternFill patternType="solid">
          <fgColor indexed="64"/>
          <bgColor theme="0"/>
        </patternFill>
      </fill>
      <border diagonalUp="0" diagonalDown="0" outline="0">
        <left/>
        <right/>
        <top style="thin">
          <color theme="4" tint="0.39997558519241921"/>
        </top>
        <bottom/>
      </border>
    </dxf>
    <dxf>
      <numFmt numFmtId="1" formatCode="0"/>
      <fill>
        <patternFill patternType="solid">
          <fgColor indexed="64"/>
          <bgColor theme="0"/>
        </patternFill>
      </fill>
      <border diagonalUp="0" diagonalDown="0" outline="0">
        <left/>
        <right/>
        <top style="thin">
          <color theme="4" tint="0.39997558519241921"/>
        </top>
        <bottom/>
      </border>
    </dxf>
    <dxf>
      <numFmt numFmtId="30" formatCode="@"/>
      <fill>
        <patternFill patternType="solid">
          <fgColor indexed="64"/>
          <bgColor theme="0"/>
        </patternFill>
      </fill>
      <border diagonalUp="0" diagonalDown="0" outline="0">
        <left/>
        <right/>
        <top style="thin">
          <color theme="4" tint="0.39997558519241921"/>
        </top>
        <bottom/>
      </border>
    </dxf>
    <dxf>
      <numFmt numFmtId="30" formatCode="@"/>
      <fill>
        <patternFill patternType="solid">
          <fgColor indexed="64"/>
          <bgColor theme="0"/>
        </patternFill>
      </fill>
      <border diagonalUp="0" diagonalDown="0" outline="0">
        <left/>
        <right/>
        <top style="thin">
          <color theme="4" tint="0.39997558519241921"/>
        </top>
        <bottom/>
      </border>
    </dxf>
    <dxf>
      <numFmt numFmtId="30" formatCode="@"/>
      <fill>
        <patternFill patternType="solid">
          <fgColor indexed="64"/>
          <bgColor theme="0"/>
        </patternFill>
      </fill>
      <border diagonalUp="0" diagonalDown="0" outline="0">
        <left/>
        <right/>
        <top style="thin">
          <color theme="4" tint="0.39997558519241921"/>
        </top>
        <bottom/>
      </border>
    </dxf>
    <dxf>
      <numFmt numFmtId="167" formatCode="[$-F800]dddd\,\ mmmm\ dd\,\ yyyy"/>
      <fill>
        <patternFill patternType="solid">
          <fgColor indexed="64"/>
          <bgColor theme="0"/>
        </patternFill>
      </fill>
      <border diagonalUp="0" diagonalDown="0" outline="0">
        <left/>
        <right/>
        <top style="thin">
          <color theme="4" tint="0.39997558519241921"/>
        </top>
        <bottom/>
      </border>
    </dxf>
    <dxf>
      <numFmt numFmtId="1" formatCode="0"/>
      <fill>
        <patternFill patternType="solid">
          <fgColor indexed="64"/>
          <bgColor theme="0"/>
        </patternFill>
      </fill>
      <border diagonalUp="0" diagonalDown="0" outline="0">
        <left/>
        <right/>
        <top style="thin">
          <color theme="4" tint="0.39997558519241921"/>
        </top>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ill>
        <patternFill patternType="solid">
          <fgColor indexed="64"/>
          <bgColor theme="0"/>
        </patternFill>
      </fill>
    </dxf>
    <dxf>
      <font>
        <b/>
        <i val="0"/>
        <strike val="0"/>
        <condense val="0"/>
        <extend val="0"/>
        <outline val="0"/>
        <shadow val="0"/>
        <u val="none"/>
        <vertAlign val="baseline"/>
        <sz val="11"/>
        <color theme="0"/>
        <name val="Calibri"/>
        <family val="2"/>
        <scheme val="minor"/>
      </font>
      <fill>
        <patternFill patternType="solid">
          <fgColor indexed="64"/>
          <bgColor theme="2" tint="-0.89999084444715716"/>
        </patternFill>
      </fill>
    </dxf>
    <dxf>
      <fill>
        <patternFill>
          <bgColor rgb="FFF4DFC8"/>
        </patternFill>
      </fill>
    </dxf>
  </dxfs>
  <tableStyles count="1" defaultTableStyle="TableStyleMedium2" defaultPivotStyle="PivotStyleLight16">
    <tableStyle name="Slicer Style 1" pivot="0" table="0" count="1" xr9:uid="{00000000-0011-0000-FFFF-FFFF00000000}">
      <tableStyleElement type="headerRow" dxfId="32"/>
    </tableStyle>
  </tableStyles>
  <colors>
    <mruColors>
      <color rgb="FFEE8640"/>
      <color rgb="FFFBE4D5"/>
      <color rgb="FFEF8B47"/>
      <color rgb="FFFFFEEB"/>
      <color rgb="FFEFD6D1"/>
      <color rgb="FFB40000"/>
      <color rgb="FFC80000"/>
      <color rgb="FFCF5F13"/>
      <color rgb="FFE7C2BB"/>
      <color rgb="FFD89C90"/>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[Task_03_&amp;_04_&amp;_05_TownTeam_Sales.xlsx]Task_PT!PivotTable15</c:name>
    <c:fmtId val="3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dLbl>
          <c:idx val="0"/>
          <c:showLegendKey val="0"/>
          <c:showVal val="0"/>
          <c:showCatName val="0"/>
          <c:showSerName val="0"/>
          <c:showPercent val="0"/>
          <c:showBubbleSize val="0"/>
          <c:extLst>
            <c:ext xmlns:c15="http://schemas.microsoft.com/office/drawing/2012/chart" uri="{CE6537A1-D6FC-4f65-9D91-7224C49458BB}"/>
          </c:extLst>
        </c:dLbl>
      </c:pivotFmt>
      <c:pivotFmt>
        <c:idx val="80"/>
        <c:dLbl>
          <c:idx val="0"/>
          <c:showLegendKey val="0"/>
          <c:showVal val="0"/>
          <c:showCatName val="0"/>
          <c:showSerName val="0"/>
          <c:showPercent val="0"/>
          <c:showBubbleSize val="0"/>
          <c:extLst>
            <c:ext xmlns:c15="http://schemas.microsoft.com/office/drawing/2012/chart" uri="{CE6537A1-D6FC-4f65-9D91-7224C49458BB}"/>
          </c:extLst>
        </c:dLbl>
      </c:pivotFmt>
      <c:pivotFmt>
        <c:idx val="81"/>
        <c:dLbl>
          <c:idx val="0"/>
          <c:showLegendKey val="0"/>
          <c:showVal val="0"/>
          <c:showCatName val="0"/>
          <c:showSerName val="0"/>
          <c:showPercent val="0"/>
          <c:showBubbleSize val="0"/>
          <c:extLst>
            <c:ext xmlns:c15="http://schemas.microsoft.com/office/drawing/2012/chart" uri="{CE6537A1-D6FC-4f65-9D91-7224C49458BB}"/>
          </c:extLst>
        </c:dLbl>
      </c:pivotFmt>
      <c:pivotFmt>
        <c:idx val="82"/>
        <c:dLbl>
          <c:idx val="0"/>
          <c:showLegendKey val="0"/>
          <c:showVal val="0"/>
          <c:showCatName val="0"/>
          <c:showSerName val="0"/>
          <c:showPercent val="0"/>
          <c:showBubbleSize val="0"/>
          <c:extLst>
            <c:ext xmlns:c15="http://schemas.microsoft.com/office/drawing/2012/chart" uri="{CE6537A1-D6FC-4f65-9D91-7224C49458BB}"/>
          </c:extLst>
        </c:dLbl>
      </c:pivotFmt>
      <c:pivotFmt>
        <c:idx val="83"/>
        <c:dLbl>
          <c:idx val="0"/>
          <c:showLegendKey val="0"/>
          <c:showVal val="0"/>
          <c:showCatName val="0"/>
          <c:showSerName val="0"/>
          <c:showPercent val="0"/>
          <c:showBubbleSize val="0"/>
          <c:extLst>
            <c:ext xmlns:c15="http://schemas.microsoft.com/office/drawing/2012/chart" uri="{CE6537A1-D6FC-4f65-9D91-7224C49458BB}"/>
          </c:extLst>
        </c:dLbl>
      </c:pivotFmt>
      <c:pivotFmt>
        <c:idx val="84"/>
        <c:dLbl>
          <c:idx val="0"/>
          <c:showLegendKey val="0"/>
          <c:showVal val="0"/>
          <c:showCatName val="0"/>
          <c:showSerName val="0"/>
          <c:showPercent val="0"/>
          <c:showBubbleSize val="0"/>
          <c:extLst>
            <c:ext xmlns:c15="http://schemas.microsoft.com/office/drawing/2012/chart" uri="{CE6537A1-D6FC-4f65-9D91-7224C49458BB}"/>
          </c:extLst>
        </c:dLbl>
      </c:pivotFmt>
      <c:pivotFmt>
        <c:idx val="85"/>
        <c:dLbl>
          <c:idx val="0"/>
          <c:showLegendKey val="0"/>
          <c:showVal val="0"/>
          <c:showCatName val="0"/>
          <c:showSerName val="0"/>
          <c:showPercent val="0"/>
          <c:showBubbleSize val="0"/>
          <c:extLst>
            <c:ext xmlns:c15="http://schemas.microsoft.com/office/drawing/2012/chart" uri="{CE6537A1-D6FC-4f65-9D91-7224C49458BB}"/>
          </c:extLst>
        </c:dLbl>
      </c:pivotFmt>
      <c:pivotFmt>
        <c:idx val="86"/>
        <c:dLbl>
          <c:idx val="0"/>
          <c:showLegendKey val="0"/>
          <c:showVal val="0"/>
          <c:showCatName val="0"/>
          <c:showSerName val="0"/>
          <c:showPercent val="0"/>
          <c:showBubbleSize val="0"/>
          <c:extLst>
            <c:ext xmlns:c15="http://schemas.microsoft.com/office/drawing/2012/chart" uri="{CE6537A1-D6FC-4f65-9D91-7224C49458BB}"/>
          </c:extLst>
        </c:dLbl>
      </c:pivotFmt>
      <c:pivotFmt>
        <c:idx val="87"/>
        <c:dLbl>
          <c:idx val="0"/>
          <c:showLegendKey val="0"/>
          <c:showVal val="0"/>
          <c:showCatName val="0"/>
          <c:showSerName val="0"/>
          <c:showPercent val="0"/>
          <c:showBubbleSize val="0"/>
          <c:extLst>
            <c:ext xmlns:c15="http://schemas.microsoft.com/office/drawing/2012/chart" uri="{CE6537A1-D6FC-4f65-9D91-7224C49458BB}"/>
          </c:extLst>
        </c:dLbl>
      </c:pivotFmt>
      <c:pivotFmt>
        <c:idx val="88"/>
        <c:dLbl>
          <c:idx val="0"/>
          <c:showLegendKey val="0"/>
          <c:showVal val="0"/>
          <c:showCatName val="0"/>
          <c:showSerName val="0"/>
          <c:showPercent val="0"/>
          <c:showBubbleSize val="0"/>
          <c:extLst>
            <c:ext xmlns:c15="http://schemas.microsoft.com/office/drawing/2012/chart" uri="{CE6537A1-D6FC-4f65-9D91-7224C49458BB}"/>
          </c:extLst>
        </c:dLbl>
      </c:pivotFmt>
      <c:pivotFmt>
        <c:idx val="89"/>
        <c:dLbl>
          <c:idx val="0"/>
          <c:showLegendKey val="0"/>
          <c:showVal val="0"/>
          <c:showCatName val="0"/>
          <c:showSerName val="0"/>
          <c:showPercent val="0"/>
          <c:showBubbleSize val="0"/>
          <c:extLst>
            <c:ext xmlns:c15="http://schemas.microsoft.com/office/drawing/2012/chart" uri="{CE6537A1-D6FC-4f65-9D91-7224C49458BB}"/>
          </c:extLst>
        </c:dLbl>
      </c:pivotFmt>
      <c:pivotFmt>
        <c:idx val="90"/>
        <c:dLbl>
          <c:idx val="0"/>
          <c:showLegendKey val="0"/>
          <c:showVal val="0"/>
          <c:showCatName val="0"/>
          <c:showSerName val="0"/>
          <c:showPercent val="0"/>
          <c:showBubbleSize val="0"/>
          <c:extLst>
            <c:ext xmlns:c15="http://schemas.microsoft.com/office/drawing/2012/chart" uri="{CE6537A1-D6FC-4f65-9D91-7224C49458BB}"/>
          </c:extLst>
        </c:dLbl>
      </c:pivotFmt>
      <c:pivotFmt>
        <c:idx val="91"/>
        <c:dLbl>
          <c:idx val="0"/>
          <c:showLegendKey val="0"/>
          <c:showVal val="0"/>
          <c:showCatName val="0"/>
          <c:showSerName val="0"/>
          <c:showPercent val="0"/>
          <c:showBubbleSize val="0"/>
          <c:extLst>
            <c:ext xmlns:c15="http://schemas.microsoft.com/office/drawing/2012/chart" uri="{CE6537A1-D6FC-4f65-9D91-7224C49458BB}"/>
          </c:extLst>
        </c:dLbl>
      </c:pivotFmt>
      <c:pivotFmt>
        <c:idx val="92"/>
        <c:dLbl>
          <c:idx val="0"/>
          <c:showLegendKey val="0"/>
          <c:showVal val="0"/>
          <c:showCatName val="0"/>
          <c:showSerName val="0"/>
          <c:showPercent val="0"/>
          <c:showBubbleSize val="0"/>
          <c:extLst>
            <c:ext xmlns:c15="http://schemas.microsoft.com/office/drawing/2012/chart" uri="{CE6537A1-D6FC-4f65-9D91-7224C49458BB}"/>
          </c:extLst>
        </c:dLbl>
      </c:pivotFmt>
      <c:pivotFmt>
        <c:idx val="93"/>
        <c:dLbl>
          <c:idx val="0"/>
          <c:showLegendKey val="0"/>
          <c:showVal val="0"/>
          <c:showCatName val="0"/>
          <c:showSerName val="0"/>
          <c:showPercent val="0"/>
          <c:showBubbleSize val="0"/>
          <c:extLst>
            <c:ext xmlns:c15="http://schemas.microsoft.com/office/drawing/2012/chart" uri="{CE6537A1-D6FC-4f65-9D91-7224C49458BB}"/>
          </c:extLst>
        </c:dLbl>
      </c:pivotFmt>
      <c:pivotFmt>
        <c:idx val="94"/>
        <c:dLbl>
          <c:idx val="0"/>
          <c:showLegendKey val="0"/>
          <c:showVal val="0"/>
          <c:showCatName val="0"/>
          <c:showSerName val="0"/>
          <c:showPercent val="0"/>
          <c:showBubbleSize val="0"/>
          <c:extLst>
            <c:ext xmlns:c15="http://schemas.microsoft.com/office/drawing/2012/chart" uri="{CE6537A1-D6FC-4f65-9D91-7224C49458BB}"/>
          </c:extLst>
        </c:dLbl>
      </c:pivotFmt>
      <c:pivotFmt>
        <c:idx val="95"/>
        <c:dLbl>
          <c:idx val="0"/>
          <c:showLegendKey val="0"/>
          <c:showVal val="0"/>
          <c:showCatName val="0"/>
          <c:showSerName val="0"/>
          <c:showPercent val="0"/>
          <c:showBubbleSize val="0"/>
          <c:extLst>
            <c:ext xmlns:c15="http://schemas.microsoft.com/office/drawing/2012/chart" uri="{CE6537A1-D6FC-4f65-9D91-7224C49458BB}"/>
          </c:extLst>
        </c:dLbl>
      </c:pivotFmt>
      <c:pivotFmt>
        <c:idx val="96"/>
        <c:dLbl>
          <c:idx val="0"/>
          <c:showLegendKey val="0"/>
          <c:showVal val="0"/>
          <c:showCatName val="0"/>
          <c:showSerName val="0"/>
          <c:showPercent val="0"/>
          <c:showBubbleSize val="0"/>
          <c:extLst>
            <c:ext xmlns:c15="http://schemas.microsoft.com/office/drawing/2012/chart" uri="{CE6537A1-D6FC-4f65-9D91-7224C49458BB}"/>
          </c:extLst>
        </c:dLbl>
      </c:pivotFmt>
      <c:pivotFmt>
        <c:idx val="97"/>
        <c:dLbl>
          <c:idx val="0"/>
          <c:showLegendKey val="0"/>
          <c:showVal val="0"/>
          <c:showCatName val="0"/>
          <c:showSerName val="0"/>
          <c:showPercent val="0"/>
          <c:showBubbleSize val="0"/>
          <c:extLst>
            <c:ext xmlns:c15="http://schemas.microsoft.com/office/drawing/2012/chart" uri="{CE6537A1-D6FC-4f65-9D91-7224C49458BB}"/>
          </c:extLst>
        </c:dLbl>
      </c:pivotFmt>
      <c:pivotFmt>
        <c:idx val="98"/>
        <c:dLbl>
          <c:idx val="0"/>
          <c:showLegendKey val="0"/>
          <c:showVal val="0"/>
          <c:showCatName val="0"/>
          <c:showSerName val="0"/>
          <c:showPercent val="0"/>
          <c:showBubbleSize val="0"/>
          <c:extLst>
            <c:ext xmlns:c15="http://schemas.microsoft.com/office/drawing/2012/chart" uri="{CE6537A1-D6FC-4f65-9D91-7224C49458BB}"/>
          </c:extLst>
        </c:dLbl>
      </c:pivotFmt>
      <c:pivotFmt>
        <c:idx val="99"/>
        <c:dLbl>
          <c:idx val="0"/>
          <c:showLegendKey val="0"/>
          <c:showVal val="0"/>
          <c:showCatName val="0"/>
          <c:showSerName val="0"/>
          <c:showPercent val="0"/>
          <c:showBubbleSize val="0"/>
          <c:extLst>
            <c:ext xmlns:c15="http://schemas.microsoft.com/office/drawing/2012/chart" uri="{CE6537A1-D6FC-4f65-9D91-7224C49458BB}"/>
          </c:extLst>
        </c:dLbl>
      </c:pivotFmt>
      <c:pivotFmt>
        <c:idx val="100"/>
        <c:dLbl>
          <c:idx val="0"/>
          <c:showLegendKey val="0"/>
          <c:showVal val="0"/>
          <c:showCatName val="0"/>
          <c:showSerName val="0"/>
          <c:showPercent val="0"/>
          <c:showBubbleSize val="0"/>
          <c:extLst>
            <c:ext xmlns:c15="http://schemas.microsoft.com/office/drawing/2012/chart" uri="{CE6537A1-D6FC-4f65-9D91-7224C49458BB}"/>
          </c:extLst>
        </c:dLbl>
      </c:pivotFmt>
      <c:pivotFmt>
        <c:idx val="101"/>
        <c:dLbl>
          <c:idx val="0"/>
          <c:showLegendKey val="0"/>
          <c:showVal val="0"/>
          <c:showCatName val="0"/>
          <c:showSerName val="0"/>
          <c:showPercent val="0"/>
          <c:showBubbleSize val="0"/>
          <c:extLst>
            <c:ext xmlns:c15="http://schemas.microsoft.com/office/drawing/2012/chart" uri="{CE6537A1-D6FC-4f65-9D91-7224C49458BB}"/>
          </c:extLst>
        </c:dLbl>
      </c:pivotFmt>
      <c:pivotFmt>
        <c:idx val="102"/>
        <c:dLbl>
          <c:idx val="0"/>
          <c:showLegendKey val="0"/>
          <c:showVal val="0"/>
          <c:showCatName val="0"/>
          <c:showSerName val="0"/>
          <c:showPercent val="0"/>
          <c:showBubbleSize val="0"/>
          <c:extLst>
            <c:ext xmlns:c15="http://schemas.microsoft.com/office/drawing/2012/chart" uri="{CE6537A1-D6FC-4f65-9D91-7224C49458BB}"/>
          </c:extLst>
        </c:dLbl>
      </c:pivotFmt>
      <c:pivotFmt>
        <c:idx val="103"/>
        <c:dLbl>
          <c:idx val="0"/>
          <c:showLegendKey val="0"/>
          <c:showVal val="0"/>
          <c:showCatName val="0"/>
          <c:showSerName val="0"/>
          <c:showPercent val="0"/>
          <c:showBubbleSize val="0"/>
          <c:extLst>
            <c:ext xmlns:c15="http://schemas.microsoft.com/office/drawing/2012/chart" uri="{CE6537A1-D6FC-4f65-9D91-7224C49458BB}"/>
          </c:extLst>
        </c:dLbl>
      </c:pivotFmt>
      <c:pivotFmt>
        <c:idx val="104"/>
        <c:dLbl>
          <c:idx val="0"/>
          <c:showLegendKey val="0"/>
          <c:showVal val="0"/>
          <c:showCatName val="0"/>
          <c:showSerName val="0"/>
          <c:showPercent val="0"/>
          <c:showBubbleSize val="0"/>
          <c:extLst>
            <c:ext xmlns:c15="http://schemas.microsoft.com/office/drawing/2012/chart" uri="{CE6537A1-D6FC-4f65-9D91-7224C49458BB}"/>
          </c:extLst>
        </c:dLbl>
      </c:pivotFmt>
      <c:pivotFmt>
        <c:idx val="105"/>
        <c:dLbl>
          <c:idx val="0"/>
          <c:showLegendKey val="0"/>
          <c:showVal val="0"/>
          <c:showCatName val="0"/>
          <c:showSerName val="0"/>
          <c:showPercent val="0"/>
          <c:showBubbleSize val="0"/>
          <c:extLst>
            <c:ext xmlns:c15="http://schemas.microsoft.com/office/drawing/2012/chart" uri="{CE6537A1-D6FC-4f65-9D91-7224C49458BB}"/>
          </c:extLst>
        </c:dLbl>
      </c:pivotFmt>
      <c:pivotFmt>
        <c:idx val="106"/>
        <c:dLbl>
          <c:idx val="0"/>
          <c:showLegendKey val="0"/>
          <c:showVal val="0"/>
          <c:showCatName val="0"/>
          <c:showSerName val="0"/>
          <c:showPercent val="0"/>
          <c:showBubbleSize val="0"/>
          <c:extLst>
            <c:ext xmlns:c15="http://schemas.microsoft.com/office/drawing/2012/chart" uri="{CE6537A1-D6FC-4f65-9D91-7224C49458BB}"/>
          </c:extLst>
        </c:dLbl>
      </c:pivotFmt>
      <c:pivotFmt>
        <c:idx val="107"/>
        <c:dLbl>
          <c:idx val="0"/>
          <c:showLegendKey val="0"/>
          <c:showVal val="0"/>
          <c:showCatName val="0"/>
          <c:showSerName val="0"/>
          <c:showPercent val="0"/>
          <c:showBubbleSize val="0"/>
          <c:extLst>
            <c:ext xmlns:c15="http://schemas.microsoft.com/office/drawing/2012/chart" uri="{CE6537A1-D6FC-4f65-9D91-7224C49458BB}"/>
          </c:extLst>
        </c:dLbl>
      </c:pivotFmt>
      <c:pivotFmt>
        <c:idx val="108"/>
        <c:dLbl>
          <c:idx val="0"/>
          <c:showLegendKey val="0"/>
          <c:showVal val="0"/>
          <c:showCatName val="0"/>
          <c:showSerName val="0"/>
          <c:showPercent val="0"/>
          <c:showBubbleSize val="0"/>
          <c:extLst>
            <c:ext xmlns:c15="http://schemas.microsoft.com/office/drawing/2012/chart" uri="{CE6537A1-D6FC-4f65-9D91-7224C49458BB}"/>
          </c:extLst>
        </c:dLbl>
      </c:pivotFmt>
      <c:pivotFmt>
        <c:idx val="109"/>
        <c:dLbl>
          <c:idx val="0"/>
          <c:showLegendKey val="0"/>
          <c:showVal val="0"/>
          <c:showCatName val="0"/>
          <c:showSerName val="0"/>
          <c:showPercent val="0"/>
          <c:showBubbleSize val="0"/>
          <c:extLst>
            <c:ext xmlns:c15="http://schemas.microsoft.com/office/drawing/2012/chart" uri="{CE6537A1-D6FC-4f65-9D91-7224C49458BB}"/>
          </c:extLst>
        </c:dLbl>
      </c:pivotFmt>
      <c:pivotFmt>
        <c:idx val="110"/>
        <c:dLbl>
          <c:idx val="0"/>
          <c:showLegendKey val="0"/>
          <c:showVal val="0"/>
          <c:showCatName val="0"/>
          <c:showSerName val="0"/>
          <c:showPercent val="0"/>
          <c:showBubbleSize val="0"/>
          <c:extLst>
            <c:ext xmlns:c15="http://schemas.microsoft.com/office/drawing/2012/chart" uri="{CE6537A1-D6FC-4f65-9D91-7224C49458BB}"/>
          </c:extLst>
        </c:dLbl>
      </c:pivotFmt>
      <c:pivotFmt>
        <c:idx val="111"/>
        <c:dLbl>
          <c:idx val="0"/>
          <c:showLegendKey val="0"/>
          <c:showVal val="0"/>
          <c:showCatName val="0"/>
          <c:showSerName val="0"/>
          <c:showPercent val="0"/>
          <c:showBubbleSize val="0"/>
          <c:extLst>
            <c:ext xmlns:c15="http://schemas.microsoft.com/office/drawing/2012/chart" uri="{CE6537A1-D6FC-4f65-9D91-7224C49458BB}"/>
          </c:extLst>
        </c:dLbl>
      </c:pivotFmt>
      <c:pivotFmt>
        <c:idx val="112"/>
        <c:dLbl>
          <c:idx val="0"/>
          <c:showLegendKey val="0"/>
          <c:showVal val="0"/>
          <c:showCatName val="0"/>
          <c:showSerName val="0"/>
          <c:showPercent val="0"/>
          <c:showBubbleSize val="0"/>
          <c:extLst>
            <c:ext xmlns:c15="http://schemas.microsoft.com/office/drawing/2012/chart" uri="{CE6537A1-D6FC-4f65-9D91-7224C49458BB}"/>
          </c:extLst>
        </c:dLbl>
      </c:pivotFmt>
      <c:pivotFmt>
        <c:idx val="113"/>
        <c:dLbl>
          <c:idx val="0"/>
          <c:showLegendKey val="0"/>
          <c:showVal val="0"/>
          <c:showCatName val="0"/>
          <c:showSerName val="0"/>
          <c:showPercent val="0"/>
          <c:showBubbleSize val="0"/>
          <c:extLst>
            <c:ext xmlns:c15="http://schemas.microsoft.com/office/drawing/2012/chart" uri="{CE6537A1-D6FC-4f65-9D91-7224C49458BB}"/>
          </c:extLst>
        </c:dLbl>
      </c:pivotFmt>
      <c:pivotFmt>
        <c:idx val="114"/>
        <c:dLbl>
          <c:idx val="0"/>
          <c:showLegendKey val="0"/>
          <c:showVal val="0"/>
          <c:showCatName val="0"/>
          <c:showSerName val="0"/>
          <c:showPercent val="0"/>
          <c:showBubbleSize val="0"/>
          <c:extLst>
            <c:ext xmlns:c15="http://schemas.microsoft.com/office/drawing/2012/chart" uri="{CE6537A1-D6FC-4f65-9D91-7224C49458BB}"/>
          </c:extLst>
        </c:dLbl>
      </c:pivotFmt>
      <c:pivotFmt>
        <c:idx val="115"/>
        <c:dLbl>
          <c:idx val="0"/>
          <c:showLegendKey val="0"/>
          <c:showVal val="0"/>
          <c:showCatName val="0"/>
          <c:showSerName val="0"/>
          <c:showPercent val="0"/>
          <c:showBubbleSize val="0"/>
          <c:extLst>
            <c:ext xmlns:c15="http://schemas.microsoft.com/office/drawing/2012/chart" uri="{CE6537A1-D6FC-4f65-9D91-7224C49458BB}"/>
          </c:extLst>
        </c:dLbl>
      </c:pivotFmt>
      <c:pivotFmt>
        <c:idx val="116"/>
        <c:dLbl>
          <c:idx val="0"/>
          <c:showLegendKey val="0"/>
          <c:showVal val="0"/>
          <c:showCatName val="0"/>
          <c:showSerName val="0"/>
          <c:showPercent val="0"/>
          <c:showBubbleSize val="0"/>
          <c:extLst>
            <c:ext xmlns:c15="http://schemas.microsoft.com/office/drawing/2012/chart" uri="{CE6537A1-D6FC-4f65-9D91-7224C49458BB}"/>
          </c:extLst>
        </c:dLbl>
      </c:pivotFmt>
      <c:pivotFmt>
        <c:idx val="117"/>
        <c:dLbl>
          <c:idx val="0"/>
          <c:showLegendKey val="0"/>
          <c:showVal val="0"/>
          <c:showCatName val="0"/>
          <c:showSerName val="0"/>
          <c:showPercent val="0"/>
          <c:showBubbleSize val="0"/>
          <c:extLst>
            <c:ext xmlns:c15="http://schemas.microsoft.com/office/drawing/2012/chart" uri="{CE6537A1-D6FC-4f65-9D91-7224C49458BB}"/>
          </c:extLst>
        </c:dLbl>
      </c:pivotFmt>
      <c:pivotFmt>
        <c:idx val="118"/>
        <c:dLbl>
          <c:idx val="0"/>
          <c:showLegendKey val="0"/>
          <c:showVal val="0"/>
          <c:showCatName val="0"/>
          <c:showSerName val="0"/>
          <c:showPercent val="0"/>
          <c:showBubbleSize val="0"/>
          <c:extLst>
            <c:ext xmlns:c15="http://schemas.microsoft.com/office/drawing/2012/chart" uri="{CE6537A1-D6FC-4f65-9D91-7224C49458BB}"/>
          </c:extLst>
        </c:dLbl>
      </c:pivotFmt>
      <c:pivotFmt>
        <c:idx val="119"/>
        <c:dLbl>
          <c:idx val="0"/>
          <c:showLegendKey val="0"/>
          <c:showVal val="0"/>
          <c:showCatName val="0"/>
          <c:showSerName val="0"/>
          <c:showPercent val="0"/>
          <c:showBubbleSize val="0"/>
          <c:extLst>
            <c:ext xmlns:c15="http://schemas.microsoft.com/office/drawing/2012/chart" uri="{CE6537A1-D6FC-4f65-9D91-7224C49458BB}"/>
          </c:extLst>
        </c:dLbl>
      </c:pivotFmt>
      <c:pivotFmt>
        <c:idx val="120"/>
        <c:dLbl>
          <c:idx val="0"/>
          <c:showLegendKey val="0"/>
          <c:showVal val="0"/>
          <c:showCatName val="0"/>
          <c:showSerName val="0"/>
          <c:showPercent val="0"/>
          <c:showBubbleSize val="0"/>
          <c:extLst>
            <c:ext xmlns:c15="http://schemas.microsoft.com/office/drawing/2012/chart" uri="{CE6537A1-D6FC-4f65-9D91-7224C49458BB}"/>
          </c:extLst>
        </c:dLbl>
      </c:pivotFmt>
      <c:pivotFmt>
        <c:idx val="121"/>
        <c:dLbl>
          <c:idx val="0"/>
          <c:showLegendKey val="0"/>
          <c:showVal val="0"/>
          <c:showCatName val="0"/>
          <c:showSerName val="0"/>
          <c:showPercent val="0"/>
          <c:showBubbleSize val="0"/>
          <c:extLst>
            <c:ext xmlns:c15="http://schemas.microsoft.com/office/drawing/2012/chart" uri="{CE6537A1-D6FC-4f65-9D91-7224C49458BB}"/>
          </c:extLst>
        </c:dLbl>
      </c:pivotFmt>
      <c:pivotFmt>
        <c:idx val="122"/>
        <c:dLbl>
          <c:idx val="0"/>
          <c:showLegendKey val="0"/>
          <c:showVal val="0"/>
          <c:showCatName val="0"/>
          <c:showSerName val="0"/>
          <c:showPercent val="0"/>
          <c:showBubbleSize val="0"/>
          <c:extLst>
            <c:ext xmlns:c15="http://schemas.microsoft.com/office/drawing/2012/chart" uri="{CE6537A1-D6FC-4f65-9D91-7224C49458BB}"/>
          </c:extLst>
        </c:dLbl>
      </c:pivotFmt>
      <c:pivotFmt>
        <c:idx val="123"/>
        <c:dLbl>
          <c:idx val="0"/>
          <c:showLegendKey val="0"/>
          <c:showVal val="0"/>
          <c:showCatName val="0"/>
          <c:showSerName val="0"/>
          <c:showPercent val="0"/>
          <c:showBubbleSize val="0"/>
          <c:extLst>
            <c:ext xmlns:c15="http://schemas.microsoft.com/office/drawing/2012/chart" uri="{CE6537A1-D6FC-4f65-9D91-7224C49458BB}"/>
          </c:extLst>
        </c:dLbl>
      </c:pivotFmt>
      <c:pivotFmt>
        <c:idx val="124"/>
        <c:dLbl>
          <c:idx val="0"/>
          <c:showLegendKey val="0"/>
          <c:showVal val="0"/>
          <c:showCatName val="0"/>
          <c:showSerName val="0"/>
          <c:showPercent val="0"/>
          <c:showBubbleSize val="0"/>
          <c:extLst>
            <c:ext xmlns:c15="http://schemas.microsoft.com/office/drawing/2012/chart" uri="{CE6537A1-D6FC-4f65-9D91-7224C49458BB}"/>
          </c:extLst>
        </c:dLbl>
      </c:pivotFmt>
      <c:pivotFmt>
        <c:idx val="125"/>
        <c:dLbl>
          <c:idx val="0"/>
          <c:showLegendKey val="0"/>
          <c:showVal val="0"/>
          <c:showCatName val="0"/>
          <c:showSerName val="0"/>
          <c:showPercent val="0"/>
          <c:showBubbleSize val="0"/>
          <c:extLst>
            <c:ext xmlns:c15="http://schemas.microsoft.com/office/drawing/2012/chart" uri="{CE6537A1-D6FC-4f65-9D91-7224C49458BB}"/>
          </c:extLst>
        </c:dLbl>
      </c:pivotFmt>
      <c:pivotFmt>
        <c:idx val="126"/>
        <c:dLbl>
          <c:idx val="0"/>
          <c:showLegendKey val="0"/>
          <c:showVal val="0"/>
          <c:showCatName val="0"/>
          <c:showSerName val="0"/>
          <c:showPercent val="0"/>
          <c:showBubbleSize val="0"/>
          <c:extLst>
            <c:ext xmlns:c15="http://schemas.microsoft.com/office/drawing/2012/chart" uri="{CE6537A1-D6FC-4f65-9D91-7224C49458BB}"/>
          </c:extLst>
        </c:dLbl>
      </c:pivotFmt>
      <c:pivotFmt>
        <c:idx val="127"/>
        <c:dLbl>
          <c:idx val="0"/>
          <c:showLegendKey val="0"/>
          <c:showVal val="0"/>
          <c:showCatName val="0"/>
          <c:showSerName val="0"/>
          <c:showPercent val="0"/>
          <c:showBubbleSize val="0"/>
          <c:extLst>
            <c:ext xmlns:c15="http://schemas.microsoft.com/office/drawing/2012/chart" uri="{CE6537A1-D6FC-4f65-9D91-7224C49458BB}"/>
          </c:extLst>
        </c:dLbl>
      </c:pivotFmt>
      <c:pivotFmt>
        <c:idx val="128"/>
        <c:dLbl>
          <c:idx val="0"/>
          <c:showLegendKey val="0"/>
          <c:showVal val="0"/>
          <c:showCatName val="0"/>
          <c:showSerName val="0"/>
          <c:showPercent val="0"/>
          <c:showBubbleSize val="0"/>
          <c:extLst>
            <c:ext xmlns:c15="http://schemas.microsoft.com/office/drawing/2012/chart" uri="{CE6537A1-D6FC-4f65-9D91-7224C49458BB}"/>
          </c:extLst>
        </c:dLbl>
      </c:pivotFmt>
      <c:pivotFmt>
        <c:idx val="129"/>
        <c:dLbl>
          <c:idx val="0"/>
          <c:showLegendKey val="0"/>
          <c:showVal val="0"/>
          <c:showCatName val="0"/>
          <c:showSerName val="0"/>
          <c:showPercent val="0"/>
          <c:showBubbleSize val="0"/>
          <c:extLst>
            <c:ext xmlns:c15="http://schemas.microsoft.com/office/drawing/2012/chart" uri="{CE6537A1-D6FC-4f65-9D91-7224C49458BB}"/>
          </c:extLst>
        </c:dLbl>
      </c:pivotFmt>
      <c:pivotFmt>
        <c:idx val="130"/>
        <c:dLbl>
          <c:idx val="0"/>
          <c:showLegendKey val="0"/>
          <c:showVal val="0"/>
          <c:showCatName val="0"/>
          <c:showSerName val="0"/>
          <c:showPercent val="0"/>
          <c:showBubbleSize val="0"/>
          <c:extLst>
            <c:ext xmlns:c15="http://schemas.microsoft.com/office/drawing/2012/chart" uri="{CE6537A1-D6FC-4f65-9D91-7224C49458BB}"/>
          </c:extLst>
        </c:dLbl>
      </c:pivotFmt>
      <c:pivotFmt>
        <c:idx val="131"/>
        <c:dLbl>
          <c:idx val="0"/>
          <c:showLegendKey val="0"/>
          <c:showVal val="0"/>
          <c:showCatName val="0"/>
          <c:showSerName val="0"/>
          <c:showPercent val="0"/>
          <c:showBubbleSize val="0"/>
          <c:extLst>
            <c:ext xmlns:c15="http://schemas.microsoft.com/office/drawing/2012/chart" uri="{CE6537A1-D6FC-4f65-9D91-7224C49458BB}"/>
          </c:extLst>
        </c:dLbl>
      </c:pivotFmt>
      <c:pivotFmt>
        <c:idx val="132"/>
        <c:dLbl>
          <c:idx val="0"/>
          <c:showLegendKey val="0"/>
          <c:showVal val="0"/>
          <c:showCatName val="0"/>
          <c:showSerName val="0"/>
          <c:showPercent val="0"/>
          <c:showBubbleSize val="0"/>
          <c:extLst>
            <c:ext xmlns:c15="http://schemas.microsoft.com/office/drawing/2012/chart" uri="{CE6537A1-D6FC-4f65-9D91-7224C49458BB}"/>
          </c:extLst>
        </c:dLbl>
      </c:pivotFmt>
      <c:pivotFmt>
        <c:idx val="133"/>
        <c:dLbl>
          <c:idx val="0"/>
          <c:showLegendKey val="0"/>
          <c:showVal val="0"/>
          <c:showCatName val="0"/>
          <c:showSerName val="0"/>
          <c:showPercent val="0"/>
          <c:showBubbleSize val="0"/>
          <c:extLst>
            <c:ext xmlns:c15="http://schemas.microsoft.com/office/drawing/2012/chart" uri="{CE6537A1-D6FC-4f65-9D91-7224C49458BB}"/>
          </c:extLst>
        </c:dLbl>
      </c:pivotFmt>
      <c:pivotFmt>
        <c:idx val="134"/>
        <c:dLbl>
          <c:idx val="0"/>
          <c:showLegendKey val="0"/>
          <c:showVal val="0"/>
          <c:showCatName val="0"/>
          <c:showSerName val="0"/>
          <c:showPercent val="0"/>
          <c:showBubbleSize val="0"/>
          <c:extLst>
            <c:ext xmlns:c15="http://schemas.microsoft.com/office/drawing/2012/chart" uri="{CE6537A1-D6FC-4f65-9D91-7224C49458BB}"/>
          </c:extLst>
        </c:dLbl>
      </c:pivotFmt>
      <c:pivotFmt>
        <c:idx val="135"/>
        <c:dLbl>
          <c:idx val="0"/>
          <c:showLegendKey val="0"/>
          <c:showVal val="0"/>
          <c:showCatName val="0"/>
          <c:showSerName val="0"/>
          <c:showPercent val="0"/>
          <c:showBubbleSize val="0"/>
          <c:extLst>
            <c:ext xmlns:c15="http://schemas.microsoft.com/office/drawing/2012/chart" uri="{CE6537A1-D6FC-4f65-9D91-7224C49458BB}"/>
          </c:extLst>
        </c:dLbl>
      </c:pivotFmt>
      <c:pivotFmt>
        <c:idx val="136"/>
        <c:dLbl>
          <c:idx val="0"/>
          <c:showLegendKey val="0"/>
          <c:showVal val="0"/>
          <c:showCatName val="0"/>
          <c:showSerName val="0"/>
          <c:showPercent val="0"/>
          <c:showBubbleSize val="0"/>
          <c:extLst>
            <c:ext xmlns:c15="http://schemas.microsoft.com/office/drawing/2012/chart" uri="{CE6537A1-D6FC-4f65-9D91-7224C49458BB}"/>
          </c:extLst>
        </c:dLbl>
      </c:pivotFmt>
      <c:pivotFmt>
        <c:idx val="137"/>
        <c:dLbl>
          <c:idx val="0"/>
          <c:showLegendKey val="0"/>
          <c:showVal val="0"/>
          <c:showCatName val="0"/>
          <c:showSerName val="0"/>
          <c:showPercent val="0"/>
          <c:showBubbleSize val="0"/>
          <c:extLst>
            <c:ext xmlns:c15="http://schemas.microsoft.com/office/drawing/2012/chart" uri="{CE6537A1-D6FC-4f65-9D91-7224C49458BB}"/>
          </c:extLst>
        </c:dLbl>
      </c:pivotFmt>
      <c:pivotFmt>
        <c:idx val="138"/>
        <c:dLbl>
          <c:idx val="0"/>
          <c:showLegendKey val="0"/>
          <c:showVal val="0"/>
          <c:showCatName val="0"/>
          <c:showSerName val="0"/>
          <c:showPercent val="0"/>
          <c:showBubbleSize val="0"/>
          <c:extLst>
            <c:ext xmlns:c15="http://schemas.microsoft.com/office/drawing/2012/chart" uri="{CE6537A1-D6FC-4f65-9D91-7224C49458BB}"/>
          </c:extLst>
        </c:dLbl>
      </c:pivotFmt>
      <c:pivotFmt>
        <c:idx val="139"/>
        <c:dLbl>
          <c:idx val="0"/>
          <c:showLegendKey val="0"/>
          <c:showVal val="0"/>
          <c:showCatName val="0"/>
          <c:showSerName val="0"/>
          <c:showPercent val="0"/>
          <c:showBubbleSize val="0"/>
          <c:extLst>
            <c:ext xmlns:c15="http://schemas.microsoft.com/office/drawing/2012/chart" uri="{CE6537A1-D6FC-4f65-9D91-7224C49458BB}"/>
          </c:extLst>
        </c:dLbl>
      </c:pivotFmt>
      <c:pivotFmt>
        <c:idx val="140"/>
        <c:dLbl>
          <c:idx val="0"/>
          <c:showLegendKey val="0"/>
          <c:showVal val="0"/>
          <c:showCatName val="0"/>
          <c:showSerName val="0"/>
          <c:showPercent val="0"/>
          <c:showBubbleSize val="0"/>
          <c:extLst>
            <c:ext xmlns:c15="http://schemas.microsoft.com/office/drawing/2012/chart" uri="{CE6537A1-D6FC-4f65-9D91-7224C49458BB}"/>
          </c:extLst>
        </c:dLbl>
      </c:pivotFmt>
      <c:pivotFmt>
        <c:idx val="141"/>
        <c:dLbl>
          <c:idx val="0"/>
          <c:showLegendKey val="0"/>
          <c:showVal val="0"/>
          <c:showCatName val="0"/>
          <c:showSerName val="0"/>
          <c:showPercent val="0"/>
          <c:showBubbleSize val="0"/>
          <c:extLst>
            <c:ext xmlns:c15="http://schemas.microsoft.com/office/drawing/2012/chart" uri="{CE6537A1-D6FC-4f65-9D91-7224C49458BB}"/>
          </c:extLst>
        </c:dLbl>
      </c:pivotFmt>
      <c:pivotFmt>
        <c:idx val="142"/>
        <c:dLbl>
          <c:idx val="0"/>
          <c:showLegendKey val="0"/>
          <c:showVal val="0"/>
          <c:showCatName val="0"/>
          <c:showSerName val="0"/>
          <c:showPercent val="0"/>
          <c:showBubbleSize val="0"/>
          <c:extLst>
            <c:ext xmlns:c15="http://schemas.microsoft.com/office/drawing/2012/chart" uri="{CE6537A1-D6FC-4f65-9D91-7224C49458BB}"/>
          </c:extLst>
        </c:dLbl>
      </c:pivotFmt>
      <c:pivotFmt>
        <c:idx val="143"/>
        <c:dLbl>
          <c:idx val="0"/>
          <c:showLegendKey val="0"/>
          <c:showVal val="0"/>
          <c:showCatName val="0"/>
          <c:showSerName val="0"/>
          <c:showPercent val="0"/>
          <c:showBubbleSize val="0"/>
          <c:extLst>
            <c:ext xmlns:c15="http://schemas.microsoft.com/office/drawing/2012/chart" uri="{CE6537A1-D6FC-4f65-9D91-7224C49458BB}"/>
          </c:extLst>
        </c:dLbl>
      </c:pivotFmt>
      <c:pivotFmt>
        <c:idx val="144"/>
        <c:dLbl>
          <c:idx val="0"/>
          <c:showLegendKey val="0"/>
          <c:showVal val="0"/>
          <c:showCatName val="0"/>
          <c:showSerName val="0"/>
          <c:showPercent val="0"/>
          <c:showBubbleSize val="0"/>
          <c:extLst>
            <c:ext xmlns:c15="http://schemas.microsoft.com/office/drawing/2012/chart" uri="{CE6537A1-D6FC-4f65-9D91-7224C49458BB}"/>
          </c:extLst>
        </c:dLbl>
      </c:pivotFmt>
      <c:pivotFmt>
        <c:idx val="145"/>
        <c:dLbl>
          <c:idx val="0"/>
          <c:showLegendKey val="0"/>
          <c:showVal val="0"/>
          <c:showCatName val="0"/>
          <c:showSerName val="0"/>
          <c:showPercent val="0"/>
          <c:showBubbleSize val="0"/>
          <c:extLst>
            <c:ext xmlns:c15="http://schemas.microsoft.com/office/drawing/2012/chart" uri="{CE6537A1-D6FC-4f65-9D91-7224C49458BB}"/>
          </c:extLst>
        </c:dLbl>
      </c:pivotFmt>
      <c:pivotFmt>
        <c:idx val="146"/>
        <c:dLbl>
          <c:idx val="0"/>
          <c:showLegendKey val="0"/>
          <c:showVal val="0"/>
          <c:showCatName val="0"/>
          <c:showSerName val="0"/>
          <c:showPercent val="0"/>
          <c:showBubbleSize val="0"/>
          <c:extLst>
            <c:ext xmlns:c15="http://schemas.microsoft.com/office/drawing/2012/chart" uri="{CE6537A1-D6FC-4f65-9D91-7224C49458BB}"/>
          </c:extLst>
        </c:dLbl>
      </c:pivotFmt>
      <c:pivotFmt>
        <c:idx val="147"/>
        <c:dLbl>
          <c:idx val="0"/>
          <c:showLegendKey val="0"/>
          <c:showVal val="0"/>
          <c:showCatName val="0"/>
          <c:showSerName val="0"/>
          <c:showPercent val="0"/>
          <c:showBubbleSize val="0"/>
          <c:extLst>
            <c:ext xmlns:c15="http://schemas.microsoft.com/office/drawing/2012/chart" uri="{CE6537A1-D6FC-4f65-9D91-7224C49458BB}"/>
          </c:extLst>
        </c:dLbl>
      </c:pivotFmt>
      <c:pivotFmt>
        <c:idx val="148"/>
        <c:dLbl>
          <c:idx val="0"/>
          <c:showLegendKey val="0"/>
          <c:showVal val="0"/>
          <c:showCatName val="0"/>
          <c:showSerName val="0"/>
          <c:showPercent val="0"/>
          <c:showBubbleSize val="0"/>
          <c:extLst>
            <c:ext xmlns:c15="http://schemas.microsoft.com/office/drawing/2012/chart" uri="{CE6537A1-D6FC-4f65-9D91-7224C49458BB}"/>
          </c:extLst>
        </c:dLbl>
      </c:pivotFmt>
      <c:pivotFmt>
        <c:idx val="149"/>
        <c:dLbl>
          <c:idx val="0"/>
          <c:showLegendKey val="0"/>
          <c:showVal val="0"/>
          <c:showCatName val="0"/>
          <c:showSerName val="0"/>
          <c:showPercent val="0"/>
          <c:showBubbleSize val="0"/>
          <c:extLst>
            <c:ext xmlns:c15="http://schemas.microsoft.com/office/drawing/2012/chart" uri="{CE6537A1-D6FC-4f65-9D91-7224C49458BB}"/>
          </c:extLst>
        </c:dLbl>
      </c:pivotFmt>
      <c:pivotFmt>
        <c:idx val="150"/>
        <c:dLbl>
          <c:idx val="0"/>
          <c:showLegendKey val="0"/>
          <c:showVal val="0"/>
          <c:showCatName val="0"/>
          <c:showSerName val="0"/>
          <c:showPercent val="0"/>
          <c:showBubbleSize val="0"/>
          <c:extLst>
            <c:ext xmlns:c15="http://schemas.microsoft.com/office/drawing/2012/chart" uri="{CE6537A1-D6FC-4f65-9D91-7224C49458BB}"/>
          </c:extLst>
        </c:dLbl>
      </c:pivotFmt>
      <c:pivotFmt>
        <c:idx val="151"/>
        <c:dLbl>
          <c:idx val="0"/>
          <c:showLegendKey val="0"/>
          <c:showVal val="0"/>
          <c:showCatName val="0"/>
          <c:showSerName val="0"/>
          <c:showPercent val="0"/>
          <c:showBubbleSize val="0"/>
          <c:extLst>
            <c:ext xmlns:c15="http://schemas.microsoft.com/office/drawing/2012/chart" uri="{CE6537A1-D6FC-4f65-9D91-7224C49458BB}"/>
          </c:extLst>
        </c:dLbl>
      </c:pivotFmt>
      <c:pivotFmt>
        <c:idx val="152"/>
        <c:dLbl>
          <c:idx val="0"/>
          <c:showLegendKey val="0"/>
          <c:showVal val="0"/>
          <c:showCatName val="0"/>
          <c:showSerName val="0"/>
          <c:showPercent val="0"/>
          <c:showBubbleSize val="0"/>
          <c:extLst>
            <c:ext xmlns:c15="http://schemas.microsoft.com/office/drawing/2012/chart" uri="{CE6537A1-D6FC-4f65-9D91-7224C49458BB}"/>
          </c:extLst>
        </c:dLbl>
      </c:pivotFmt>
      <c:pivotFmt>
        <c:idx val="153"/>
        <c:dLbl>
          <c:idx val="0"/>
          <c:showLegendKey val="0"/>
          <c:showVal val="0"/>
          <c:showCatName val="0"/>
          <c:showSerName val="0"/>
          <c:showPercent val="0"/>
          <c:showBubbleSize val="0"/>
          <c:extLst>
            <c:ext xmlns:c15="http://schemas.microsoft.com/office/drawing/2012/chart" uri="{CE6537A1-D6FC-4f65-9D91-7224C49458BB}"/>
          </c:extLst>
        </c:dLbl>
      </c:pivotFmt>
      <c:pivotFmt>
        <c:idx val="154"/>
        <c:dLbl>
          <c:idx val="0"/>
          <c:showLegendKey val="0"/>
          <c:showVal val="0"/>
          <c:showCatName val="0"/>
          <c:showSerName val="0"/>
          <c:showPercent val="0"/>
          <c:showBubbleSize val="0"/>
          <c:extLst>
            <c:ext xmlns:c15="http://schemas.microsoft.com/office/drawing/2012/chart" uri="{CE6537A1-D6FC-4f65-9D91-7224C49458BB}"/>
          </c:extLst>
        </c:dLbl>
      </c:pivotFmt>
      <c:pivotFmt>
        <c:idx val="155"/>
        <c:dLbl>
          <c:idx val="0"/>
          <c:showLegendKey val="0"/>
          <c:showVal val="0"/>
          <c:showCatName val="0"/>
          <c:showSerName val="0"/>
          <c:showPercent val="0"/>
          <c:showBubbleSize val="0"/>
          <c:extLst>
            <c:ext xmlns:c15="http://schemas.microsoft.com/office/drawing/2012/chart" uri="{CE6537A1-D6FC-4f65-9D91-7224C49458BB}"/>
          </c:extLst>
        </c:dLbl>
      </c:pivotFmt>
      <c:pivotFmt>
        <c:idx val="156"/>
        <c:dLbl>
          <c:idx val="0"/>
          <c:showLegendKey val="0"/>
          <c:showVal val="0"/>
          <c:showCatName val="0"/>
          <c:showSerName val="0"/>
          <c:showPercent val="0"/>
          <c:showBubbleSize val="0"/>
          <c:extLst>
            <c:ext xmlns:c15="http://schemas.microsoft.com/office/drawing/2012/chart" uri="{CE6537A1-D6FC-4f65-9D91-7224C49458BB}"/>
          </c:extLst>
        </c:dLbl>
      </c:pivotFmt>
      <c:pivotFmt>
        <c:idx val="157"/>
        <c:dLbl>
          <c:idx val="0"/>
          <c:showLegendKey val="0"/>
          <c:showVal val="0"/>
          <c:showCatName val="0"/>
          <c:showSerName val="0"/>
          <c:showPercent val="0"/>
          <c:showBubbleSize val="0"/>
          <c:extLst>
            <c:ext xmlns:c15="http://schemas.microsoft.com/office/drawing/2012/chart" uri="{CE6537A1-D6FC-4f65-9D91-7224C49458BB}"/>
          </c:extLst>
        </c:dLbl>
      </c:pivotFmt>
      <c:pivotFmt>
        <c:idx val="158"/>
        <c:dLbl>
          <c:idx val="0"/>
          <c:showLegendKey val="0"/>
          <c:showVal val="0"/>
          <c:showCatName val="0"/>
          <c:showSerName val="0"/>
          <c:showPercent val="0"/>
          <c:showBubbleSize val="0"/>
          <c:extLst>
            <c:ext xmlns:c15="http://schemas.microsoft.com/office/drawing/2012/chart" uri="{CE6537A1-D6FC-4f65-9D91-7224C49458BB}"/>
          </c:extLst>
        </c:dLbl>
      </c:pivotFmt>
      <c:pivotFmt>
        <c:idx val="159"/>
        <c:dLbl>
          <c:idx val="0"/>
          <c:showLegendKey val="0"/>
          <c:showVal val="0"/>
          <c:showCatName val="0"/>
          <c:showSerName val="0"/>
          <c:showPercent val="0"/>
          <c:showBubbleSize val="0"/>
          <c:extLst>
            <c:ext xmlns:c15="http://schemas.microsoft.com/office/drawing/2012/chart" uri="{CE6537A1-D6FC-4f65-9D91-7224C49458BB}"/>
          </c:extLst>
        </c:dLbl>
      </c:pivotFmt>
      <c:pivotFmt>
        <c:idx val="160"/>
        <c:dLbl>
          <c:idx val="0"/>
          <c:showLegendKey val="0"/>
          <c:showVal val="0"/>
          <c:showCatName val="0"/>
          <c:showSerName val="0"/>
          <c:showPercent val="0"/>
          <c:showBubbleSize val="0"/>
          <c:extLst>
            <c:ext xmlns:c15="http://schemas.microsoft.com/office/drawing/2012/chart" uri="{CE6537A1-D6FC-4f65-9D91-7224C49458BB}"/>
          </c:extLst>
        </c:dLbl>
      </c:pivotFmt>
      <c:pivotFmt>
        <c:idx val="161"/>
        <c:dLbl>
          <c:idx val="0"/>
          <c:showLegendKey val="0"/>
          <c:showVal val="0"/>
          <c:showCatName val="0"/>
          <c:showSerName val="0"/>
          <c:showPercent val="0"/>
          <c:showBubbleSize val="0"/>
          <c:extLst>
            <c:ext xmlns:c15="http://schemas.microsoft.com/office/drawing/2012/chart" uri="{CE6537A1-D6FC-4f65-9D91-7224C49458BB}"/>
          </c:extLst>
        </c:dLbl>
      </c:pivotFmt>
      <c:pivotFmt>
        <c:idx val="162"/>
        <c:dLbl>
          <c:idx val="0"/>
          <c:showLegendKey val="0"/>
          <c:showVal val="0"/>
          <c:showCatName val="0"/>
          <c:showSerName val="0"/>
          <c:showPercent val="0"/>
          <c:showBubbleSize val="0"/>
          <c:extLst>
            <c:ext xmlns:c15="http://schemas.microsoft.com/office/drawing/2012/chart" uri="{CE6537A1-D6FC-4f65-9D91-7224C49458BB}"/>
          </c:extLst>
        </c:dLbl>
      </c:pivotFmt>
      <c:pivotFmt>
        <c:idx val="163"/>
        <c:dLbl>
          <c:idx val="0"/>
          <c:showLegendKey val="0"/>
          <c:showVal val="0"/>
          <c:showCatName val="0"/>
          <c:showSerName val="0"/>
          <c:showPercent val="0"/>
          <c:showBubbleSize val="0"/>
          <c:extLst>
            <c:ext xmlns:c15="http://schemas.microsoft.com/office/drawing/2012/chart" uri="{CE6537A1-D6FC-4f65-9D91-7224C49458BB}"/>
          </c:extLst>
        </c:dLbl>
      </c:pivotFmt>
      <c:pivotFmt>
        <c:idx val="164"/>
        <c:dLbl>
          <c:idx val="0"/>
          <c:showLegendKey val="0"/>
          <c:showVal val="0"/>
          <c:showCatName val="0"/>
          <c:showSerName val="0"/>
          <c:showPercent val="0"/>
          <c:showBubbleSize val="0"/>
          <c:extLst>
            <c:ext xmlns:c15="http://schemas.microsoft.com/office/drawing/2012/chart" uri="{CE6537A1-D6FC-4f65-9D91-7224C49458BB}"/>
          </c:extLst>
        </c:dLbl>
      </c:pivotFmt>
      <c:pivotFmt>
        <c:idx val="165"/>
        <c:dLbl>
          <c:idx val="0"/>
          <c:showLegendKey val="0"/>
          <c:showVal val="0"/>
          <c:showCatName val="0"/>
          <c:showSerName val="0"/>
          <c:showPercent val="0"/>
          <c:showBubbleSize val="0"/>
          <c:extLst>
            <c:ext xmlns:c15="http://schemas.microsoft.com/office/drawing/2012/chart" uri="{CE6537A1-D6FC-4f65-9D91-7224C49458BB}"/>
          </c:extLst>
        </c:dLbl>
      </c:pivotFmt>
      <c:pivotFmt>
        <c:idx val="166"/>
        <c:dLbl>
          <c:idx val="0"/>
          <c:showLegendKey val="0"/>
          <c:showVal val="0"/>
          <c:showCatName val="0"/>
          <c:showSerName val="0"/>
          <c:showPercent val="0"/>
          <c:showBubbleSize val="0"/>
          <c:extLst>
            <c:ext xmlns:c15="http://schemas.microsoft.com/office/drawing/2012/chart" uri="{CE6537A1-D6FC-4f65-9D91-7224C49458BB}"/>
          </c:extLst>
        </c:dLbl>
      </c:pivotFmt>
      <c:pivotFmt>
        <c:idx val="167"/>
        <c:dLbl>
          <c:idx val="0"/>
          <c:showLegendKey val="0"/>
          <c:showVal val="0"/>
          <c:showCatName val="0"/>
          <c:showSerName val="0"/>
          <c:showPercent val="0"/>
          <c:showBubbleSize val="0"/>
          <c:extLst>
            <c:ext xmlns:c15="http://schemas.microsoft.com/office/drawing/2012/chart" uri="{CE6537A1-D6FC-4f65-9D91-7224C49458BB}"/>
          </c:extLst>
        </c:dLbl>
      </c:pivotFmt>
      <c:pivotFmt>
        <c:idx val="168"/>
        <c:dLbl>
          <c:idx val="0"/>
          <c:showLegendKey val="0"/>
          <c:showVal val="0"/>
          <c:showCatName val="0"/>
          <c:showSerName val="0"/>
          <c:showPercent val="0"/>
          <c:showBubbleSize val="0"/>
          <c:extLst>
            <c:ext xmlns:c15="http://schemas.microsoft.com/office/drawing/2012/chart" uri="{CE6537A1-D6FC-4f65-9D91-7224C49458BB}"/>
          </c:extLst>
        </c:dLbl>
      </c:pivotFmt>
      <c:pivotFmt>
        <c:idx val="169"/>
        <c:dLbl>
          <c:idx val="0"/>
          <c:showLegendKey val="0"/>
          <c:showVal val="0"/>
          <c:showCatName val="0"/>
          <c:showSerName val="0"/>
          <c:showPercent val="0"/>
          <c:showBubbleSize val="0"/>
          <c:extLst>
            <c:ext xmlns:c15="http://schemas.microsoft.com/office/drawing/2012/chart" uri="{CE6537A1-D6FC-4f65-9D91-7224C49458BB}"/>
          </c:extLst>
        </c:dLbl>
      </c:pivotFmt>
      <c:pivotFmt>
        <c:idx val="170"/>
        <c:dLbl>
          <c:idx val="0"/>
          <c:showLegendKey val="0"/>
          <c:showVal val="0"/>
          <c:showCatName val="0"/>
          <c:showSerName val="0"/>
          <c:showPercent val="0"/>
          <c:showBubbleSize val="0"/>
          <c:extLst>
            <c:ext xmlns:c15="http://schemas.microsoft.com/office/drawing/2012/chart" uri="{CE6537A1-D6FC-4f65-9D91-7224C49458BB}"/>
          </c:extLst>
        </c:dLbl>
      </c:pivotFmt>
      <c:pivotFmt>
        <c:idx val="171"/>
        <c:dLbl>
          <c:idx val="0"/>
          <c:showLegendKey val="0"/>
          <c:showVal val="0"/>
          <c:showCatName val="0"/>
          <c:showSerName val="0"/>
          <c:showPercent val="0"/>
          <c:showBubbleSize val="0"/>
          <c:extLst>
            <c:ext xmlns:c15="http://schemas.microsoft.com/office/drawing/2012/chart" uri="{CE6537A1-D6FC-4f65-9D91-7224C49458BB}"/>
          </c:extLst>
        </c:dLbl>
      </c:pivotFmt>
      <c:pivotFmt>
        <c:idx val="172"/>
        <c:dLbl>
          <c:idx val="0"/>
          <c:showLegendKey val="0"/>
          <c:showVal val="0"/>
          <c:showCatName val="0"/>
          <c:showSerName val="0"/>
          <c:showPercent val="0"/>
          <c:showBubbleSize val="0"/>
          <c:extLst>
            <c:ext xmlns:c15="http://schemas.microsoft.com/office/drawing/2012/chart" uri="{CE6537A1-D6FC-4f65-9D91-7224C49458BB}"/>
          </c:extLst>
        </c:dLbl>
      </c:pivotFmt>
      <c:pivotFmt>
        <c:idx val="173"/>
        <c:dLbl>
          <c:idx val="0"/>
          <c:showLegendKey val="0"/>
          <c:showVal val="0"/>
          <c:showCatName val="0"/>
          <c:showSerName val="0"/>
          <c:showPercent val="0"/>
          <c:showBubbleSize val="0"/>
          <c:extLst>
            <c:ext xmlns:c15="http://schemas.microsoft.com/office/drawing/2012/chart" uri="{CE6537A1-D6FC-4f65-9D91-7224C49458BB}"/>
          </c:extLst>
        </c:dLbl>
      </c:pivotFmt>
      <c:pivotFmt>
        <c:idx val="174"/>
        <c:dLbl>
          <c:idx val="0"/>
          <c:showLegendKey val="0"/>
          <c:showVal val="0"/>
          <c:showCatName val="0"/>
          <c:showSerName val="0"/>
          <c:showPercent val="0"/>
          <c:showBubbleSize val="0"/>
          <c:extLst>
            <c:ext xmlns:c15="http://schemas.microsoft.com/office/drawing/2012/chart" uri="{CE6537A1-D6FC-4f65-9D91-7224C49458BB}"/>
          </c:extLst>
        </c:dLbl>
      </c:pivotFmt>
      <c:pivotFmt>
        <c:idx val="175"/>
        <c:dLbl>
          <c:idx val="0"/>
          <c:showLegendKey val="0"/>
          <c:showVal val="0"/>
          <c:showCatName val="0"/>
          <c:showSerName val="0"/>
          <c:showPercent val="0"/>
          <c:showBubbleSize val="0"/>
          <c:extLst>
            <c:ext xmlns:c15="http://schemas.microsoft.com/office/drawing/2012/chart" uri="{CE6537A1-D6FC-4f65-9D91-7224C49458BB}"/>
          </c:extLst>
        </c:dLbl>
      </c:pivotFmt>
      <c:pivotFmt>
        <c:idx val="176"/>
        <c:dLbl>
          <c:idx val="0"/>
          <c:showLegendKey val="0"/>
          <c:showVal val="0"/>
          <c:showCatName val="0"/>
          <c:showSerName val="0"/>
          <c:showPercent val="0"/>
          <c:showBubbleSize val="0"/>
          <c:extLst>
            <c:ext xmlns:c15="http://schemas.microsoft.com/office/drawing/2012/chart" uri="{CE6537A1-D6FC-4f65-9D91-7224C49458BB}"/>
          </c:extLst>
        </c:dLbl>
      </c:pivotFmt>
      <c:pivotFmt>
        <c:idx val="177"/>
        <c:dLbl>
          <c:idx val="0"/>
          <c:showLegendKey val="0"/>
          <c:showVal val="0"/>
          <c:showCatName val="0"/>
          <c:showSerName val="0"/>
          <c:showPercent val="0"/>
          <c:showBubbleSize val="0"/>
          <c:extLst>
            <c:ext xmlns:c15="http://schemas.microsoft.com/office/drawing/2012/chart" uri="{CE6537A1-D6FC-4f65-9D91-7224C49458BB}"/>
          </c:extLst>
        </c:dLbl>
      </c:pivotFmt>
      <c:pivotFmt>
        <c:idx val="178"/>
        <c:dLbl>
          <c:idx val="0"/>
          <c:showLegendKey val="0"/>
          <c:showVal val="0"/>
          <c:showCatName val="0"/>
          <c:showSerName val="0"/>
          <c:showPercent val="0"/>
          <c:showBubbleSize val="0"/>
          <c:extLst>
            <c:ext xmlns:c15="http://schemas.microsoft.com/office/drawing/2012/chart" uri="{CE6537A1-D6FC-4f65-9D91-7224C49458BB}"/>
          </c:extLst>
        </c:dLbl>
      </c:pivotFmt>
      <c:pivotFmt>
        <c:idx val="179"/>
        <c:dLbl>
          <c:idx val="0"/>
          <c:showLegendKey val="0"/>
          <c:showVal val="0"/>
          <c:showCatName val="0"/>
          <c:showSerName val="0"/>
          <c:showPercent val="0"/>
          <c:showBubbleSize val="0"/>
          <c:extLst>
            <c:ext xmlns:c15="http://schemas.microsoft.com/office/drawing/2012/chart" uri="{CE6537A1-D6FC-4f65-9D91-7224C49458BB}"/>
          </c:extLst>
        </c:dLbl>
      </c:pivotFmt>
      <c:pivotFmt>
        <c:idx val="180"/>
        <c:dLbl>
          <c:idx val="0"/>
          <c:showLegendKey val="0"/>
          <c:showVal val="0"/>
          <c:showCatName val="0"/>
          <c:showSerName val="0"/>
          <c:showPercent val="0"/>
          <c:showBubbleSize val="0"/>
          <c:extLst>
            <c:ext xmlns:c15="http://schemas.microsoft.com/office/drawing/2012/chart" uri="{CE6537A1-D6FC-4f65-9D91-7224C49458BB}"/>
          </c:extLst>
        </c:dLbl>
      </c:pivotFmt>
      <c:pivotFmt>
        <c:idx val="181"/>
        <c:dLbl>
          <c:idx val="0"/>
          <c:showLegendKey val="0"/>
          <c:showVal val="0"/>
          <c:showCatName val="0"/>
          <c:showSerName val="0"/>
          <c:showPercent val="0"/>
          <c:showBubbleSize val="0"/>
          <c:extLst>
            <c:ext xmlns:c15="http://schemas.microsoft.com/office/drawing/2012/chart" uri="{CE6537A1-D6FC-4f65-9D91-7224C49458BB}"/>
          </c:extLst>
        </c:dLbl>
      </c:pivotFmt>
      <c:pivotFmt>
        <c:idx val="182"/>
        <c:dLbl>
          <c:idx val="0"/>
          <c:showLegendKey val="0"/>
          <c:showVal val="0"/>
          <c:showCatName val="0"/>
          <c:showSerName val="0"/>
          <c:showPercent val="0"/>
          <c:showBubbleSize val="0"/>
          <c:extLst>
            <c:ext xmlns:c15="http://schemas.microsoft.com/office/drawing/2012/chart" uri="{CE6537A1-D6FC-4f65-9D91-7224C49458BB}"/>
          </c:extLst>
        </c:dLbl>
      </c:pivotFmt>
      <c:pivotFmt>
        <c:idx val="183"/>
        <c:dLbl>
          <c:idx val="0"/>
          <c:showLegendKey val="0"/>
          <c:showVal val="0"/>
          <c:showCatName val="0"/>
          <c:showSerName val="0"/>
          <c:showPercent val="0"/>
          <c:showBubbleSize val="0"/>
          <c:extLst>
            <c:ext xmlns:c15="http://schemas.microsoft.com/office/drawing/2012/chart" uri="{CE6537A1-D6FC-4f65-9D91-7224C49458BB}"/>
          </c:extLst>
        </c:dLbl>
      </c:pivotFmt>
      <c:pivotFmt>
        <c:idx val="184"/>
        <c:dLbl>
          <c:idx val="0"/>
          <c:showLegendKey val="0"/>
          <c:showVal val="0"/>
          <c:showCatName val="0"/>
          <c:showSerName val="0"/>
          <c:showPercent val="0"/>
          <c:showBubbleSize val="0"/>
          <c:extLst>
            <c:ext xmlns:c15="http://schemas.microsoft.com/office/drawing/2012/chart" uri="{CE6537A1-D6FC-4f65-9D91-7224C49458BB}"/>
          </c:extLst>
        </c:dLbl>
      </c:pivotFmt>
      <c:pivotFmt>
        <c:idx val="185"/>
        <c:dLbl>
          <c:idx val="0"/>
          <c:showLegendKey val="0"/>
          <c:showVal val="0"/>
          <c:showCatName val="0"/>
          <c:showSerName val="0"/>
          <c:showPercent val="0"/>
          <c:showBubbleSize val="0"/>
          <c:extLst>
            <c:ext xmlns:c15="http://schemas.microsoft.com/office/drawing/2012/chart" uri="{CE6537A1-D6FC-4f65-9D91-7224C49458BB}"/>
          </c:extLst>
        </c:dLbl>
      </c:pivotFmt>
      <c:pivotFmt>
        <c:idx val="186"/>
        <c:dLbl>
          <c:idx val="0"/>
          <c:showLegendKey val="0"/>
          <c:showVal val="0"/>
          <c:showCatName val="0"/>
          <c:showSerName val="0"/>
          <c:showPercent val="0"/>
          <c:showBubbleSize val="0"/>
          <c:extLst>
            <c:ext xmlns:c15="http://schemas.microsoft.com/office/drawing/2012/chart" uri="{CE6537A1-D6FC-4f65-9D91-7224C49458BB}"/>
          </c:extLst>
        </c:dLbl>
      </c:pivotFmt>
      <c:pivotFmt>
        <c:idx val="187"/>
        <c:dLbl>
          <c:idx val="0"/>
          <c:showLegendKey val="0"/>
          <c:showVal val="0"/>
          <c:showCatName val="0"/>
          <c:showSerName val="0"/>
          <c:showPercent val="0"/>
          <c:showBubbleSize val="0"/>
          <c:extLst>
            <c:ext xmlns:c15="http://schemas.microsoft.com/office/drawing/2012/chart" uri="{CE6537A1-D6FC-4f65-9D91-7224C49458BB}"/>
          </c:extLst>
        </c:dLbl>
      </c:pivotFmt>
      <c:pivotFmt>
        <c:idx val="188"/>
        <c:dLbl>
          <c:idx val="0"/>
          <c:showLegendKey val="0"/>
          <c:showVal val="0"/>
          <c:showCatName val="0"/>
          <c:showSerName val="0"/>
          <c:showPercent val="0"/>
          <c:showBubbleSize val="0"/>
          <c:extLst>
            <c:ext xmlns:c15="http://schemas.microsoft.com/office/drawing/2012/chart" uri="{CE6537A1-D6FC-4f65-9D91-7224C49458BB}"/>
          </c:extLst>
        </c:dLbl>
      </c:pivotFmt>
      <c:pivotFmt>
        <c:idx val="189"/>
        <c:dLbl>
          <c:idx val="0"/>
          <c:showLegendKey val="0"/>
          <c:showVal val="0"/>
          <c:showCatName val="0"/>
          <c:showSerName val="0"/>
          <c:showPercent val="0"/>
          <c:showBubbleSize val="0"/>
          <c:extLst>
            <c:ext xmlns:c15="http://schemas.microsoft.com/office/drawing/2012/chart" uri="{CE6537A1-D6FC-4f65-9D91-7224C49458BB}"/>
          </c:extLst>
        </c:dLbl>
      </c:pivotFmt>
      <c:pivotFmt>
        <c:idx val="190"/>
        <c:dLbl>
          <c:idx val="0"/>
          <c:showLegendKey val="0"/>
          <c:showVal val="0"/>
          <c:showCatName val="0"/>
          <c:showSerName val="0"/>
          <c:showPercent val="0"/>
          <c:showBubbleSize val="0"/>
          <c:extLst>
            <c:ext xmlns:c15="http://schemas.microsoft.com/office/drawing/2012/chart" uri="{CE6537A1-D6FC-4f65-9D91-7224C49458BB}"/>
          </c:extLst>
        </c:dLbl>
      </c:pivotFmt>
      <c:pivotFmt>
        <c:idx val="191"/>
        <c:dLbl>
          <c:idx val="0"/>
          <c:showLegendKey val="0"/>
          <c:showVal val="0"/>
          <c:showCatName val="0"/>
          <c:showSerName val="0"/>
          <c:showPercent val="0"/>
          <c:showBubbleSize val="0"/>
          <c:extLst>
            <c:ext xmlns:c15="http://schemas.microsoft.com/office/drawing/2012/chart" uri="{CE6537A1-D6FC-4f65-9D91-7224C49458BB}"/>
          </c:extLst>
        </c:dLbl>
      </c:pivotFmt>
      <c:pivotFmt>
        <c:idx val="192"/>
        <c:dLbl>
          <c:idx val="0"/>
          <c:showLegendKey val="0"/>
          <c:showVal val="0"/>
          <c:showCatName val="0"/>
          <c:showSerName val="0"/>
          <c:showPercent val="0"/>
          <c:showBubbleSize val="0"/>
          <c:extLst>
            <c:ext xmlns:c15="http://schemas.microsoft.com/office/drawing/2012/chart" uri="{CE6537A1-D6FC-4f65-9D91-7224C49458BB}"/>
          </c:extLst>
        </c:dLbl>
      </c:pivotFmt>
      <c:pivotFmt>
        <c:idx val="193"/>
        <c:dLbl>
          <c:idx val="0"/>
          <c:showLegendKey val="0"/>
          <c:showVal val="0"/>
          <c:showCatName val="0"/>
          <c:showSerName val="0"/>
          <c:showPercent val="0"/>
          <c:showBubbleSize val="0"/>
          <c:extLst>
            <c:ext xmlns:c15="http://schemas.microsoft.com/office/drawing/2012/chart" uri="{CE6537A1-D6FC-4f65-9D91-7224C49458BB}"/>
          </c:extLst>
        </c:dLbl>
      </c:pivotFmt>
      <c:pivotFmt>
        <c:idx val="194"/>
        <c:dLbl>
          <c:idx val="0"/>
          <c:showLegendKey val="0"/>
          <c:showVal val="0"/>
          <c:showCatName val="0"/>
          <c:showSerName val="0"/>
          <c:showPercent val="0"/>
          <c:showBubbleSize val="0"/>
          <c:extLst>
            <c:ext xmlns:c15="http://schemas.microsoft.com/office/drawing/2012/chart" uri="{CE6537A1-D6FC-4f65-9D91-7224C49458BB}"/>
          </c:extLst>
        </c:dLbl>
      </c:pivotFmt>
      <c:pivotFmt>
        <c:idx val="195"/>
        <c:dLbl>
          <c:idx val="0"/>
          <c:showLegendKey val="0"/>
          <c:showVal val="0"/>
          <c:showCatName val="0"/>
          <c:showSerName val="0"/>
          <c:showPercent val="0"/>
          <c:showBubbleSize val="0"/>
          <c:extLst>
            <c:ext xmlns:c15="http://schemas.microsoft.com/office/drawing/2012/chart" uri="{CE6537A1-D6FC-4f65-9D91-7224C49458BB}"/>
          </c:extLst>
        </c:dLbl>
      </c:pivotFmt>
      <c:pivotFmt>
        <c:idx val="196"/>
        <c:dLbl>
          <c:idx val="0"/>
          <c:showLegendKey val="0"/>
          <c:showVal val="0"/>
          <c:showCatName val="0"/>
          <c:showSerName val="0"/>
          <c:showPercent val="0"/>
          <c:showBubbleSize val="0"/>
          <c:extLst>
            <c:ext xmlns:c15="http://schemas.microsoft.com/office/drawing/2012/chart" uri="{CE6537A1-D6FC-4f65-9D91-7224C49458BB}"/>
          </c:extLst>
        </c:dLbl>
      </c:pivotFmt>
      <c:pivotFmt>
        <c:idx val="197"/>
        <c:dLbl>
          <c:idx val="0"/>
          <c:showLegendKey val="0"/>
          <c:showVal val="0"/>
          <c:showCatName val="0"/>
          <c:showSerName val="0"/>
          <c:showPercent val="0"/>
          <c:showBubbleSize val="0"/>
          <c:extLst>
            <c:ext xmlns:c15="http://schemas.microsoft.com/office/drawing/2012/chart" uri="{CE6537A1-D6FC-4f65-9D91-7224C49458BB}"/>
          </c:extLst>
        </c:dLbl>
      </c:pivotFmt>
      <c:pivotFmt>
        <c:idx val="198"/>
        <c:dLbl>
          <c:idx val="0"/>
          <c:showLegendKey val="0"/>
          <c:showVal val="0"/>
          <c:showCatName val="0"/>
          <c:showSerName val="0"/>
          <c:showPercent val="0"/>
          <c:showBubbleSize val="0"/>
          <c:extLst>
            <c:ext xmlns:c15="http://schemas.microsoft.com/office/drawing/2012/chart" uri="{CE6537A1-D6FC-4f65-9D91-7224C49458BB}"/>
          </c:extLst>
        </c:dLbl>
      </c:pivotFmt>
      <c:pivotFmt>
        <c:idx val="199"/>
        <c:dLbl>
          <c:idx val="0"/>
          <c:showLegendKey val="0"/>
          <c:showVal val="0"/>
          <c:showCatName val="0"/>
          <c:showSerName val="0"/>
          <c:showPercent val="0"/>
          <c:showBubbleSize val="0"/>
          <c:extLst>
            <c:ext xmlns:c15="http://schemas.microsoft.com/office/drawing/2012/chart" uri="{CE6537A1-D6FC-4f65-9D91-7224C49458BB}"/>
          </c:extLst>
        </c:dLbl>
      </c:pivotFmt>
      <c:pivotFmt>
        <c:idx val="200"/>
        <c:dLbl>
          <c:idx val="0"/>
          <c:showLegendKey val="0"/>
          <c:showVal val="0"/>
          <c:showCatName val="0"/>
          <c:showSerName val="0"/>
          <c:showPercent val="0"/>
          <c:showBubbleSize val="0"/>
          <c:extLst>
            <c:ext xmlns:c15="http://schemas.microsoft.com/office/drawing/2012/chart" uri="{CE6537A1-D6FC-4f65-9D91-7224C49458BB}"/>
          </c:extLst>
        </c:dLbl>
      </c:pivotFmt>
      <c:pivotFmt>
        <c:idx val="201"/>
        <c:dLbl>
          <c:idx val="0"/>
          <c:showLegendKey val="0"/>
          <c:showVal val="0"/>
          <c:showCatName val="0"/>
          <c:showSerName val="0"/>
          <c:showPercent val="0"/>
          <c:showBubbleSize val="0"/>
          <c:extLst>
            <c:ext xmlns:c15="http://schemas.microsoft.com/office/drawing/2012/chart" uri="{CE6537A1-D6FC-4f65-9D91-7224C49458BB}"/>
          </c:extLst>
        </c:dLbl>
      </c:pivotFmt>
      <c:pivotFmt>
        <c:idx val="202"/>
        <c:dLbl>
          <c:idx val="0"/>
          <c:showLegendKey val="0"/>
          <c:showVal val="0"/>
          <c:showCatName val="0"/>
          <c:showSerName val="0"/>
          <c:showPercent val="0"/>
          <c:showBubbleSize val="0"/>
          <c:extLst>
            <c:ext xmlns:c15="http://schemas.microsoft.com/office/drawing/2012/chart" uri="{CE6537A1-D6FC-4f65-9D91-7224C49458BB}"/>
          </c:extLst>
        </c:dLbl>
      </c:pivotFmt>
      <c:pivotFmt>
        <c:idx val="203"/>
        <c:dLbl>
          <c:idx val="0"/>
          <c:showLegendKey val="0"/>
          <c:showVal val="0"/>
          <c:showCatName val="0"/>
          <c:showSerName val="0"/>
          <c:showPercent val="0"/>
          <c:showBubbleSize val="0"/>
          <c:extLst>
            <c:ext xmlns:c15="http://schemas.microsoft.com/office/drawing/2012/chart" uri="{CE6537A1-D6FC-4f65-9D91-7224C49458BB}"/>
          </c:extLst>
        </c:dLbl>
      </c:pivotFmt>
      <c:pivotFmt>
        <c:idx val="204"/>
        <c:dLbl>
          <c:idx val="0"/>
          <c:showLegendKey val="0"/>
          <c:showVal val="0"/>
          <c:showCatName val="0"/>
          <c:showSerName val="0"/>
          <c:showPercent val="0"/>
          <c:showBubbleSize val="0"/>
          <c:extLst>
            <c:ext xmlns:c15="http://schemas.microsoft.com/office/drawing/2012/chart" uri="{CE6537A1-D6FC-4f65-9D91-7224C49458BB}"/>
          </c:extLst>
        </c:dLbl>
      </c:pivotFmt>
      <c:pivotFmt>
        <c:idx val="205"/>
        <c:dLbl>
          <c:idx val="0"/>
          <c:showLegendKey val="0"/>
          <c:showVal val="0"/>
          <c:showCatName val="0"/>
          <c:showSerName val="0"/>
          <c:showPercent val="0"/>
          <c:showBubbleSize val="0"/>
          <c:extLst>
            <c:ext xmlns:c15="http://schemas.microsoft.com/office/drawing/2012/chart" uri="{CE6537A1-D6FC-4f65-9D91-7224C49458BB}"/>
          </c:extLst>
        </c:dLbl>
      </c:pivotFmt>
      <c:pivotFmt>
        <c:idx val="206"/>
        <c:dLbl>
          <c:idx val="0"/>
          <c:showLegendKey val="0"/>
          <c:showVal val="0"/>
          <c:showCatName val="0"/>
          <c:showSerName val="0"/>
          <c:showPercent val="0"/>
          <c:showBubbleSize val="0"/>
          <c:extLst>
            <c:ext xmlns:c15="http://schemas.microsoft.com/office/drawing/2012/chart" uri="{CE6537A1-D6FC-4f65-9D91-7224C49458BB}"/>
          </c:extLst>
        </c:dLbl>
      </c:pivotFmt>
      <c:pivotFmt>
        <c:idx val="207"/>
        <c:dLbl>
          <c:idx val="0"/>
          <c:showLegendKey val="0"/>
          <c:showVal val="0"/>
          <c:showCatName val="0"/>
          <c:showSerName val="0"/>
          <c:showPercent val="0"/>
          <c:showBubbleSize val="0"/>
          <c:extLst>
            <c:ext xmlns:c15="http://schemas.microsoft.com/office/drawing/2012/chart" uri="{CE6537A1-D6FC-4f65-9D91-7224C49458BB}"/>
          </c:extLst>
        </c:dLbl>
      </c:pivotFmt>
      <c:pivotFmt>
        <c:idx val="208"/>
        <c:dLbl>
          <c:idx val="0"/>
          <c:showLegendKey val="0"/>
          <c:showVal val="0"/>
          <c:showCatName val="0"/>
          <c:showSerName val="0"/>
          <c:showPercent val="0"/>
          <c:showBubbleSize val="0"/>
          <c:extLst>
            <c:ext xmlns:c15="http://schemas.microsoft.com/office/drawing/2012/chart" uri="{CE6537A1-D6FC-4f65-9D91-7224C49458BB}"/>
          </c:extLst>
        </c:dLbl>
      </c:pivotFmt>
      <c:pivotFmt>
        <c:idx val="209"/>
        <c:dLbl>
          <c:idx val="0"/>
          <c:showLegendKey val="0"/>
          <c:showVal val="0"/>
          <c:showCatName val="0"/>
          <c:showSerName val="0"/>
          <c:showPercent val="0"/>
          <c:showBubbleSize val="0"/>
          <c:extLst>
            <c:ext xmlns:c15="http://schemas.microsoft.com/office/drawing/2012/chart" uri="{CE6537A1-D6FC-4f65-9D91-7224C49458BB}"/>
          </c:extLst>
        </c:dLbl>
      </c:pivotFmt>
      <c:pivotFmt>
        <c:idx val="210"/>
        <c:dLbl>
          <c:idx val="0"/>
          <c:showLegendKey val="0"/>
          <c:showVal val="0"/>
          <c:showCatName val="0"/>
          <c:showSerName val="0"/>
          <c:showPercent val="0"/>
          <c:showBubbleSize val="0"/>
          <c:extLst>
            <c:ext xmlns:c15="http://schemas.microsoft.com/office/drawing/2012/chart" uri="{CE6537A1-D6FC-4f65-9D91-7224C49458BB}"/>
          </c:extLst>
        </c:dLbl>
      </c:pivotFmt>
      <c:pivotFmt>
        <c:idx val="211"/>
        <c:dLbl>
          <c:idx val="0"/>
          <c:showLegendKey val="0"/>
          <c:showVal val="0"/>
          <c:showCatName val="0"/>
          <c:showSerName val="0"/>
          <c:showPercent val="0"/>
          <c:showBubbleSize val="0"/>
          <c:extLst>
            <c:ext xmlns:c15="http://schemas.microsoft.com/office/drawing/2012/chart" uri="{CE6537A1-D6FC-4f65-9D91-7224C49458BB}"/>
          </c:extLst>
        </c:dLbl>
      </c:pivotFmt>
      <c:pivotFmt>
        <c:idx val="212"/>
        <c:dLbl>
          <c:idx val="0"/>
          <c:showLegendKey val="0"/>
          <c:showVal val="0"/>
          <c:showCatName val="0"/>
          <c:showSerName val="0"/>
          <c:showPercent val="0"/>
          <c:showBubbleSize val="0"/>
          <c:extLst>
            <c:ext xmlns:c15="http://schemas.microsoft.com/office/drawing/2012/chart" uri="{CE6537A1-D6FC-4f65-9D91-7224C49458BB}"/>
          </c:extLst>
        </c:dLbl>
      </c:pivotFmt>
      <c:pivotFmt>
        <c:idx val="213"/>
        <c:dLbl>
          <c:idx val="0"/>
          <c:showLegendKey val="0"/>
          <c:showVal val="0"/>
          <c:showCatName val="0"/>
          <c:showSerName val="0"/>
          <c:showPercent val="0"/>
          <c:showBubbleSize val="0"/>
          <c:extLst>
            <c:ext xmlns:c15="http://schemas.microsoft.com/office/drawing/2012/chart" uri="{CE6537A1-D6FC-4f65-9D91-7224C49458BB}"/>
          </c:extLst>
        </c:dLbl>
      </c:pivotFmt>
      <c:pivotFmt>
        <c:idx val="214"/>
        <c:dLbl>
          <c:idx val="0"/>
          <c:showLegendKey val="0"/>
          <c:showVal val="0"/>
          <c:showCatName val="0"/>
          <c:showSerName val="0"/>
          <c:showPercent val="0"/>
          <c:showBubbleSize val="0"/>
          <c:extLst>
            <c:ext xmlns:c15="http://schemas.microsoft.com/office/drawing/2012/chart" uri="{CE6537A1-D6FC-4f65-9D91-7224C49458BB}"/>
          </c:extLst>
        </c:dLbl>
      </c:pivotFmt>
      <c:pivotFmt>
        <c:idx val="215"/>
        <c:dLbl>
          <c:idx val="0"/>
          <c:showLegendKey val="0"/>
          <c:showVal val="0"/>
          <c:showCatName val="0"/>
          <c:showSerName val="0"/>
          <c:showPercent val="0"/>
          <c:showBubbleSize val="0"/>
          <c:extLst>
            <c:ext xmlns:c15="http://schemas.microsoft.com/office/drawing/2012/chart" uri="{CE6537A1-D6FC-4f65-9D91-7224C49458BB}"/>
          </c:extLst>
        </c:dLbl>
      </c:pivotFmt>
      <c:pivotFmt>
        <c:idx val="216"/>
        <c:dLbl>
          <c:idx val="0"/>
          <c:showLegendKey val="0"/>
          <c:showVal val="0"/>
          <c:showCatName val="0"/>
          <c:showSerName val="0"/>
          <c:showPercent val="0"/>
          <c:showBubbleSize val="0"/>
          <c:extLst>
            <c:ext xmlns:c15="http://schemas.microsoft.com/office/drawing/2012/chart" uri="{CE6537A1-D6FC-4f65-9D91-7224C49458BB}"/>
          </c:extLst>
        </c:dLbl>
      </c:pivotFmt>
      <c:pivotFmt>
        <c:idx val="217"/>
        <c:dLbl>
          <c:idx val="0"/>
          <c:showLegendKey val="0"/>
          <c:showVal val="0"/>
          <c:showCatName val="0"/>
          <c:showSerName val="0"/>
          <c:showPercent val="0"/>
          <c:showBubbleSize val="0"/>
          <c:extLst>
            <c:ext xmlns:c15="http://schemas.microsoft.com/office/drawing/2012/chart" uri="{CE6537A1-D6FC-4f65-9D91-7224C49458BB}"/>
          </c:extLst>
        </c:dLbl>
      </c:pivotFmt>
      <c:pivotFmt>
        <c:idx val="218"/>
        <c:dLbl>
          <c:idx val="0"/>
          <c:showLegendKey val="0"/>
          <c:showVal val="0"/>
          <c:showCatName val="0"/>
          <c:showSerName val="0"/>
          <c:showPercent val="0"/>
          <c:showBubbleSize val="0"/>
          <c:extLst>
            <c:ext xmlns:c15="http://schemas.microsoft.com/office/drawing/2012/chart" uri="{CE6537A1-D6FC-4f65-9D91-7224C49458BB}"/>
          </c:extLst>
        </c:dLbl>
      </c:pivotFmt>
      <c:pivotFmt>
        <c:idx val="219"/>
        <c:dLbl>
          <c:idx val="0"/>
          <c:showLegendKey val="0"/>
          <c:showVal val="0"/>
          <c:showCatName val="0"/>
          <c:showSerName val="0"/>
          <c:showPercent val="0"/>
          <c:showBubbleSize val="0"/>
          <c:extLst>
            <c:ext xmlns:c15="http://schemas.microsoft.com/office/drawing/2012/chart" uri="{CE6537A1-D6FC-4f65-9D91-7224C49458BB}"/>
          </c:extLst>
        </c:dLbl>
      </c:pivotFmt>
      <c:pivotFmt>
        <c:idx val="220"/>
        <c:dLbl>
          <c:idx val="0"/>
          <c:showLegendKey val="0"/>
          <c:showVal val="0"/>
          <c:showCatName val="0"/>
          <c:showSerName val="0"/>
          <c:showPercent val="0"/>
          <c:showBubbleSize val="0"/>
          <c:extLst>
            <c:ext xmlns:c15="http://schemas.microsoft.com/office/drawing/2012/chart" uri="{CE6537A1-D6FC-4f65-9D91-7224C49458BB}"/>
          </c:extLst>
        </c:dLbl>
      </c:pivotFmt>
      <c:pivotFmt>
        <c:idx val="221"/>
        <c:dLbl>
          <c:idx val="0"/>
          <c:showLegendKey val="0"/>
          <c:showVal val="0"/>
          <c:showCatName val="0"/>
          <c:showSerName val="0"/>
          <c:showPercent val="0"/>
          <c:showBubbleSize val="0"/>
          <c:extLst>
            <c:ext xmlns:c15="http://schemas.microsoft.com/office/drawing/2012/chart" uri="{CE6537A1-D6FC-4f65-9D91-7224C49458BB}"/>
          </c:extLst>
        </c:dLbl>
      </c:pivotFmt>
      <c:pivotFmt>
        <c:idx val="222"/>
        <c:dLbl>
          <c:idx val="0"/>
          <c:showLegendKey val="0"/>
          <c:showVal val="0"/>
          <c:showCatName val="0"/>
          <c:showSerName val="0"/>
          <c:showPercent val="0"/>
          <c:showBubbleSize val="0"/>
          <c:extLst>
            <c:ext xmlns:c15="http://schemas.microsoft.com/office/drawing/2012/chart" uri="{CE6537A1-D6FC-4f65-9D91-7224C49458BB}"/>
          </c:extLst>
        </c:dLbl>
      </c:pivotFmt>
      <c:pivotFmt>
        <c:idx val="223"/>
        <c:dLbl>
          <c:idx val="0"/>
          <c:showLegendKey val="0"/>
          <c:showVal val="0"/>
          <c:showCatName val="0"/>
          <c:showSerName val="0"/>
          <c:showPercent val="0"/>
          <c:showBubbleSize val="0"/>
          <c:extLst>
            <c:ext xmlns:c15="http://schemas.microsoft.com/office/drawing/2012/chart" uri="{CE6537A1-D6FC-4f65-9D91-7224C49458BB}"/>
          </c:extLst>
        </c:dLbl>
      </c:pivotFmt>
      <c:pivotFmt>
        <c:idx val="224"/>
        <c:dLbl>
          <c:idx val="0"/>
          <c:showLegendKey val="0"/>
          <c:showVal val="0"/>
          <c:showCatName val="0"/>
          <c:showSerName val="0"/>
          <c:showPercent val="0"/>
          <c:showBubbleSize val="0"/>
          <c:extLst>
            <c:ext xmlns:c15="http://schemas.microsoft.com/office/drawing/2012/chart" uri="{CE6537A1-D6FC-4f65-9D91-7224C49458BB}"/>
          </c:extLst>
        </c:dLbl>
      </c:pivotFmt>
      <c:pivotFmt>
        <c:idx val="225"/>
        <c:dLbl>
          <c:idx val="0"/>
          <c:showLegendKey val="0"/>
          <c:showVal val="0"/>
          <c:showCatName val="0"/>
          <c:showSerName val="0"/>
          <c:showPercent val="0"/>
          <c:showBubbleSize val="0"/>
          <c:extLst>
            <c:ext xmlns:c15="http://schemas.microsoft.com/office/drawing/2012/chart" uri="{CE6537A1-D6FC-4f65-9D91-7224C49458BB}"/>
          </c:extLst>
        </c:dLbl>
      </c:pivotFmt>
      <c:pivotFmt>
        <c:idx val="226"/>
        <c:dLbl>
          <c:idx val="0"/>
          <c:showLegendKey val="0"/>
          <c:showVal val="0"/>
          <c:showCatName val="0"/>
          <c:showSerName val="0"/>
          <c:showPercent val="0"/>
          <c:showBubbleSize val="0"/>
          <c:extLst>
            <c:ext xmlns:c15="http://schemas.microsoft.com/office/drawing/2012/chart" uri="{CE6537A1-D6FC-4f65-9D91-7224C49458BB}"/>
          </c:extLst>
        </c:dLbl>
      </c:pivotFmt>
      <c:pivotFmt>
        <c:idx val="227"/>
        <c:dLbl>
          <c:idx val="0"/>
          <c:showLegendKey val="0"/>
          <c:showVal val="0"/>
          <c:showCatName val="0"/>
          <c:showSerName val="0"/>
          <c:showPercent val="0"/>
          <c:showBubbleSize val="0"/>
          <c:extLst>
            <c:ext xmlns:c15="http://schemas.microsoft.com/office/drawing/2012/chart" uri="{CE6537A1-D6FC-4f65-9D91-7224C49458BB}"/>
          </c:extLst>
        </c:dLbl>
      </c:pivotFmt>
      <c:pivotFmt>
        <c:idx val="228"/>
        <c:dLbl>
          <c:idx val="0"/>
          <c:showLegendKey val="0"/>
          <c:showVal val="0"/>
          <c:showCatName val="0"/>
          <c:showSerName val="0"/>
          <c:showPercent val="0"/>
          <c:showBubbleSize val="0"/>
          <c:extLst>
            <c:ext xmlns:c15="http://schemas.microsoft.com/office/drawing/2012/chart" uri="{CE6537A1-D6FC-4f65-9D91-7224C49458BB}"/>
          </c:extLst>
        </c:dLbl>
      </c:pivotFmt>
      <c:pivotFmt>
        <c:idx val="229"/>
        <c:dLbl>
          <c:idx val="0"/>
          <c:showLegendKey val="0"/>
          <c:showVal val="0"/>
          <c:showCatName val="0"/>
          <c:showSerName val="0"/>
          <c:showPercent val="0"/>
          <c:showBubbleSize val="0"/>
          <c:extLst>
            <c:ext xmlns:c15="http://schemas.microsoft.com/office/drawing/2012/chart" uri="{CE6537A1-D6FC-4f65-9D91-7224C49458BB}"/>
          </c:extLst>
        </c:dLbl>
      </c:pivotFmt>
      <c:pivotFmt>
        <c:idx val="230"/>
        <c:dLbl>
          <c:idx val="0"/>
          <c:showLegendKey val="0"/>
          <c:showVal val="0"/>
          <c:showCatName val="0"/>
          <c:showSerName val="0"/>
          <c:showPercent val="0"/>
          <c:showBubbleSize val="0"/>
          <c:extLst>
            <c:ext xmlns:c15="http://schemas.microsoft.com/office/drawing/2012/chart" uri="{CE6537A1-D6FC-4f65-9D91-7224C49458BB}"/>
          </c:extLst>
        </c:dLbl>
      </c:pivotFmt>
      <c:pivotFmt>
        <c:idx val="231"/>
        <c:dLbl>
          <c:idx val="0"/>
          <c:showLegendKey val="0"/>
          <c:showVal val="0"/>
          <c:showCatName val="0"/>
          <c:showSerName val="0"/>
          <c:showPercent val="0"/>
          <c:showBubbleSize val="0"/>
          <c:extLst>
            <c:ext xmlns:c15="http://schemas.microsoft.com/office/drawing/2012/chart" uri="{CE6537A1-D6FC-4f65-9D91-7224C49458BB}"/>
          </c:extLst>
        </c:dLbl>
      </c:pivotFmt>
      <c:pivotFmt>
        <c:idx val="232"/>
        <c:dLbl>
          <c:idx val="0"/>
          <c:showLegendKey val="0"/>
          <c:showVal val="0"/>
          <c:showCatName val="0"/>
          <c:showSerName val="0"/>
          <c:showPercent val="0"/>
          <c:showBubbleSize val="0"/>
          <c:extLst>
            <c:ext xmlns:c15="http://schemas.microsoft.com/office/drawing/2012/chart" uri="{CE6537A1-D6FC-4f65-9D91-7224C49458BB}"/>
          </c:extLst>
        </c:dLbl>
      </c:pivotFmt>
      <c:pivotFmt>
        <c:idx val="233"/>
        <c:dLbl>
          <c:idx val="0"/>
          <c:showLegendKey val="0"/>
          <c:showVal val="0"/>
          <c:showCatName val="0"/>
          <c:showSerName val="0"/>
          <c:showPercent val="0"/>
          <c:showBubbleSize val="0"/>
          <c:extLst>
            <c:ext xmlns:c15="http://schemas.microsoft.com/office/drawing/2012/chart" uri="{CE6537A1-D6FC-4f65-9D91-7224C49458BB}"/>
          </c:extLst>
        </c:dLbl>
      </c:pivotFmt>
      <c:pivotFmt>
        <c:idx val="234"/>
        <c:dLbl>
          <c:idx val="0"/>
          <c:showLegendKey val="0"/>
          <c:showVal val="0"/>
          <c:showCatName val="0"/>
          <c:showSerName val="0"/>
          <c:showPercent val="0"/>
          <c:showBubbleSize val="0"/>
          <c:extLst>
            <c:ext xmlns:c15="http://schemas.microsoft.com/office/drawing/2012/chart" uri="{CE6537A1-D6FC-4f65-9D91-7224C49458BB}"/>
          </c:extLst>
        </c:dLbl>
      </c:pivotFmt>
      <c:pivotFmt>
        <c:idx val="235"/>
        <c:dLbl>
          <c:idx val="0"/>
          <c:showLegendKey val="0"/>
          <c:showVal val="0"/>
          <c:showCatName val="0"/>
          <c:showSerName val="0"/>
          <c:showPercent val="0"/>
          <c:showBubbleSize val="0"/>
          <c:extLst>
            <c:ext xmlns:c15="http://schemas.microsoft.com/office/drawing/2012/chart" uri="{CE6537A1-D6FC-4f65-9D91-7224C49458BB}"/>
          </c:extLst>
        </c:dLbl>
      </c:pivotFmt>
      <c:pivotFmt>
        <c:idx val="236"/>
        <c:dLbl>
          <c:idx val="0"/>
          <c:showLegendKey val="0"/>
          <c:showVal val="0"/>
          <c:showCatName val="0"/>
          <c:showSerName val="0"/>
          <c:showPercent val="0"/>
          <c:showBubbleSize val="0"/>
          <c:extLst>
            <c:ext xmlns:c15="http://schemas.microsoft.com/office/drawing/2012/chart" uri="{CE6537A1-D6FC-4f65-9D91-7224C49458BB}"/>
          </c:extLst>
        </c:dLbl>
      </c:pivotFmt>
      <c:pivotFmt>
        <c:idx val="237"/>
        <c:dLbl>
          <c:idx val="0"/>
          <c:showLegendKey val="0"/>
          <c:showVal val="0"/>
          <c:showCatName val="0"/>
          <c:showSerName val="0"/>
          <c:showPercent val="0"/>
          <c:showBubbleSize val="0"/>
          <c:extLst>
            <c:ext xmlns:c15="http://schemas.microsoft.com/office/drawing/2012/chart" uri="{CE6537A1-D6FC-4f65-9D91-7224C49458BB}"/>
          </c:extLst>
        </c:dLbl>
      </c:pivotFmt>
      <c:pivotFmt>
        <c:idx val="238"/>
        <c:dLbl>
          <c:idx val="0"/>
          <c:showLegendKey val="0"/>
          <c:showVal val="0"/>
          <c:showCatName val="0"/>
          <c:showSerName val="0"/>
          <c:showPercent val="0"/>
          <c:showBubbleSize val="0"/>
          <c:extLst>
            <c:ext xmlns:c15="http://schemas.microsoft.com/office/drawing/2012/chart" uri="{CE6537A1-D6FC-4f65-9D91-7224C49458BB}"/>
          </c:extLst>
        </c:dLbl>
      </c:pivotFmt>
      <c:pivotFmt>
        <c:idx val="239"/>
        <c:dLbl>
          <c:idx val="0"/>
          <c:showLegendKey val="0"/>
          <c:showVal val="0"/>
          <c:showCatName val="0"/>
          <c:showSerName val="0"/>
          <c:showPercent val="0"/>
          <c:showBubbleSize val="0"/>
          <c:extLst>
            <c:ext xmlns:c15="http://schemas.microsoft.com/office/drawing/2012/chart" uri="{CE6537A1-D6FC-4f65-9D91-7224C49458BB}"/>
          </c:extLst>
        </c:dLbl>
      </c:pivotFmt>
      <c:pivotFmt>
        <c:idx val="240"/>
        <c:dLbl>
          <c:idx val="0"/>
          <c:showLegendKey val="0"/>
          <c:showVal val="0"/>
          <c:showCatName val="0"/>
          <c:showSerName val="0"/>
          <c:showPercent val="0"/>
          <c:showBubbleSize val="0"/>
          <c:extLst>
            <c:ext xmlns:c15="http://schemas.microsoft.com/office/drawing/2012/chart" uri="{CE6537A1-D6FC-4f65-9D91-7224C49458BB}"/>
          </c:extLst>
        </c:dLbl>
      </c:pivotFmt>
      <c:pivotFmt>
        <c:idx val="241"/>
        <c:dLbl>
          <c:idx val="0"/>
          <c:showLegendKey val="0"/>
          <c:showVal val="0"/>
          <c:showCatName val="0"/>
          <c:showSerName val="0"/>
          <c:showPercent val="0"/>
          <c:showBubbleSize val="0"/>
          <c:extLst>
            <c:ext xmlns:c15="http://schemas.microsoft.com/office/drawing/2012/chart" uri="{CE6537A1-D6FC-4f65-9D91-7224C49458BB}"/>
          </c:extLst>
        </c:dLbl>
      </c:pivotFmt>
      <c:pivotFmt>
        <c:idx val="242"/>
        <c:dLbl>
          <c:idx val="0"/>
          <c:showLegendKey val="0"/>
          <c:showVal val="0"/>
          <c:showCatName val="0"/>
          <c:showSerName val="0"/>
          <c:showPercent val="0"/>
          <c:showBubbleSize val="0"/>
          <c:extLst>
            <c:ext xmlns:c15="http://schemas.microsoft.com/office/drawing/2012/chart" uri="{CE6537A1-D6FC-4f65-9D91-7224C49458BB}"/>
          </c:extLst>
        </c:dLbl>
      </c:pivotFmt>
      <c:pivotFmt>
        <c:idx val="243"/>
        <c:dLbl>
          <c:idx val="0"/>
          <c:showLegendKey val="0"/>
          <c:showVal val="0"/>
          <c:showCatName val="0"/>
          <c:showSerName val="0"/>
          <c:showPercent val="0"/>
          <c:showBubbleSize val="0"/>
          <c:extLst>
            <c:ext xmlns:c15="http://schemas.microsoft.com/office/drawing/2012/chart" uri="{CE6537A1-D6FC-4f65-9D91-7224C49458BB}"/>
          </c:extLst>
        </c:dLbl>
      </c:pivotFmt>
      <c:pivotFmt>
        <c:idx val="244"/>
        <c:dLbl>
          <c:idx val="0"/>
          <c:showLegendKey val="0"/>
          <c:showVal val="0"/>
          <c:showCatName val="0"/>
          <c:showSerName val="0"/>
          <c:showPercent val="0"/>
          <c:showBubbleSize val="0"/>
          <c:extLst>
            <c:ext xmlns:c15="http://schemas.microsoft.com/office/drawing/2012/chart" uri="{CE6537A1-D6FC-4f65-9D91-7224C49458BB}"/>
          </c:extLst>
        </c:dLbl>
      </c:pivotFmt>
      <c:pivotFmt>
        <c:idx val="245"/>
        <c:dLbl>
          <c:idx val="0"/>
          <c:showLegendKey val="0"/>
          <c:showVal val="0"/>
          <c:showCatName val="0"/>
          <c:showSerName val="0"/>
          <c:showPercent val="0"/>
          <c:showBubbleSize val="0"/>
          <c:extLst>
            <c:ext xmlns:c15="http://schemas.microsoft.com/office/drawing/2012/chart" uri="{CE6537A1-D6FC-4f65-9D91-7224C49458BB}"/>
          </c:extLst>
        </c:dLbl>
      </c:pivotFmt>
      <c:pivotFmt>
        <c:idx val="246"/>
        <c:dLbl>
          <c:idx val="0"/>
          <c:showLegendKey val="0"/>
          <c:showVal val="0"/>
          <c:showCatName val="0"/>
          <c:showSerName val="0"/>
          <c:showPercent val="0"/>
          <c:showBubbleSize val="0"/>
          <c:extLst>
            <c:ext xmlns:c15="http://schemas.microsoft.com/office/drawing/2012/chart" uri="{CE6537A1-D6FC-4f65-9D91-7224C49458BB}"/>
          </c:extLst>
        </c:dLbl>
      </c:pivotFmt>
      <c:pivotFmt>
        <c:idx val="247"/>
        <c:dLbl>
          <c:idx val="0"/>
          <c:showLegendKey val="0"/>
          <c:showVal val="0"/>
          <c:showCatName val="0"/>
          <c:showSerName val="0"/>
          <c:showPercent val="0"/>
          <c:showBubbleSize val="0"/>
          <c:extLst>
            <c:ext xmlns:c15="http://schemas.microsoft.com/office/drawing/2012/chart" uri="{CE6537A1-D6FC-4f65-9D91-7224C49458BB}"/>
          </c:extLst>
        </c:dLbl>
      </c:pivotFmt>
      <c:pivotFmt>
        <c:idx val="248"/>
        <c:dLbl>
          <c:idx val="0"/>
          <c:showLegendKey val="0"/>
          <c:showVal val="0"/>
          <c:showCatName val="0"/>
          <c:showSerName val="0"/>
          <c:showPercent val="0"/>
          <c:showBubbleSize val="0"/>
          <c:extLst>
            <c:ext xmlns:c15="http://schemas.microsoft.com/office/drawing/2012/chart" uri="{CE6537A1-D6FC-4f65-9D91-7224C49458BB}"/>
          </c:extLst>
        </c:dLbl>
      </c:pivotFmt>
      <c:pivotFmt>
        <c:idx val="249"/>
        <c:dLbl>
          <c:idx val="0"/>
          <c:showLegendKey val="0"/>
          <c:showVal val="0"/>
          <c:showCatName val="0"/>
          <c:showSerName val="0"/>
          <c:showPercent val="0"/>
          <c:showBubbleSize val="0"/>
          <c:extLst>
            <c:ext xmlns:c15="http://schemas.microsoft.com/office/drawing/2012/chart" uri="{CE6537A1-D6FC-4f65-9D91-7224C49458BB}"/>
          </c:extLst>
        </c:dLbl>
      </c:pivotFmt>
      <c:pivotFmt>
        <c:idx val="250"/>
        <c:dLbl>
          <c:idx val="0"/>
          <c:showLegendKey val="0"/>
          <c:showVal val="0"/>
          <c:showCatName val="0"/>
          <c:showSerName val="0"/>
          <c:showPercent val="0"/>
          <c:showBubbleSize val="0"/>
          <c:extLst>
            <c:ext xmlns:c15="http://schemas.microsoft.com/office/drawing/2012/chart" uri="{CE6537A1-D6FC-4f65-9D91-7224C49458BB}"/>
          </c:extLst>
        </c:dLbl>
      </c:pivotFmt>
      <c:pivotFmt>
        <c:idx val="251"/>
        <c:dLbl>
          <c:idx val="0"/>
          <c:showLegendKey val="0"/>
          <c:showVal val="0"/>
          <c:showCatName val="0"/>
          <c:showSerName val="0"/>
          <c:showPercent val="0"/>
          <c:showBubbleSize val="0"/>
          <c:extLst>
            <c:ext xmlns:c15="http://schemas.microsoft.com/office/drawing/2012/chart" uri="{CE6537A1-D6FC-4f65-9D91-7224C49458BB}"/>
          </c:extLst>
        </c:dLbl>
      </c:pivotFmt>
      <c:pivotFmt>
        <c:idx val="252"/>
        <c:dLbl>
          <c:idx val="0"/>
          <c:showLegendKey val="0"/>
          <c:showVal val="0"/>
          <c:showCatName val="0"/>
          <c:showSerName val="0"/>
          <c:showPercent val="0"/>
          <c:showBubbleSize val="0"/>
          <c:extLst>
            <c:ext xmlns:c15="http://schemas.microsoft.com/office/drawing/2012/chart" uri="{CE6537A1-D6FC-4f65-9D91-7224C49458BB}"/>
          </c:extLst>
        </c:dLbl>
      </c:pivotFmt>
      <c:pivotFmt>
        <c:idx val="253"/>
        <c:dLbl>
          <c:idx val="0"/>
          <c:showLegendKey val="0"/>
          <c:showVal val="0"/>
          <c:showCatName val="0"/>
          <c:showSerName val="0"/>
          <c:showPercent val="0"/>
          <c:showBubbleSize val="0"/>
          <c:extLst>
            <c:ext xmlns:c15="http://schemas.microsoft.com/office/drawing/2012/chart" uri="{CE6537A1-D6FC-4f65-9D91-7224C49458BB}"/>
          </c:extLst>
        </c:dLbl>
      </c:pivotFmt>
      <c:pivotFmt>
        <c:idx val="254"/>
        <c:dLbl>
          <c:idx val="0"/>
          <c:showLegendKey val="0"/>
          <c:showVal val="0"/>
          <c:showCatName val="0"/>
          <c:showSerName val="0"/>
          <c:showPercent val="0"/>
          <c:showBubbleSize val="0"/>
          <c:extLst>
            <c:ext xmlns:c15="http://schemas.microsoft.com/office/drawing/2012/chart" uri="{CE6537A1-D6FC-4f65-9D91-7224C49458BB}"/>
          </c:extLst>
        </c:dLbl>
      </c:pivotFmt>
      <c:pivotFmt>
        <c:idx val="255"/>
        <c:dLbl>
          <c:idx val="0"/>
          <c:showLegendKey val="0"/>
          <c:showVal val="0"/>
          <c:showCatName val="0"/>
          <c:showSerName val="0"/>
          <c:showPercent val="0"/>
          <c:showBubbleSize val="0"/>
          <c:extLst>
            <c:ext xmlns:c15="http://schemas.microsoft.com/office/drawing/2012/chart" uri="{CE6537A1-D6FC-4f65-9D91-7224C49458BB}"/>
          </c:extLst>
        </c:dLbl>
      </c:pivotFmt>
      <c:pivotFmt>
        <c:idx val="256"/>
        <c:dLbl>
          <c:idx val="0"/>
          <c:showLegendKey val="0"/>
          <c:showVal val="0"/>
          <c:showCatName val="0"/>
          <c:showSerName val="0"/>
          <c:showPercent val="0"/>
          <c:showBubbleSize val="0"/>
          <c:extLst>
            <c:ext xmlns:c15="http://schemas.microsoft.com/office/drawing/2012/chart" uri="{CE6537A1-D6FC-4f65-9D91-7224C49458BB}"/>
          </c:extLst>
        </c:dLbl>
      </c:pivotFmt>
      <c:pivotFmt>
        <c:idx val="257"/>
        <c:dLbl>
          <c:idx val="0"/>
          <c:showLegendKey val="0"/>
          <c:showVal val="0"/>
          <c:showCatName val="0"/>
          <c:showSerName val="0"/>
          <c:showPercent val="0"/>
          <c:showBubbleSize val="0"/>
          <c:extLst>
            <c:ext xmlns:c15="http://schemas.microsoft.com/office/drawing/2012/chart" uri="{CE6537A1-D6FC-4f65-9D91-7224C49458BB}"/>
          </c:extLst>
        </c:dLbl>
      </c:pivotFmt>
      <c:pivotFmt>
        <c:idx val="258"/>
        <c:dLbl>
          <c:idx val="0"/>
          <c:showLegendKey val="0"/>
          <c:showVal val="0"/>
          <c:showCatName val="0"/>
          <c:showSerName val="0"/>
          <c:showPercent val="0"/>
          <c:showBubbleSize val="0"/>
          <c:extLst>
            <c:ext xmlns:c15="http://schemas.microsoft.com/office/drawing/2012/chart" uri="{CE6537A1-D6FC-4f65-9D91-7224C49458BB}"/>
          </c:extLst>
        </c:dLbl>
      </c:pivotFmt>
      <c:pivotFmt>
        <c:idx val="259"/>
        <c:dLbl>
          <c:idx val="0"/>
          <c:showLegendKey val="0"/>
          <c:showVal val="0"/>
          <c:showCatName val="0"/>
          <c:showSerName val="0"/>
          <c:showPercent val="0"/>
          <c:showBubbleSize val="0"/>
          <c:extLst>
            <c:ext xmlns:c15="http://schemas.microsoft.com/office/drawing/2012/chart" uri="{CE6537A1-D6FC-4f65-9D91-7224C49458BB}"/>
          </c:extLst>
        </c:dLbl>
      </c:pivotFmt>
      <c:pivotFmt>
        <c:idx val="260"/>
        <c:dLbl>
          <c:idx val="0"/>
          <c:showLegendKey val="0"/>
          <c:showVal val="0"/>
          <c:showCatName val="0"/>
          <c:showSerName val="0"/>
          <c:showPercent val="0"/>
          <c:showBubbleSize val="0"/>
          <c:extLst>
            <c:ext xmlns:c15="http://schemas.microsoft.com/office/drawing/2012/chart" uri="{CE6537A1-D6FC-4f65-9D91-7224C49458BB}"/>
          </c:extLst>
        </c:dLbl>
      </c:pivotFmt>
      <c:pivotFmt>
        <c:idx val="261"/>
        <c:dLbl>
          <c:idx val="0"/>
          <c:showLegendKey val="0"/>
          <c:showVal val="0"/>
          <c:showCatName val="0"/>
          <c:showSerName val="0"/>
          <c:showPercent val="0"/>
          <c:showBubbleSize val="0"/>
          <c:extLst>
            <c:ext xmlns:c15="http://schemas.microsoft.com/office/drawing/2012/chart" uri="{CE6537A1-D6FC-4f65-9D91-7224C49458BB}"/>
          </c:extLst>
        </c:dLbl>
      </c:pivotFmt>
      <c:pivotFmt>
        <c:idx val="262"/>
        <c:dLbl>
          <c:idx val="0"/>
          <c:showLegendKey val="0"/>
          <c:showVal val="0"/>
          <c:showCatName val="0"/>
          <c:showSerName val="0"/>
          <c:showPercent val="0"/>
          <c:showBubbleSize val="0"/>
          <c:extLst>
            <c:ext xmlns:c15="http://schemas.microsoft.com/office/drawing/2012/chart" uri="{CE6537A1-D6FC-4f65-9D91-7224C49458BB}"/>
          </c:extLst>
        </c:dLbl>
      </c:pivotFmt>
      <c:pivotFmt>
        <c:idx val="263"/>
        <c:dLbl>
          <c:idx val="0"/>
          <c:showLegendKey val="0"/>
          <c:showVal val="0"/>
          <c:showCatName val="0"/>
          <c:showSerName val="0"/>
          <c:showPercent val="0"/>
          <c:showBubbleSize val="0"/>
          <c:extLst>
            <c:ext xmlns:c15="http://schemas.microsoft.com/office/drawing/2012/chart" uri="{CE6537A1-D6FC-4f65-9D91-7224C49458BB}"/>
          </c:extLst>
        </c:dLbl>
      </c:pivotFmt>
      <c:pivotFmt>
        <c:idx val="264"/>
        <c:dLbl>
          <c:idx val="0"/>
          <c:showLegendKey val="0"/>
          <c:showVal val="0"/>
          <c:showCatName val="0"/>
          <c:showSerName val="0"/>
          <c:showPercent val="0"/>
          <c:showBubbleSize val="0"/>
          <c:extLst>
            <c:ext xmlns:c15="http://schemas.microsoft.com/office/drawing/2012/chart" uri="{CE6537A1-D6FC-4f65-9D91-7224C49458BB}"/>
          </c:extLst>
        </c:dLbl>
      </c:pivotFmt>
      <c:pivotFmt>
        <c:idx val="265"/>
        <c:dLbl>
          <c:idx val="0"/>
          <c:showLegendKey val="0"/>
          <c:showVal val="0"/>
          <c:showCatName val="0"/>
          <c:showSerName val="0"/>
          <c:showPercent val="0"/>
          <c:showBubbleSize val="0"/>
          <c:extLst>
            <c:ext xmlns:c15="http://schemas.microsoft.com/office/drawing/2012/chart" uri="{CE6537A1-D6FC-4f65-9D91-7224C49458BB}"/>
          </c:extLst>
        </c:dLbl>
      </c:pivotFmt>
      <c:pivotFmt>
        <c:idx val="266"/>
        <c:dLbl>
          <c:idx val="0"/>
          <c:showLegendKey val="0"/>
          <c:showVal val="0"/>
          <c:showCatName val="0"/>
          <c:showSerName val="0"/>
          <c:showPercent val="0"/>
          <c:showBubbleSize val="0"/>
          <c:extLst>
            <c:ext xmlns:c15="http://schemas.microsoft.com/office/drawing/2012/chart" uri="{CE6537A1-D6FC-4f65-9D91-7224C49458BB}"/>
          </c:extLst>
        </c:dLbl>
      </c:pivotFmt>
      <c:pivotFmt>
        <c:idx val="267"/>
        <c:dLbl>
          <c:idx val="0"/>
          <c:showLegendKey val="0"/>
          <c:showVal val="0"/>
          <c:showCatName val="0"/>
          <c:showSerName val="0"/>
          <c:showPercent val="0"/>
          <c:showBubbleSize val="0"/>
          <c:extLst>
            <c:ext xmlns:c15="http://schemas.microsoft.com/office/drawing/2012/chart" uri="{CE6537A1-D6FC-4f65-9D91-7224C49458BB}"/>
          </c:extLst>
        </c:dLbl>
      </c:pivotFmt>
      <c:pivotFmt>
        <c:idx val="268"/>
        <c:dLbl>
          <c:idx val="0"/>
          <c:showLegendKey val="0"/>
          <c:showVal val="0"/>
          <c:showCatName val="0"/>
          <c:showSerName val="0"/>
          <c:showPercent val="0"/>
          <c:showBubbleSize val="0"/>
          <c:extLst>
            <c:ext xmlns:c15="http://schemas.microsoft.com/office/drawing/2012/chart" uri="{CE6537A1-D6FC-4f65-9D91-7224C49458BB}"/>
          </c:extLst>
        </c:dLbl>
      </c:pivotFmt>
      <c:pivotFmt>
        <c:idx val="269"/>
        <c:dLbl>
          <c:idx val="0"/>
          <c:showLegendKey val="0"/>
          <c:showVal val="0"/>
          <c:showCatName val="0"/>
          <c:showSerName val="0"/>
          <c:showPercent val="0"/>
          <c:showBubbleSize val="0"/>
          <c:extLst>
            <c:ext xmlns:c15="http://schemas.microsoft.com/office/drawing/2012/chart" uri="{CE6537A1-D6FC-4f65-9D91-7224C49458BB}"/>
          </c:extLst>
        </c:dLbl>
      </c:pivotFmt>
      <c:pivotFmt>
        <c:idx val="270"/>
        <c:dLbl>
          <c:idx val="0"/>
          <c:showLegendKey val="0"/>
          <c:showVal val="0"/>
          <c:showCatName val="0"/>
          <c:showSerName val="0"/>
          <c:showPercent val="0"/>
          <c:showBubbleSize val="0"/>
          <c:extLst>
            <c:ext xmlns:c15="http://schemas.microsoft.com/office/drawing/2012/chart" uri="{CE6537A1-D6FC-4f65-9D91-7224C49458BB}"/>
          </c:extLst>
        </c:dLbl>
      </c:pivotFmt>
      <c:pivotFmt>
        <c:idx val="271"/>
        <c:dLbl>
          <c:idx val="0"/>
          <c:showLegendKey val="0"/>
          <c:showVal val="0"/>
          <c:showCatName val="0"/>
          <c:showSerName val="0"/>
          <c:showPercent val="0"/>
          <c:showBubbleSize val="0"/>
          <c:extLst>
            <c:ext xmlns:c15="http://schemas.microsoft.com/office/drawing/2012/chart" uri="{CE6537A1-D6FC-4f65-9D91-7224C49458BB}"/>
          </c:extLst>
        </c:dLbl>
      </c:pivotFmt>
      <c:pivotFmt>
        <c:idx val="272"/>
        <c:dLbl>
          <c:idx val="0"/>
          <c:showLegendKey val="0"/>
          <c:showVal val="0"/>
          <c:showCatName val="0"/>
          <c:showSerName val="0"/>
          <c:showPercent val="0"/>
          <c:showBubbleSize val="0"/>
          <c:extLst>
            <c:ext xmlns:c15="http://schemas.microsoft.com/office/drawing/2012/chart" uri="{CE6537A1-D6FC-4f65-9D91-7224C49458BB}"/>
          </c:extLst>
        </c:dLbl>
      </c:pivotFmt>
      <c:pivotFmt>
        <c:idx val="273"/>
        <c:dLbl>
          <c:idx val="0"/>
          <c:showLegendKey val="0"/>
          <c:showVal val="0"/>
          <c:showCatName val="0"/>
          <c:showSerName val="0"/>
          <c:showPercent val="0"/>
          <c:showBubbleSize val="0"/>
          <c:extLst>
            <c:ext xmlns:c15="http://schemas.microsoft.com/office/drawing/2012/chart" uri="{CE6537A1-D6FC-4f65-9D91-7224C49458BB}"/>
          </c:extLst>
        </c:dLbl>
      </c:pivotFmt>
      <c:pivotFmt>
        <c:idx val="274"/>
        <c:dLbl>
          <c:idx val="0"/>
          <c:showLegendKey val="0"/>
          <c:showVal val="0"/>
          <c:showCatName val="0"/>
          <c:showSerName val="0"/>
          <c:showPercent val="0"/>
          <c:showBubbleSize val="0"/>
          <c:extLst>
            <c:ext xmlns:c15="http://schemas.microsoft.com/office/drawing/2012/chart" uri="{CE6537A1-D6FC-4f65-9D91-7224C49458BB}"/>
          </c:extLst>
        </c:dLbl>
      </c:pivotFmt>
      <c:pivotFmt>
        <c:idx val="275"/>
        <c:dLbl>
          <c:idx val="0"/>
          <c:showLegendKey val="0"/>
          <c:showVal val="0"/>
          <c:showCatName val="0"/>
          <c:showSerName val="0"/>
          <c:showPercent val="0"/>
          <c:showBubbleSize val="0"/>
          <c:extLst>
            <c:ext xmlns:c15="http://schemas.microsoft.com/office/drawing/2012/chart" uri="{CE6537A1-D6FC-4f65-9D91-7224C49458BB}"/>
          </c:extLst>
        </c:dLbl>
      </c:pivotFmt>
      <c:pivotFmt>
        <c:idx val="276"/>
        <c:dLbl>
          <c:idx val="0"/>
          <c:showLegendKey val="0"/>
          <c:showVal val="0"/>
          <c:showCatName val="0"/>
          <c:showSerName val="0"/>
          <c:showPercent val="0"/>
          <c:showBubbleSize val="0"/>
          <c:extLst>
            <c:ext xmlns:c15="http://schemas.microsoft.com/office/drawing/2012/chart" uri="{CE6537A1-D6FC-4f65-9D91-7224C49458BB}"/>
          </c:extLst>
        </c:dLbl>
      </c:pivotFmt>
      <c:pivotFmt>
        <c:idx val="277"/>
        <c:dLbl>
          <c:idx val="0"/>
          <c:showLegendKey val="0"/>
          <c:showVal val="0"/>
          <c:showCatName val="0"/>
          <c:showSerName val="0"/>
          <c:showPercent val="0"/>
          <c:showBubbleSize val="0"/>
          <c:extLst>
            <c:ext xmlns:c15="http://schemas.microsoft.com/office/drawing/2012/chart" uri="{CE6537A1-D6FC-4f65-9D91-7224C49458BB}"/>
          </c:extLst>
        </c:dLbl>
      </c:pivotFmt>
      <c:pivotFmt>
        <c:idx val="278"/>
        <c:dLbl>
          <c:idx val="0"/>
          <c:showLegendKey val="0"/>
          <c:showVal val="0"/>
          <c:showCatName val="0"/>
          <c:showSerName val="0"/>
          <c:showPercent val="0"/>
          <c:showBubbleSize val="0"/>
          <c:extLst>
            <c:ext xmlns:c15="http://schemas.microsoft.com/office/drawing/2012/chart" uri="{CE6537A1-D6FC-4f65-9D91-7224C49458BB}"/>
          </c:extLst>
        </c:dLbl>
      </c:pivotFmt>
      <c:pivotFmt>
        <c:idx val="279"/>
        <c:dLbl>
          <c:idx val="0"/>
          <c:showLegendKey val="0"/>
          <c:showVal val="0"/>
          <c:showCatName val="0"/>
          <c:showSerName val="0"/>
          <c:showPercent val="0"/>
          <c:showBubbleSize val="0"/>
          <c:extLst>
            <c:ext xmlns:c15="http://schemas.microsoft.com/office/drawing/2012/chart" uri="{CE6537A1-D6FC-4f65-9D91-7224C49458BB}"/>
          </c:extLst>
        </c:dLbl>
      </c:pivotFmt>
      <c:pivotFmt>
        <c:idx val="280"/>
        <c:dLbl>
          <c:idx val="0"/>
          <c:showLegendKey val="0"/>
          <c:showVal val="0"/>
          <c:showCatName val="0"/>
          <c:showSerName val="0"/>
          <c:showPercent val="0"/>
          <c:showBubbleSize val="0"/>
          <c:extLst>
            <c:ext xmlns:c15="http://schemas.microsoft.com/office/drawing/2012/chart" uri="{CE6537A1-D6FC-4f65-9D91-7224C49458BB}"/>
          </c:extLst>
        </c:dLbl>
      </c:pivotFmt>
      <c:pivotFmt>
        <c:idx val="281"/>
        <c:dLbl>
          <c:idx val="0"/>
          <c:showLegendKey val="0"/>
          <c:showVal val="0"/>
          <c:showCatName val="0"/>
          <c:showSerName val="0"/>
          <c:showPercent val="0"/>
          <c:showBubbleSize val="0"/>
          <c:extLst>
            <c:ext xmlns:c15="http://schemas.microsoft.com/office/drawing/2012/chart" uri="{CE6537A1-D6FC-4f65-9D91-7224C49458BB}"/>
          </c:extLst>
        </c:dLbl>
      </c:pivotFmt>
      <c:pivotFmt>
        <c:idx val="282"/>
        <c:dLbl>
          <c:idx val="0"/>
          <c:showLegendKey val="0"/>
          <c:showVal val="0"/>
          <c:showCatName val="0"/>
          <c:showSerName val="0"/>
          <c:showPercent val="0"/>
          <c:showBubbleSize val="0"/>
          <c:extLst>
            <c:ext xmlns:c15="http://schemas.microsoft.com/office/drawing/2012/chart" uri="{CE6537A1-D6FC-4f65-9D91-7224C49458BB}"/>
          </c:extLst>
        </c:dLbl>
      </c:pivotFmt>
      <c:pivotFmt>
        <c:idx val="283"/>
        <c:dLbl>
          <c:idx val="0"/>
          <c:showLegendKey val="0"/>
          <c:showVal val="0"/>
          <c:showCatName val="0"/>
          <c:showSerName val="0"/>
          <c:showPercent val="0"/>
          <c:showBubbleSize val="0"/>
          <c:extLst>
            <c:ext xmlns:c15="http://schemas.microsoft.com/office/drawing/2012/chart" uri="{CE6537A1-D6FC-4f65-9D91-7224C49458BB}"/>
          </c:extLst>
        </c:dLbl>
      </c:pivotFmt>
      <c:pivotFmt>
        <c:idx val="284"/>
        <c:dLbl>
          <c:idx val="0"/>
          <c:showLegendKey val="0"/>
          <c:showVal val="0"/>
          <c:showCatName val="0"/>
          <c:showSerName val="0"/>
          <c:showPercent val="0"/>
          <c:showBubbleSize val="0"/>
          <c:extLst>
            <c:ext xmlns:c15="http://schemas.microsoft.com/office/drawing/2012/chart" uri="{CE6537A1-D6FC-4f65-9D91-7224C49458BB}"/>
          </c:extLst>
        </c:dLbl>
      </c:pivotFmt>
      <c:pivotFmt>
        <c:idx val="285"/>
        <c:dLbl>
          <c:idx val="0"/>
          <c:showLegendKey val="0"/>
          <c:showVal val="0"/>
          <c:showCatName val="0"/>
          <c:showSerName val="0"/>
          <c:showPercent val="0"/>
          <c:showBubbleSize val="0"/>
          <c:extLst>
            <c:ext xmlns:c15="http://schemas.microsoft.com/office/drawing/2012/chart" uri="{CE6537A1-D6FC-4f65-9D91-7224C49458BB}"/>
          </c:extLst>
        </c:dLbl>
      </c:pivotFmt>
      <c:pivotFmt>
        <c:idx val="286"/>
        <c:dLbl>
          <c:idx val="0"/>
          <c:showLegendKey val="0"/>
          <c:showVal val="0"/>
          <c:showCatName val="0"/>
          <c:showSerName val="0"/>
          <c:showPercent val="0"/>
          <c:showBubbleSize val="0"/>
          <c:extLst>
            <c:ext xmlns:c15="http://schemas.microsoft.com/office/drawing/2012/chart" uri="{CE6537A1-D6FC-4f65-9D91-7224C49458BB}"/>
          </c:extLst>
        </c:dLbl>
      </c:pivotFmt>
      <c:pivotFmt>
        <c:idx val="287"/>
        <c:dLbl>
          <c:idx val="0"/>
          <c:showLegendKey val="0"/>
          <c:showVal val="0"/>
          <c:showCatName val="0"/>
          <c:showSerName val="0"/>
          <c:showPercent val="0"/>
          <c:showBubbleSize val="0"/>
          <c:extLst>
            <c:ext xmlns:c15="http://schemas.microsoft.com/office/drawing/2012/chart" uri="{CE6537A1-D6FC-4f65-9D91-7224C49458BB}"/>
          </c:extLst>
        </c:dLbl>
      </c:pivotFmt>
      <c:pivotFmt>
        <c:idx val="288"/>
        <c:dLbl>
          <c:idx val="0"/>
          <c:showLegendKey val="0"/>
          <c:showVal val="0"/>
          <c:showCatName val="0"/>
          <c:showSerName val="0"/>
          <c:showPercent val="0"/>
          <c:showBubbleSize val="0"/>
          <c:extLst>
            <c:ext xmlns:c15="http://schemas.microsoft.com/office/drawing/2012/chart" uri="{CE6537A1-D6FC-4f65-9D91-7224C49458BB}"/>
          </c:extLst>
        </c:dLbl>
      </c:pivotFmt>
      <c:pivotFmt>
        <c:idx val="289"/>
        <c:dLbl>
          <c:idx val="0"/>
          <c:showLegendKey val="0"/>
          <c:showVal val="0"/>
          <c:showCatName val="0"/>
          <c:showSerName val="0"/>
          <c:showPercent val="0"/>
          <c:showBubbleSize val="0"/>
          <c:extLst>
            <c:ext xmlns:c15="http://schemas.microsoft.com/office/drawing/2012/chart" uri="{CE6537A1-D6FC-4f65-9D91-7224C49458BB}"/>
          </c:extLst>
        </c:dLbl>
      </c:pivotFmt>
      <c:pivotFmt>
        <c:idx val="290"/>
        <c:dLbl>
          <c:idx val="0"/>
          <c:showLegendKey val="0"/>
          <c:showVal val="0"/>
          <c:showCatName val="0"/>
          <c:showSerName val="0"/>
          <c:showPercent val="0"/>
          <c:showBubbleSize val="0"/>
          <c:extLst>
            <c:ext xmlns:c15="http://schemas.microsoft.com/office/drawing/2012/chart" uri="{CE6537A1-D6FC-4f65-9D91-7224C49458BB}"/>
          </c:extLst>
        </c:dLbl>
      </c:pivotFmt>
      <c:pivotFmt>
        <c:idx val="291"/>
        <c:dLbl>
          <c:idx val="0"/>
          <c:showLegendKey val="0"/>
          <c:showVal val="0"/>
          <c:showCatName val="0"/>
          <c:showSerName val="0"/>
          <c:showPercent val="0"/>
          <c:showBubbleSize val="0"/>
          <c:extLst>
            <c:ext xmlns:c15="http://schemas.microsoft.com/office/drawing/2012/chart" uri="{CE6537A1-D6FC-4f65-9D91-7224C49458BB}"/>
          </c:extLst>
        </c:dLbl>
      </c:pivotFmt>
      <c:pivotFmt>
        <c:idx val="292"/>
        <c:dLbl>
          <c:idx val="0"/>
          <c:showLegendKey val="0"/>
          <c:showVal val="0"/>
          <c:showCatName val="0"/>
          <c:showSerName val="0"/>
          <c:showPercent val="0"/>
          <c:showBubbleSize val="0"/>
          <c:extLst>
            <c:ext xmlns:c15="http://schemas.microsoft.com/office/drawing/2012/chart" uri="{CE6537A1-D6FC-4f65-9D91-7224C49458BB}"/>
          </c:extLst>
        </c:dLbl>
      </c:pivotFmt>
      <c:pivotFmt>
        <c:idx val="293"/>
        <c:dLbl>
          <c:idx val="0"/>
          <c:showLegendKey val="0"/>
          <c:showVal val="0"/>
          <c:showCatName val="0"/>
          <c:showSerName val="0"/>
          <c:showPercent val="0"/>
          <c:showBubbleSize val="0"/>
          <c:extLst>
            <c:ext xmlns:c15="http://schemas.microsoft.com/office/drawing/2012/chart" uri="{CE6537A1-D6FC-4f65-9D91-7224C49458BB}"/>
          </c:extLst>
        </c:dLbl>
      </c:pivotFmt>
      <c:pivotFmt>
        <c:idx val="294"/>
        <c:dLbl>
          <c:idx val="0"/>
          <c:showLegendKey val="0"/>
          <c:showVal val="0"/>
          <c:showCatName val="0"/>
          <c:showSerName val="0"/>
          <c:showPercent val="0"/>
          <c:showBubbleSize val="0"/>
          <c:extLst>
            <c:ext xmlns:c15="http://schemas.microsoft.com/office/drawing/2012/chart" uri="{CE6537A1-D6FC-4f65-9D91-7224C49458BB}"/>
          </c:extLst>
        </c:dLbl>
      </c:pivotFmt>
      <c:pivotFmt>
        <c:idx val="295"/>
        <c:dLbl>
          <c:idx val="0"/>
          <c:showLegendKey val="0"/>
          <c:showVal val="0"/>
          <c:showCatName val="0"/>
          <c:showSerName val="0"/>
          <c:showPercent val="0"/>
          <c:showBubbleSize val="0"/>
          <c:extLst>
            <c:ext xmlns:c15="http://schemas.microsoft.com/office/drawing/2012/chart" uri="{CE6537A1-D6FC-4f65-9D91-7224C49458BB}"/>
          </c:extLst>
        </c:dLbl>
      </c:pivotFmt>
      <c:pivotFmt>
        <c:idx val="296"/>
        <c:dLbl>
          <c:idx val="0"/>
          <c:showLegendKey val="0"/>
          <c:showVal val="0"/>
          <c:showCatName val="0"/>
          <c:showSerName val="0"/>
          <c:showPercent val="0"/>
          <c:showBubbleSize val="0"/>
          <c:extLst>
            <c:ext xmlns:c15="http://schemas.microsoft.com/office/drawing/2012/chart" uri="{CE6537A1-D6FC-4f65-9D91-7224C49458BB}"/>
          </c:extLst>
        </c:dLbl>
      </c:pivotFmt>
      <c:pivotFmt>
        <c:idx val="297"/>
        <c:dLbl>
          <c:idx val="0"/>
          <c:showLegendKey val="0"/>
          <c:showVal val="0"/>
          <c:showCatName val="0"/>
          <c:showSerName val="0"/>
          <c:showPercent val="0"/>
          <c:showBubbleSize val="0"/>
          <c:extLst>
            <c:ext xmlns:c15="http://schemas.microsoft.com/office/drawing/2012/chart" uri="{CE6537A1-D6FC-4f65-9D91-7224C49458BB}"/>
          </c:extLst>
        </c:dLbl>
      </c:pivotFmt>
      <c:pivotFmt>
        <c:idx val="298"/>
        <c:dLbl>
          <c:idx val="0"/>
          <c:showLegendKey val="0"/>
          <c:showVal val="0"/>
          <c:showCatName val="0"/>
          <c:showSerName val="0"/>
          <c:showPercent val="0"/>
          <c:showBubbleSize val="0"/>
          <c:extLst>
            <c:ext xmlns:c15="http://schemas.microsoft.com/office/drawing/2012/chart" uri="{CE6537A1-D6FC-4f65-9D91-7224C49458BB}"/>
          </c:extLst>
        </c:dLbl>
      </c:pivotFmt>
      <c:pivotFmt>
        <c:idx val="299"/>
        <c:dLbl>
          <c:idx val="0"/>
          <c:showLegendKey val="0"/>
          <c:showVal val="0"/>
          <c:showCatName val="0"/>
          <c:showSerName val="0"/>
          <c:showPercent val="0"/>
          <c:showBubbleSize val="0"/>
          <c:extLst>
            <c:ext xmlns:c15="http://schemas.microsoft.com/office/drawing/2012/chart" uri="{CE6537A1-D6FC-4f65-9D91-7224C49458BB}"/>
          </c:extLst>
        </c:dLbl>
      </c:pivotFmt>
      <c:pivotFmt>
        <c:idx val="300"/>
        <c:dLbl>
          <c:idx val="0"/>
          <c:showLegendKey val="0"/>
          <c:showVal val="0"/>
          <c:showCatName val="0"/>
          <c:showSerName val="0"/>
          <c:showPercent val="0"/>
          <c:showBubbleSize val="0"/>
          <c:extLst>
            <c:ext xmlns:c15="http://schemas.microsoft.com/office/drawing/2012/chart" uri="{CE6537A1-D6FC-4f65-9D91-7224C49458BB}"/>
          </c:extLst>
        </c:dLbl>
      </c:pivotFmt>
      <c:pivotFmt>
        <c:idx val="301"/>
        <c:dLbl>
          <c:idx val="0"/>
          <c:showLegendKey val="0"/>
          <c:showVal val="0"/>
          <c:showCatName val="0"/>
          <c:showSerName val="0"/>
          <c:showPercent val="0"/>
          <c:showBubbleSize val="0"/>
          <c:extLst>
            <c:ext xmlns:c15="http://schemas.microsoft.com/office/drawing/2012/chart" uri="{CE6537A1-D6FC-4f65-9D91-7224C49458BB}"/>
          </c:extLst>
        </c:dLbl>
      </c:pivotFmt>
      <c:pivotFmt>
        <c:idx val="302"/>
        <c:dLbl>
          <c:idx val="0"/>
          <c:showLegendKey val="0"/>
          <c:showVal val="0"/>
          <c:showCatName val="0"/>
          <c:showSerName val="0"/>
          <c:showPercent val="0"/>
          <c:showBubbleSize val="0"/>
          <c:extLst>
            <c:ext xmlns:c15="http://schemas.microsoft.com/office/drawing/2012/chart" uri="{CE6537A1-D6FC-4f65-9D91-7224C49458BB}"/>
          </c:extLst>
        </c:dLbl>
      </c:pivotFmt>
      <c:pivotFmt>
        <c:idx val="303"/>
        <c:dLbl>
          <c:idx val="0"/>
          <c:showLegendKey val="0"/>
          <c:showVal val="0"/>
          <c:showCatName val="0"/>
          <c:showSerName val="0"/>
          <c:showPercent val="0"/>
          <c:showBubbleSize val="0"/>
          <c:extLst>
            <c:ext xmlns:c15="http://schemas.microsoft.com/office/drawing/2012/chart" uri="{CE6537A1-D6FC-4f65-9D91-7224C49458BB}"/>
          </c:extLst>
        </c:dLbl>
      </c:pivotFmt>
      <c:pivotFmt>
        <c:idx val="304"/>
        <c:dLbl>
          <c:idx val="0"/>
          <c:showLegendKey val="0"/>
          <c:showVal val="0"/>
          <c:showCatName val="0"/>
          <c:showSerName val="0"/>
          <c:showPercent val="0"/>
          <c:showBubbleSize val="0"/>
          <c:extLst>
            <c:ext xmlns:c15="http://schemas.microsoft.com/office/drawing/2012/chart" uri="{CE6537A1-D6FC-4f65-9D91-7224C49458BB}"/>
          </c:extLst>
        </c:dLbl>
      </c:pivotFmt>
      <c:pivotFmt>
        <c:idx val="305"/>
        <c:dLbl>
          <c:idx val="0"/>
          <c:showLegendKey val="0"/>
          <c:showVal val="0"/>
          <c:showCatName val="0"/>
          <c:showSerName val="0"/>
          <c:showPercent val="0"/>
          <c:showBubbleSize val="0"/>
          <c:extLst>
            <c:ext xmlns:c15="http://schemas.microsoft.com/office/drawing/2012/chart" uri="{CE6537A1-D6FC-4f65-9D91-7224C49458BB}"/>
          </c:extLst>
        </c:dLbl>
      </c:pivotFmt>
      <c:pivotFmt>
        <c:idx val="306"/>
        <c:dLbl>
          <c:idx val="0"/>
          <c:showLegendKey val="0"/>
          <c:showVal val="0"/>
          <c:showCatName val="0"/>
          <c:showSerName val="0"/>
          <c:showPercent val="0"/>
          <c:showBubbleSize val="0"/>
          <c:extLst>
            <c:ext xmlns:c15="http://schemas.microsoft.com/office/drawing/2012/chart" uri="{CE6537A1-D6FC-4f65-9D91-7224C49458BB}"/>
          </c:extLst>
        </c:dLbl>
      </c:pivotFmt>
      <c:pivotFmt>
        <c:idx val="307"/>
        <c:dLbl>
          <c:idx val="0"/>
          <c:showLegendKey val="0"/>
          <c:showVal val="0"/>
          <c:showCatName val="0"/>
          <c:showSerName val="0"/>
          <c:showPercent val="0"/>
          <c:showBubbleSize val="0"/>
          <c:extLst>
            <c:ext xmlns:c15="http://schemas.microsoft.com/office/drawing/2012/chart" uri="{CE6537A1-D6FC-4f65-9D91-7224C49458BB}"/>
          </c:extLst>
        </c:dLbl>
      </c:pivotFmt>
      <c:pivotFmt>
        <c:idx val="308"/>
        <c:dLbl>
          <c:idx val="0"/>
          <c:showLegendKey val="0"/>
          <c:showVal val="0"/>
          <c:showCatName val="0"/>
          <c:showSerName val="0"/>
          <c:showPercent val="0"/>
          <c:showBubbleSize val="0"/>
          <c:extLst>
            <c:ext xmlns:c15="http://schemas.microsoft.com/office/drawing/2012/chart" uri="{CE6537A1-D6FC-4f65-9D91-7224C49458BB}"/>
          </c:extLst>
        </c:dLbl>
      </c:pivotFmt>
      <c:pivotFmt>
        <c:idx val="309"/>
        <c:dLbl>
          <c:idx val="0"/>
          <c:showLegendKey val="0"/>
          <c:showVal val="0"/>
          <c:showCatName val="0"/>
          <c:showSerName val="0"/>
          <c:showPercent val="0"/>
          <c:showBubbleSize val="0"/>
          <c:extLst>
            <c:ext xmlns:c15="http://schemas.microsoft.com/office/drawing/2012/chart" uri="{CE6537A1-D6FC-4f65-9D91-7224C49458BB}"/>
          </c:extLst>
        </c:dLbl>
      </c:pivotFmt>
      <c:pivotFmt>
        <c:idx val="310"/>
        <c:dLbl>
          <c:idx val="0"/>
          <c:showLegendKey val="0"/>
          <c:showVal val="0"/>
          <c:showCatName val="0"/>
          <c:showSerName val="0"/>
          <c:showPercent val="0"/>
          <c:showBubbleSize val="0"/>
          <c:extLst>
            <c:ext xmlns:c15="http://schemas.microsoft.com/office/drawing/2012/chart" uri="{CE6537A1-D6FC-4f65-9D91-7224C49458BB}"/>
          </c:extLst>
        </c:dLbl>
      </c:pivotFmt>
      <c:pivotFmt>
        <c:idx val="311"/>
        <c:dLbl>
          <c:idx val="0"/>
          <c:showLegendKey val="0"/>
          <c:showVal val="0"/>
          <c:showCatName val="0"/>
          <c:showSerName val="0"/>
          <c:showPercent val="0"/>
          <c:showBubbleSize val="0"/>
          <c:extLst>
            <c:ext xmlns:c15="http://schemas.microsoft.com/office/drawing/2012/chart" uri="{CE6537A1-D6FC-4f65-9D91-7224C49458BB}"/>
          </c:extLst>
        </c:dLbl>
      </c:pivotFmt>
      <c:pivotFmt>
        <c:idx val="312"/>
        <c:dLbl>
          <c:idx val="0"/>
          <c:showLegendKey val="0"/>
          <c:showVal val="0"/>
          <c:showCatName val="0"/>
          <c:showSerName val="0"/>
          <c:showPercent val="0"/>
          <c:showBubbleSize val="0"/>
          <c:extLst>
            <c:ext xmlns:c15="http://schemas.microsoft.com/office/drawing/2012/chart" uri="{CE6537A1-D6FC-4f65-9D91-7224C49458BB}"/>
          </c:extLst>
        </c:dLbl>
      </c:pivotFmt>
      <c:pivotFmt>
        <c:idx val="313"/>
        <c:dLbl>
          <c:idx val="0"/>
          <c:showLegendKey val="0"/>
          <c:showVal val="0"/>
          <c:showCatName val="0"/>
          <c:showSerName val="0"/>
          <c:showPercent val="0"/>
          <c:showBubbleSize val="0"/>
          <c:extLst>
            <c:ext xmlns:c15="http://schemas.microsoft.com/office/drawing/2012/chart" uri="{CE6537A1-D6FC-4f65-9D91-7224C49458BB}"/>
          </c:extLst>
        </c:dLbl>
      </c:pivotFmt>
      <c:pivotFmt>
        <c:idx val="314"/>
        <c:dLbl>
          <c:idx val="0"/>
          <c:showLegendKey val="0"/>
          <c:showVal val="0"/>
          <c:showCatName val="0"/>
          <c:showSerName val="0"/>
          <c:showPercent val="0"/>
          <c:showBubbleSize val="0"/>
          <c:extLst>
            <c:ext xmlns:c15="http://schemas.microsoft.com/office/drawing/2012/chart" uri="{CE6537A1-D6FC-4f65-9D91-7224C49458BB}"/>
          </c:extLst>
        </c:dLbl>
      </c:pivotFmt>
      <c:pivotFmt>
        <c:idx val="315"/>
        <c:dLbl>
          <c:idx val="0"/>
          <c:showLegendKey val="0"/>
          <c:showVal val="0"/>
          <c:showCatName val="0"/>
          <c:showSerName val="0"/>
          <c:showPercent val="0"/>
          <c:showBubbleSize val="0"/>
          <c:extLst>
            <c:ext xmlns:c15="http://schemas.microsoft.com/office/drawing/2012/chart" uri="{CE6537A1-D6FC-4f65-9D91-7224C49458BB}"/>
          </c:extLst>
        </c:dLbl>
      </c:pivotFmt>
      <c:pivotFmt>
        <c:idx val="316"/>
        <c:dLbl>
          <c:idx val="0"/>
          <c:showLegendKey val="0"/>
          <c:showVal val="0"/>
          <c:showCatName val="0"/>
          <c:showSerName val="0"/>
          <c:showPercent val="0"/>
          <c:showBubbleSize val="0"/>
          <c:extLst>
            <c:ext xmlns:c15="http://schemas.microsoft.com/office/drawing/2012/chart" uri="{CE6537A1-D6FC-4f65-9D91-7224C49458BB}"/>
          </c:extLst>
        </c:dLbl>
      </c:pivotFmt>
      <c:pivotFmt>
        <c:idx val="317"/>
        <c:dLbl>
          <c:idx val="0"/>
          <c:showLegendKey val="0"/>
          <c:showVal val="0"/>
          <c:showCatName val="0"/>
          <c:showSerName val="0"/>
          <c:showPercent val="0"/>
          <c:showBubbleSize val="0"/>
          <c:extLst>
            <c:ext xmlns:c15="http://schemas.microsoft.com/office/drawing/2012/chart" uri="{CE6537A1-D6FC-4f65-9D91-7224C49458BB}"/>
          </c:extLst>
        </c:dLbl>
      </c:pivotFmt>
      <c:pivotFmt>
        <c:idx val="318"/>
        <c:dLbl>
          <c:idx val="0"/>
          <c:showLegendKey val="0"/>
          <c:showVal val="0"/>
          <c:showCatName val="0"/>
          <c:showSerName val="0"/>
          <c:showPercent val="0"/>
          <c:showBubbleSize val="0"/>
          <c:extLst>
            <c:ext xmlns:c15="http://schemas.microsoft.com/office/drawing/2012/chart" uri="{CE6537A1-D6FC-4f65-9D91-7224C49458BB}"/>
          </c:extLst>
        </c:dLbl>
      </c:pivotFmt>
      <c:pivotFmt>
        <c:idx val="319"/>
        <c:dLbl>
          <c:idx val="0"/>
          <c:showLegendKey val="0"/>
          <c:showVal val="0"/>
          <c:showCatName val="0"/>
          <c:showSerName val="0"/>
          <c:showPercent val="0"/>
          <c:showBubbleSize val="0"/>
          <c:extLst>
            <c:ext xmlns:c15="http://schemas.microsoft.com/office/drawing/2012/chart" uri="{CE6537A1-D6FC-4f65-9D91-7224C49458BB}"/>
          </c:extLst>
        </c:dLbl>
      </c:pivotFmt>
      <c:pivotFmt>
        <c:idx val="320"/>
        <c:dLbl>
          <c:idx val="0"/>
          <c:showLegendKey val="0"/>
          <c:showVal val="0"/>
          <c:showCatName val="0"/>
          <c:showSerName val="0"/>
          <c:showPercent val="0"/>
          <c:showBubbleSize val="0"/>
          <c:extLst>
            <c:ext xmlns:c15="http://schemas.microsoft.com/office/drawing/2012/chart" uri="{CE6537A1-D6FC-4f65-9D91-7224C49458BB}"/>
          </c:extLst>
        </c:dLbl>
      </c:pivotFmt>
      <c:pivotFmt>
        <c:idx val="321"/>
        <c:dLbl>
          <c:idx val="0"/>
          <c:showLegendKey val="0"/>
          <c:showVal val="0"/>
          <c:showCatName val="0"/>
          <c:showSerName val="0"/>
          <c:showPercent val="0"/>
          <c:showBubbleSize val="0"/>
          <c:extLst>
            <c:ext xmlns:c15="http://schemas.microsoft.com/office/drawing/2012/chart" uri="{CE6537A1-D6FC-4f65-9D91-7224C49458BB}"/>
          </c:extLst>
        </c:dLbl>
      </c:pivotFmt>
      <c:pivotFmt>
        <c:idx val="322"/>
        <c:dLbl>
          <c:idx val="0"/>
          <c:showLegendKey val="0"/>
          <c:showVal val="0"/>
          <c:showCatName val="0"/>
          <c:showSerName val="0"/>
          <c:showPercent val="0"/>
          <c:showBubbleSize val="0"/>
          <c:extLst>
            <c:ext xmlns:c15="http://schemas.microsoft.com/office/drawing/2012/chart" uri="{CE6537A1-D6FC-4f65-9D91-7224C49458BB}"/>
          </c:extLst>
        </c:dLbl>
      </c:pivotFmt>
      <c:pivotFmt>
        <c:idx val="323"/>
        <c:dLbl>
          <c:idx val="0"/>
          <c:showLegendKey val="0"/>
          <c:showVal val="0"/>
          <c:showCatName val="0"/>
          <c:showSerName val="0"/>
          <c:showPercent val="0"/>
          <c:showBubbleSize val="0"/>
          <c:extLst>
            <c:ext xmlns:c15="http://schemas.microsoft.com/office/drawing/2012/chart" uri="{CE6537A1-D6FC-4f65-9D91-7224C49458BB}"/>
          </c:extLst>
        </c:dLbl>
      </c:pivotFmt>
      <c:pivotFmt>
        <c:idx val="324"/>
        <c:dLbl>
          <c:idx val="0"/>
          <c:showLegendKey val="0"/>
          <c:showVal val="0"/>
          <c:showCatName val="0"/>
          <c:showSerName val="0"/>
          <c:showPercent val="0"/>
          <c:showBubbleSize val="0"/>
          <c:extLst>
            <c:ext xmlns:c15="http://schemas.microsoft.com/office/drawing/2012/chart" uri="{CE6537A1-D6FC-4f65-9D91-7224C49458BB}"/>
          </c:extLst>
        </c:dLbl>
      </c:pivotFmt>
      <c:pivotFmt>
        <c:idx val="325"/>
        <c:dLbl>
          <c:idx val="0"/>
          <c:showLegendKey val="0"/>
          <c:showVal val="0"/>
          <c:showCatName val="0"/>
          <c:showSerName val="0"/>
          <c:showPercent val="0"/>
          <c:showBubbleSize val="0"/>
          <c:extLst>
            <c:ext xmlns:c15="http://schemas.microsoft.com/office/drawing/2012/chart" uri="{CE6537A1-D6FC-4f65-9D91-7224C49458BB}"/>
          </c:extLst>
        </c:dLbl>
      </c:pivotFmt>
      <c:pivotFmt>
        <c:idx val="326"/>
        <c:dLbl>
          <c:idx val="0"/>
          <c:showLegendKey val="0"/>
          <c:showVal val="0"/>
          <c:showCatName val="0"/>
          <c:showSerName val="0"/>
          <c:showPercent val="0"/>
          <c:showBubbleSize val="0"/>
          <c:extLst>
            <c:ext xmlns:c15="http://schemas.microsoft.com/office/drawing/2012/chart" uri="{CE6537A1-D6FC-4f65-9D91-7224C49458BB}"/>
          </c:extLst>
        </c:dLbl>
      </c:pivotFmt>
      <c:pivotFmt>
        <c:idx val="327"/>
        <c:dLbl>
          <c:idx val="0"/>
          <c:showLegendKey val="0"/>
          <c:showVal val="0"/>
          <c:showCatName val="0"/>
          <c:showSerName val="0"/>
          <c:showPercent val="0"/>
          <c:showBubbleSize val="0"/>
          <c:extLst>
            <c:ext xmlns:c15="http://schemas.microsoft.com/office/drawing/2012/chart" uri="{CE6537A1-D6FC-4f65-9D91-7224C49458BB}"/>
          </c:extLst>
        </c:dLbl>
      </c:pivotFmt>
      <c:pivotFmt>
        <c:idx val="328"/>
        <c:dLbl>
          <c:idx val="0"/>
          <c:showLegendKey val="0"/>
          <c:showVal val="0"/>
          <c:showCatName val="0"/>
          <c:showSerName val="0"/>
          <c:showPercent val="0"/>
          <c:showBubbleSize val="0"/>
          <c:extLst>
            <c:ext xmlns:c15="http://schemas.microsoft.com/office/drawing/2012/chart" uri="{CE6537A1-D6FC-4f65-9D91-7224C49458BB}"/>
          </c:extLst>
        </c:dLbl>
      </c:pivotFmt>
      <c:pivotFmt>
        <c:idx val="329"/>
        <c:dLbl>
          <c:idx val="0"/>
          <c:showLegendKey val="0"/>
          <c:showVal val="0"/>
          <c:showCatName val="0"/>
          <c:showSerName val="0"/>
          <c:showPercent val="0"/>
          <c:showBubbleSize val="0"/>
          <c:extLst>
            <c:ext xmlns:c15="http://schemas.microsoft.com/office/drawing/2012/chart" uri="{CE6537A1-D6FC-4f65-9D91-7224C49458BB}"/>
          </c:extLst>
        </c:dLbl>
      </c:pivotFmt>
      <c:pivotFmt>
        <c:idx val="330"/>
        <c:dLbl>
          <c:idx val="0"/>
          <c:showLegendKey val="0"/>
          <c:showVal val="0"/>
          <c:showCatName val="0"/>
          <c:showSerName val="0"/>
          <c:showPercent val="0"/>
          <c:showBubbleSize val="0"/>
          <c:extLst>
            <c:ext xmlns:c15="http://schemas.microsoft.com/office/drawing/2012/chart" uri="{CE6537A1-D6FC-4f65-9D91-7224C49458BB}"/>
          </c:extLst>
        </c:dLbl>
      </c:pivotFmt>
      <c:pivotFmt>
        <c:idx val="331"/>
        <c:dLbl>
          <c:idx val="0"/>
          <c:showLegendKey val="0"/>
          <c:showVal val="0"/>
          <c:showCatName val="0"/>
          <c:showSerName val="0"/>
          <c:showPercent val="0"/>
          <c:showBubbleSize val="0"/>
          <c:extLst>
            <c:ext xmlns:c15="http://schemas.microsoft.com/office/drawing/2012/chart" uri="{CE6537A1-D6FC-4f65-9D91-7224C49458BB}"/>
          </c:extLst>
        </c:dLbl>
      </c:pivotFmt>
      <c:pivotFmt>
        <c:idx val="332"/>
        <c:dLbl>
          <c:idx val="0"/>
          <c:showLegendKey val="0"/>
          <c:showVal val="0"/>
          <c:showCatName val="0"/>
          <c:showSerName val="0"/>
          <c:showPercent val="0"/>
          <c:showBubbleSize val="0"/>
          <c:extLst>
            <c:ext xmlns:c15="http://schemas.microsoft.com/office/drawing/2012/chart" uri="{CE6537A1-D6FC-4f65-9D91-7224C49458BB}"/>
          </c:extLst>
        </c:dLbl>
      </c:pivotFmt>
      <c:pivotFmt>
        <c:idx val="333"/>
        <c:dLbl>
          <c:idx val="0"/>
          <c:showLegendKey val="0"/>
          <c:showVal val="0"/>
          <c:showCatName val="0"/>
          <c:showSerName val="0"/>
          <c:showPercent val="0"/>
          <c:showBubbleSize val="0"/>
          <c:extLst>
            <c:ext xmlns:c15="http://schemas.microsoft.com/office/drawing/2012/chart" uri="{CE6537A1-D6FC-4f65-9D91-7224C49458BB}"/>
          </c:extLst>
        </c:dLbl>
      </c:pivotFmt>
      <c:pivotFmt>
        <c:idx val="334"/>
        <c:dLbl>
          <c:idx val="0"/>
          <c:showLegendKey val="0"/>
          <c:showVal val="0"/>
          <c:showCatName val="0"/>
          <c:showSerName val="0"/>
          <c:showPercent val="0"/>
          <c:showBubbleSize val="0"/>
          <c:extLst>
            <c:ext xmlns:c15="http://schemas.microsoft.com/office/drawing/2012/chart" uri="{CE6537A1-D6FC-4f65-9D91-7224C49458BB}"/>
          </c:extLst>
        </c:dLbl>
      </c:pivotFmt>
      <c:pivotFmt>
        <c:idx val="335"/>
        <c:dLbl>
          <c:idx val="0"/>
          <c:showLegendKey val="0"/>
          <c:showVal val="0"/>
          <c:showCatName val="0"/>
          <c:showSerName val="0"/>
          <c:showPercent val="0"/>
          <c:showBubbleSize val="0"/>
          <c:extLst>
            <c:ext xmlns:c15="http://schemas.microsoft.com/office/drawing/2012/chart" uri="{CE6537A1-D6FC-4f65-9D91-7224C49458BB}"/>
          </c:extLst>
        </c:dLbl>
      </c:pivotFmt>
      <c:pivotFmt>
        <c:idx val="336"/>
        <c:dLbl>
          <c:idx val="0"/>
          <c:showLegendKey val="0"/>
          <c:showVal val="0"/>
          <c:showCatName val="0"/>
          <c:showSerName val="0"/>
          <c:showPercent val="0"/>
          <c:showBubbleSize val="0"/>
          <c:extLst>
            <c:ext xmlns:c15="http://schemas.microsoft.com/office/drawing/2012/chart" uri="{CE6537A1-D6FC-4f65-9D91-7224C49458BB}"/>
          </c:extLst>
        </c:dLbl>
      </c:pivotFmt>
      <c:pivotFmt>
        <c:idx val="337"/>
        <c:dLbl>
          <c:idx val="0"/>
          <c:showLegendKey val="0"/>
          <c:showVal val="0"/>
          <c:showCatName val="0"/>
          <c:showSerName val="0"/>
          <c:showPercent val="0"/>
          <c:showBubbleSize val="0"/>
          <c:extLst>
            <c:ext xmlns:c15="http://schemas.microsoft.com/office/drawing/2012/chart" uri="{CE6537A1-D6FC-4f65-9D91-7224C49458BB}"/>
          </c:extLst>
        </c:dLbl>
      </c:pivotFmt>
      <c:pivotFmt>
        <c:idx val="338"/>
        <c:dLbl>
          <c:idx val="0"/>
          <c:showLegendKey val="0"/>
          <c:showVal val="0"/>
          <c:showCatName val="0"/>
          <c:showSerName val="0"/>
          <c:showPercent val="0"/>
          <c:showBubbleSize val="0"/>
          <c:extLst>
            <c:ext xmlns:c15="http://schemas.microsoft.com/office/drawing/2012/chart" uri="{CE6537A1-D6FC-4f65-9D91-7224C49458BB}"/>
          </c:extLst>
        </c:dLbl>
      </c:pivotFmt>
      <c:pivotFmt>
        <c:idx val="339"/>
        <c:dLbl>
          <c:idx val="0"/>
          <c:showLegendKey val="0"/>
          <c:showVal val="0"/>
          <c:showCatName val="0"/>
          <c:showSerName val="0"/>
          <c:showPercent val="0"/>
          <c:showBubbleSize val="0"/>
          <c:extLst>
            <c:ext xmlns:c15="http://schemas.microsoft.com/office/drawing/2012/chart" uri="{CE6537A1-D6FC-4f65-9D91-7224C49458BB}"/>
          </c:extLst>
        </c:dLbl>
      </c:pivotFmt>
      <c:pivotFmt>
        <c:idx val="340"/>
        <c:dLbl>
          <c:idx val="0"/>
          <c:showLegendKey val="0"/>
          <c:showVal val="0"/>
          <c:showCatName val="0"/>
          <c:showSerName val="0"/>
          <c:showPercent val="0"/>
          <c:showBubbleSize val="0"/>
          <c:extLst>
            <c:ext xmlns:c15="http://schemas.microsoft.com/office/drawing/2012/chart" uri="{CE6537A1-D6FC-4f65-9D91-7224C49458BB}"/>
          </c:extLst>
        </c:dLbl>
      </c:pivotFmt>
      <c:pivotFmt>
        <c:idx val="341"/>
        <c:dLbl>
          <c:idx val="0"/>
          <c:showLegendKey val="0"/>
          <c:showVal val="0"/>
          <c:showCatName val="0"/>
          <c:showSerName val="0"/>
          <c:showPercent val="0"/>
          <c:showBubbleSize val="0"/>
          <c:extLst>
            <c:ext xmlns:c15="http://schemas.microsoft.com/office/drawing/2012/chart" uri="{CE6537A1-D6FC-4f65-9D91-7224C49458BB}"/>
          </c:extLst>
        </c:dLbl>
      </c:pivotFmt>
      <c:pivotFmt>
        <c:idx val="342"/>
        <c:dLbl>
          <c:idx val="0"/>
          <c:showLegendKey val="0"/>
          <c:showVal val="0"/>
          <c:showCatName val="0"/>
          <c:showSerName val="0"/>
          <c:showPercent val="0"/>
          <c:showBubbleSize val="0"/>
          <c:extLst>
            <c:ext xmlns:c15="http://schemas.microsoft.com/office/drawing/2012/chart" uri="{CE6537A1-D6FC-4f65-9D91-7224C49458BB}"/>
          </c:extLst>
        </c:dLbl>
      </c:pivotFmt>
      <c:pivotFmt>
        <c:idx val="34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44"/>
        <c:dLbl>
          <c:idx val="0"/>
          <c:showLegendKey val="0"/>
          <c:showVal val="0"/>
          <c:showCatName val="0"/>
          <c:showSerName val="0"/>
          <c:showPercent val="0"/>
          <c:showBubbleSize val="0"/>
          <c:extLst>
            <c:ext xmlns:c15="http://schemas.microsoft.com/office/drawing/2012/chart" uri="{CE6537A1-D6FC-4f65-9D91-7224C49458BB}"/>
          </c:extLst>
        </c:dLbl>
      </c:pivotFmt>
      <c:pivotFmt>
        <c:idx val="345"/>
        <c:dLbl>
          <c:idx val="0"/>
          <c:showLegendKey val="0"/>
          <c:showVal val="0"/>
          <c:showCatName val="0"/>
          <c:showSerName val="0"/>
          <c:showPercent val="0"/>
          <c:showBubbleSize val="0"/>
          <c:extLst>
            <c:ext xmlns:c15="http://schemas.microsoft.com/office/drawing/2012/chart" uri="{CE6537A1-D6FC-4f65-9D91-7224C49458BB}"/>
          </c:extLst>
        </c:dLbl>
      </c:pivotFmt>
      <c:pivotFmt>
        <c:idx val="346"/>
        <c:dLbl>
          <c:idx val="0"/>
          <c:showLegendKey val="0"/>
          <c:showVal val="0"/>
          <c:showCatName val="0"/>
          <c:showSerName val="0"/>
          <c:showPercent val="0"/>
          <c:showBubbleSize val="0"/>
          <c:extLst>
            <c:ext xmlns:c15="http://schemas.microsoft.com/office/drawing/2012/chart" uri="{CE6537A1-D6FC-4f65-9D91-7224C49458BB}"/>
          </c:extLst>
        </c:dLbl>
      </c:pivotFmt>
      <c:pivotFmt>
        <c:idx val="347"/>
        <c:dLbl>
          <c:idx val="0"/>
          <c:showLegendKey val="0"/>
          <c:showVal val="0"/>
          <c:showCatName val="0"/>
          <c:showSerName val="0"/>
          <c:showPercent val="0"/>
          <c:showBubbleSize val="0"/>
          <c:extLst>
            <c:ext xmlns:c15="http://schemas.microsoft.com/office/drawing/2012/chart" uri="{CE6537A1-D6FC-4f65-9D91-7224C49458BB}"/>
          </c:extLst>
        </c:dLbl>
      </c:pivotFmt>
      <c:pivotFmt>
        <c:idx val="348"/>
        <c:dLbl>
          <c:idx val="0"/>
          <c:showLegendKey val="0"/>
          <c:showVal val="0"/>
          <c:showCatName val="0"/>
          <c:showSerName val="0"/>
          <c:showPercent val="0"/>
          <c:showBubbleSize val="0"/>
          <c:extLst>
            <c:ext xmlns:c15="http://schemas.microsoft.com/office/drawing/2012/chart" uri="{CE6537A1-D6FC-4f65-9D91-7224C49458BB}"/>
          </c:extLst>
        </c:dLbl>
      </c:pivotFmt>
      <c:pivotFmt>
        <c:idx val="349"/>
        <c:dLbl>
          <c:idx val="0"/>
          <c:showLegendKey val="0"/>
          <c:showVal val="0"/>
          <c:showCatName val="0"/>
          <c:showSerName val="0"/>
          <c:showPercent val="0"/>
          <c:showBubbleSize val="0"/>
          <c:extLst>
            <c:ext xmlns:c15="http://schemas.microsoft.com/office/drawing/2012/chart" uri="{CE6537A1-D6FC-4f65-9D91-7224C49458BB}"/>
          </c:extLst>
        </c:dLbl>
      </c:pivotFmt>
      <c:pivotFmt>
        <c:idx val="350"/>
        <c:dLbl>
          <c:idx val="0"/>
          <c:showLegendKey val="0"/>
          <c:showVal val="0"/>
          <c:showCatName val="0"/>
          <c:showSerName val="0"/>
          <c:showPercent val="0"/>
          <c:showBubbleSize val="0"/>
          <c:extLst>
            <c:ext xmlns:c15="http://schemas.microsoft.com/office/drawing/2012/chart" uri="{CE6537A1-D6FC-4f65-9D91-7224C49458BB}"/>
          </c:extLst>
        </c:dLbl>
      </c:pivotFmt>
      <c:pivotFmt>
        <c:idx val="351"/>
        <c:dLbl>
          <c:idx val="0"/>
          <c:showLegendKey val="0"/>
          <c:showVal val="0"/>
          <c:showCatName val="0"/>
          <c:showSerName val="0"/>
          <c:showPercent val="0"/>
          <c:showBubbleSize val="0"/>
          <c:extLst>
            <c:ext xmlns:c15="http://schemas.microsoft.com/office/drawing/2012/chart" uri="{CE6537A1-D6FC-4f65-9D91-7224C49458BB}"/>
          </c:extLst>
        </c:dLbl>
      </c:pivotFmt>
      <c:pivotFmt>
        <c:idx val="352"/>
        <c:dLbl>
          <c:idx val="0"/>
          <c:showLegendKey val="0"/>
          <c:showVal val="0"/>
          <c:showCatName val="0"/>
          <c:showSerName val="0"/>
          <c:showPercent val="0"/>
          <c:showBubbleSize val="0"/>
          <c:extLst>
            <c:ext xmlns:c15="http://schemas.microsoft.com/office/drawing/2012/chart" uri="{CE6537A1-D6FC-4f65-9D91-7224C49458BB}"/>
          </c:extLst>
        </c:dLbl>
      </c:pivotFmt>
      <c:pivotFmt>
        <c:idx val="353"/>
        <c:dLbl>
          <c:idx val="0"/>
          <c:showLegendKey val="0"/>
          <c:showVal val="0"/>
          <c:showCatName val="0"/>
          <c:showSerName val="0"/>
          <c:showPercent val="0"/>
          <c:showBubbleSize val="0"/>
          <c:extLst>
            <c:ext xmlns:c15="http://schemas.microsoft.com/office/drawing/2012/chart" uri="{CE6537A1-D6FC-4f65-9D91-7224C49458BB}"/>
          </c:extLst>
        </c:dLbl>
      </c:pivotFmt>
      <c:pivotFmt>
        <c:idx val="354"/>
        <c:dLbl>
          <c:idx val="0"/>
          <c:showLegendKey val="0"/>
          <c:showVal val="0"/>
          <c:showCatName val="0"/>
          <c:showSerName val="0"/>
          <c:showPercent val="0"/>
          <c:showBubbleSize val="0"/>
          <c:extLst>
            <c:ext xmlns:c15="http://schemas.microsoft.com/office/drawing/2012/chart" uri="{CE6537A1-D6FC-4f65-9D91-7224C49458BB}"/>
          </c:extLst>
        </c:dLbl>
      </c:pivotFmt>
      <c:pivotFmt>
        <c:idx val="355"/>
        <c:dLbl>
          <c:idx val="0"/>
          <c:showLegendKey val="0"/>
          <c:showVal val="0"/>
          <c:showCatName val="0"/>
          <c:showSerName val="0"/>
          <c:showPercent val="0"/>
          <c:showBubbleSize val="0"/>
          <c:extLst>
            <c:ext xmlns:c15="http://schemas.microsoft.com/office/drawing/2012/chart" uri="{CE6537A1-D6FC-4f65-9D91-7224C49458BB}"/>
          </c:extLst>
        </c:dLbl>
      </c:pivotFmt>
      <c:pivotFmt>
        <c:idx val="356"/>
        <c:dLbl>
          <c:idx val="0"/>
          <c:showLegendKey val="0"/>
          <c:showVal val="0"/>
          <c:showCatName val="0"/>
          <c:showSerName val="0"/>
          <c:showPercent val="0"/>
          <c:showBubbleSize val="0"/>
          <c:extLst>
            <c:ext xmlns:c15="http://schemas.microsoft.com/office/drawing/2012/chart" uri="{CE6537A1-D6FC-4f65-9D91-7224C49458BB}"/>
          </c:extLst>
        </c:dLbl>
      </c:pivotFmt>
      <c:pivotFmt>
        <c:idx val="357"/>
        <c:dLbl>
          <c:idx val="0"/>
          <c:showLegendKey val="0"/>
          <c:showVal val="0"/>
          <c:showCatName val="0"/>
          <c:showSerName val="0"/>
          <c:showPercent val="0"/>
          <c:showBubbleSize val="0"/>
          <c:extLst>
            <c:ext xmlns:c15="http://schemas.microsoft.com/office/drawing/2012/chart" uri="{CE6537A1-D6FC-4f65-9D91-7224C49458BB}"/>
          </c:extLst>
        </c:dLbl>
      </c:pivotFmt>
      <c:pivotFmt>
        <c:idx val="358"/>
        <c:dLbl>
          <c:idx val="0"/>
          <c:showLegendKey val="0"/>
          <c:showVal val="0"/>
          <c:showCatName val="0"/>
          <c:showSerName val="0"/>
          <c:showPercent val="0"/>
          <c:showBubbleSize val="0"/>
          <c:extLst>
            <c:ext xmlns:c15="http://schemas.microsoft.com/office/drawing/2012/chart" uri="{CE6537A1-D6FC-4f65-9D91-7224C49458BB}"/>
          </c:extLst>
        </c:dLbl>
      </c:pivotFmt>
      <c:pivotFmt>
        <c:idx val="359"/>
        <c:dLbl>
          <c:idx val="0"/>
          <c:showLegendKey val="0"/>
          <c:showVal val="0"/>
          <c:showCatName val="0"/>
          <c:showSerName val="0"/>
          <c:showPercent val="0"/>
          <c:showBubbleSize val="0"/>
          <c:extLst>
            <c:ext xmlns:c15="http://schemas.microsoft.com/office/drawing/2012/chart" uri="{CE6537A1-D6FC-4f65-9D91-7224C49458BB}"/>
          </c:extLst>
        </c:dLbl>
      </c:pivotFmt>
      <c:pivotFmt>
        <c:idx val="360"/>
        <c:dLbl>
          <c:idx val="0"/>
          <c:showLegendKey val="0"/>
          <c:showVal val="0"/>
          <c:showCatName val="0"/>
          <c:showSerName val="0"/>
          <c:showPercent val="0"/>
          <c:showBubbleSize val="0"/>
          <c:extLst>
            <c:ext xmlns:c15="http://schemas.microsoft.com/office/drawing/2012/chart" uri="{CE6537A1-D6FC-4f65-9D91-7224C49458BB}"/>
          </c:extLst>
        </c:dLbl>
      </c:pivotFmt>
      <c:pivotFmt>
        <c:idx val="361"/>
        <c:dLbl>
          <c:idx val="0"/>
          <c:showLegendKey val="0"/>
          <c:showVal val="0"/>
          <c:showCatName val="0"/>
          <c:showSerName val="0"/>
          <c:showPercent val="0"/>
          <c:showBubbleSize val="0"/>
          <c:extLst>
            <c:ext xmlns:c15="http://schemas.microsoft.com/office/drawing/2012/chart" uri="{CE6537A1-D6FC-4f65-9D91-7224C49458BB}"/>
          </c:extLst>
        </c:dLbl>
      </c:pivotFmt>
      <c:pivotFmt>
        <c:idx val="362"/>
        <c:dLbl>
          <c:idx val="0"/>
          <c:showLegendKey val="0"/>
          <c:showVal val="0"/>
          <c:showCatName val="0"/>
          <c:showSerName val="0"/>
          <c:showPercent val="0"/>
          <c:showBubbleSize val="0"/>
          <c:extLst>
            <c:ext xmlns:c15="http://schemas.microsoft.com/office/drawing/2012/chart" uri="{CE6537A1-D6FC-4f65-9D91-7224C49458BB}"/>
          </c:extLst>
        </c:dLbl>
      </c:pivotFmt>
      <c:pivotFmt>
        <c:idx val="363"/>
        <c:dLbl>
          <c:idx val="0"/>
          <c:showLegendKey val="0"/>
          <c:showVal val="0"/>
          <c:showCatName val="0"/>
          <c:showSerName val="0"/>
          <c:showPercent val="0"/>
          <c:showBubbleSize val="0"/>
          <c:extLst>
            <c:ext xmlns:c15="http://schemas.microsoft.com/office/drawing/2012/chart" uri="{CE6537A1-D6FC-4f65-9D91-7224C49458BB}"/>
          </c:extLst>
        </c:dLbl>
      </c:pivotFmt>
      <c:pivotFmt>
        <c:idx val="364"/>
        <c:dLbl>
          <c:idx val="0"/>
          <c:showLegendKey val="0"/>
          <c:showVal val="0"/>
          <c:showCatName val="0"/>
          <c:showSerName val="0"/>
          <c:showPercent val="0"/>
          <c:showBubbleSize val="0"/>
          <c:extLst>
            <c:ext xmlns:c15="http://schemas.microsoft.com/office/drawing/2012/chart" uri="{CE6537A1-D6FC-4f65-9D91-7224C49458BB}"/>
          </c:extLst>
        </c:dLbl>
      </c:pivotFmt>
      <c:pivotFmt>
        <c:idx val="365"/>
        <c:dLbl>
          <c:idx val="0"/>
          <c:showLegendKey val="0"/>
          <c:showVal val="0"/>
          <c:showCatName val="0"/>
          <c:showSerName val="0"/>
          <c:showPercent val="0"/>
          <c:showBubbleSize val="0"/>
          <c:extLst>
            <c:ext xmlns:c15="http://schemas.microsoft.com/office/drawing/2012/chart" uri="{CE6537A1-D6FC-4f65-9D91-7224C49458BB}"/>
          </c:extLst>
        </c:dLbl>
      </c:pivotFmt>
      <c:pivotFmt>
        <c:idx val="366"/>
        <c:dLbl>
          <c:idx val="0"/>
          <c:showLegendKey val="0"/>
          <c:showVal val="0"/>
          <c:showCatName val="0"/>
          <c:showSerName val="0"/>
          <c:showPercent val="0"/>
          <c:showBubbleSize val="0"/>
          <c:extLst>
            <c:ext xmlns:c15="http://schemas.microsoft.com/office/drawing/2012/chart" uri="{CE6537A1-D6FC-4f65-9D91-7224C49458BB}"/>
          </c:extLst>
        </c:dLbl>
      </c:pivotFmt>
      <c:pivotFmt>
        <c:idx val="367"/>
        <c:dLbl>
          <c:idx val="0"/>
          <c:showLegendKey val="0"/>
          <c:showVal val="0"/>
          <c:showCatName val="0"/>
          <c:showSerName val="0"/>
          <c:showPercent val="0"/>
          <c:showBubbleSize val="0"/>
          <c:extLst>
            <c:ext xmlns:c15="http://schemas.microsoft.com/office/drawing/2012/chart" uri="{CE6537A1-D6FC-4f65-9D91-7224C49458BB}"/>
          </c:extLst>
        </c:dLbl>
      </c:pivotFmt>
      <c:pivotFmt>
        <c:idx val="368"/>
        <c:dLbl>
          <c:idx val="0"/>
          <c:showLegendKey val="0"/>
          <c:showVal val="0"/>
          <c:showCatName val="0"/>
          <c:showSerName val="0"/>
          <c:showPercent val="0"/>
          <c:showBubbleSize val="0"/>
          <c:extLst>
            <c:ext xmlns:c15="http://schemas.microsoft.com/office/drawing/2012/chart" uri="{CE6537A1-D6FC-4f65-9D91-7224C49458BB}"/>
          </c:extLst>
        </c:dLbl>
      </c:pivotFmt>
      <c:pivotFmt>
        <c:idx val="369"/>
        <c:dLbl>
          <c:idx val="0"/>
          <c:showLegendKey val="0"/>
          <c:showVal val="0"/>
          <c:showCatName val="0"/>
          <c:showSerName val="0"/>
          <c:showPercent val="0"/>
          <c:showBubbleSize val="0"/>
          <c:extLst>
            <c:ext xmlns:c15="http://schemas.microsoft.com/office/drawing/2012/chart" uri="{CE6537A1-D6FC-4f65-9D91-7224C49458BB}"/>
          </c:extLst>
        </c:dLbl>
      </c:pivotFmt>
      <c:pivotFmt>
        <c:idx val="370"/>
        <c:dLbl>
          <c:idx val="0"/>
          <c:showLegendKey val="0"/>
          <c:showVal val="0"/>
          <c:showCatName val="0"/>
          <c:showSerName val="0"/>
          <c:showPercent val="0"/>
          <c:showBubbleSize val="0"/>
          <c:extLst>
            <c:ext xmlns:c15="http://schemas.microsoft.com/office/drawing/2012/chart" uri="{CE6537A1-D6FC-4f65-9D91-7224C49458BB}"/>
          </c:extLst>
        </c:dLbl>
      </c:pivotFmt>
      <c:pivotFmt>
        <c:idx val="371"/>
        <c:dLbl>
          <c:idx val="0"/>
          <c:showLegendKey val="0"/>
          <c:showVal val="0"/>
          <c:showCatName val="0"/>
          <c:showSerName val="0"/>
          <c:showPercent val="0"/>
          <c:showBubbleSize val="0"/>
          <c:extLst>
            <c:ext xmlns:c15="http://schemas.microsoft.com/office/drawing/2012/chart" uri="{CE6537A1-D6FC-4f65-9D91-7224C49458BB}"/>
          </c:extLst>
        </c:dLbl>
      </c:pivotFmt>
      <c:pivotFmt>
        <c:idx val="372"/>
        <c:dLbl>
          <c:idx val="0"/>
          <c:showLegendKey val="0"/>
          <c:showVal val="0"/>
          <c:showCatName val="0"/>
          <c:showSerName val="0"/>
          <c:showPercent val="0"/>
          <c:showBubbleSize val="0"/>
          <c:extLst>
            <c:ext xmlns:c15="http://schemas.microsoft.com/office/drawing/2012/chart" uri="{CE6537A1-D6FC-4f65-9D91-7224C49458BB}"/>
          </c:extLst>
        </c:dLbl>
      </c:pivotFmt>
      <c:pivotFmt>
        <c:idx val="373"/>
        <c:dLbl>
          <c:idx val="0"/>
          <c:showLegendKey val="0"/>
          <c:showVal val="0"/>
          <c:showCatName val="0"/>
          <c:showSerName val="0"/>
          <c:showPercent val="0"/>
          <c:showBubbleSize val="0"/>
          <c:extLst>
            <c:ext xmlns:c15="http://schemas.microsoft.com/office/drawing/2012/chart" uri="{CE6537A1-D6FC-4f65-9D91-7224C49458BB}"/>
          </c:extLst>
        </c:dLbl>
      </c:pivotFmt>
      <c:pivotFmt>
        <c:idx val="374"/>
        <c:dLbl>
          <c:idx val="0"/>
          <c:showLegendKey val="0"/>
          <c:showVal val="0"/>
          <c:showCatName val="0"/>
          <c:showSerName val="0"/>
          <c:showPercent val="0"/>
          <c:showBubbleSize val="0"/>
          <c:extLst>
            <c:ext xmlns:c15="http://schemas.microsoft.com/office/drawing/2012/chart" uri="{CE6537A1-D6FC-4f65-9D91-7224C49458BB}"/>
          </c:extLst>
        </c:dLbl>
      </c:pivotFmt>
      <c:pivotFmt>
        <c:idx val="375"/>
        <c:dLbl>
          <c:idx val="0"/>
          <c:showLegendKey val="0"/>
          <c:showVal val="0"/>
          <c:showCatName val="0"/>
          <c:showSerName val="0"/>
          <c:showPercent val="0"/>
          <c:showBubbleSize val="0"/>
          <c:extLst>
            <c:ext xmlns:c15="http://schemas.microsoft.com/office/drawing/2012/chart" uri="{CE6537A1-D6FC-4f65-9D91-7224C49458BB}"/>
          </c:extLst>
        </c:dLbl>
      </c:pivotFmt>
      <c:pivotFmt>
        <c:idx val="376"/>
        <c:dLbl>
          <c:idx val="0"/>
          <c:showLegendKey val="0"/>
          <c:showVal val="0"/>
          <c:showCatName val="0"/>
          <c:showSerName val="0"/>
          <c:showPercent val="0"/>
          <c:showBubbleSize val="0"/>
          <c:extLst>
            <c:ext xmlns:c15="http://schemas.microsoft.com/office/drawing/2012/chart" uri="{CE6537A1-D6FC-4f65-9D91-7224C49458BB}"/>
          </c:extLst>
        </c:dLbl>
      </c:pivotFmt>
      <c:pivotFmt>
        <c:idx val="377"/>
        <c:dLbl>
          <c:idx val="0"/>
          <c:showLegendKey val="0"/>
          <c:showVal val="0"/>
          <c:showCatName val="0"/>
          <c:showSerName val="0"/>
          <c:showPercent val="0"/>
          <c:showBubbleSize val="0"/>
          <c:extLst>
            <c:ext xmlns:c15="http://schemas.microsoft.com/office/drawing/2012/chart" uri="{CE6537A1-D6FC-4f65-9D91-7224C49458BB}"/>
          </c:extLst>
        </c:dLbl>
      </c:pivotFmt>
      <c:pivotFmt>
        <c:idx val="378"/>
        <c:dLbl>
          <c:idx val="0"/>
          <c:showLegendKey val="0"/>
          <c:showVal val="0"/>
          <c:showCatName val="0"/>
          <c:showSerName val="0"/>
          <c:showPercent val="0"/>
          <c:showBubbleSize val="0"/>
          <c:extLst>
            <c:ext xmlns:c15="http://schemas.microsoft.com/office/drawing/2012/chart" uri="{CE6537A1-D6FC-4f65-9D91-7224C49458BB}"/>
          </c:extLst>
        </c:dLbl>
      </c:pivotFmt>
      <c:pivotFmt>
        <c:idx val="379"/>
        <c:dLbl>
          <c:idx val="0"/>
          <c:showLegendKey val="0"/>
          <c:showVal val="0"/>
          <c:showCatName val="0"/>
          <c:showSerName val="0"/>
          <c:showPercent val="0"/>
          <c:showBubbleSize val="0"/>
          <c:extLst>
            <c:ext xmlns:c15="http://schemas.microsoft.com/office/drawing/2012/chart" uri="{CE6537A1-D6FC-4f65-9D91-7224C49458BB}"/>
          </c:extLst>
        </c:dLbl>
      </c:pivotFmt>
      <c:pivotFmt>
        <c:idx val="380"/>
        <c:dLbl>
          <c:idx val="0"/>
          <c:showLegendKey val="0"/>
          <c:showVal val="0"/>
          <c:showCatName val="0"/>
          <c:showSerName val="0"/>
          <c:showPercent val="0"/>
          <c:showBubbleSize val="0"/>
          <c:extLst>
            <c:ext xmlns:c15="http://schemas.microsoft.com/office/drawing/2012/chart" uri="{CE6537A1-D6FC-4f65-9D91-7224C49458BB}"/>
          </c:extLst>
        </c:dLbl>
      </c:pivotFmt>
      <c:pivotFmt>
        <c:idx val="381"/>
        <c:dLbl>
          <c:idx val="0"/>
          <c:showLegendKey val="0"/>
          <c:showVal val="0"/>
          <c:showCatName val="0"/>
          <c:showSerName val="0"/>
          <c:showPercent val="0"/>
          <c:showBubbleSize val="0"/>
          <c:extLst>
            <c:ext xmlns:c15="http://schemas.microsoft.com/office/drawing/2012/chart" uri="{CE6537A1-D6FC-4f65-9D91-7224C49458BB}"/>
          </c:extLst>
        </c:dLbl>
      </c:pivotFmt>
      <c:pivotFmt>
        <c:idx val="382"/>
        <c:dLbl>
          <c:idx val="0"/>
          <c:showLegendKey val="0"/>
          <c:showVal val="0"/>
          <c:showCatName val="0"/>
          <c:showSerName val="0"/>
          <c:showPercent val="0"/>
          <c:showBubbleSize val="0"/>
          <c:extLst>
            <c:ext xmlns:c15="http://schemas.microsoft.com/office/drawing/2012/chart" uri="{CE6537A1-D6FC-4f65-9D91-7224C49458BB}"/>
          </c:extLst>
        </c:dLbl>
      </c:pivotFmt>
      <c:pivotFmt>
        <c:idx val="383"/>
        <c:dLbl>
          <c:idx val="0"/>
          <c:showLegendKey val="0"/>
          <c:showVal val="0"/>
          <c:showCatName val="0"/>
          <c:showSerName val="0"/>
          <c:showPercent val="0"/>
          <c:showBubbleSize val="0"/>
          <c:extLst>
            <c:ext xmlns:c15="http://schemas.microsoft.com/office/drawing/2012/chart" uri="{CE6537A1-D6FC-4f65-9D91-7224C49458BB}"/>
          </c:extLst>
        </c:dLbl>
      </c:pivotFmt>
      <c:pivotFmt>
        <c:idx val="38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8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86"/>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87"/>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88"/>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89"/>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9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9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9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9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9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Mod val="60000"/>
                <a:lumOff val="40000"/>
              </a:schemeClr>
            </a:solidFill>
            <a:ln>
              <a:noFill/>
            </a:ln>
            <a:effectLst>
              <a:glow rad="63500">
                <a:schemeClr val="accent1">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95"/>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Mod val="60000"/>
                <a:lumOff val="40000"/>
              </a:schemeClr>
            </a:solidFill>
            <a:ln>
              <a:noFill/>
            </a:ln>
            <a:effectLst>
              <a:glow rad="63500">
                <a:schemeClr val="accent2">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96"/>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Mod val="60000"/>
                <a:lumOff val="40000"/>
              </a:schemeClr>
            </a:solidFill>
            <a:ln>
              <a:noFill/>
            </a:ln>
            <a:effectLst>
              <a:glow rad="63500">
                <a:schemeClr val="accent3">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97"/>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4">
                <a:lumMod val="60000"/>
                <a:lumMod val="60000"/>
                <a:lumOff val="40000"/>
              </a:schemeClr>
            </a:solidFill>
            <a:ln>
              <a:noFill/>
            </a:ln>
            <a:effectLst>
              <a:glow rad="63500">
                <a:schemeClr val="accent4">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98"/>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99"/>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0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0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02"/>
        <c:dLbl>
          <c:idx val="0"/>
          <c:showLegendKey val="0"/>
          <c:showVal val="0"/>
          <c:showCatName val="0"/>
          <c:showSerName val="0"/>
          <c:showPercent val="0"/>
          <c:showBubbleSize val="0"/>
          <c:extLst>
            <c:ext xmlns:c15="http://schemas.microsoft.com/office/drawing/2012/chart" uri="{CE6537A1-D6FC-4f65-9D91-7224C49458BB}"/>
          </c:extLst>
        </c:dLbl>
      </c:pivotFmt>
      <c:pivotFmt>
        <c:idx val="40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0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0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06"/>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07"/>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08"/>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09"/>
        <c:dLbl>
          <c:idx val="0"/>
          <c:showLegendKey val="0"/>
          <c:showVal val="0"/>
          <c:showCatName val="0"/>
          <c:showSerName val="0"/>
          <c:showPercent val="0"/>
          <c:showBubbleSize val="0"/>
          <c:extLst>
            <c:ext xmlns:c15="http://schemas.microsoft.com/office/drawing/2012/chart" uri="{CE6537A1-D6FC-4f65-9D91-7224C49458BB}"/>
          </c:extLst>
        </c:dLbl>
      </c:pivotFmt>
      <c:pivotFmt>
        <c:idx val="41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1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1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1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1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1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16"/>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17"/>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18"/>
        <c:dLbl>
          <c:idx val="0"/>
          <c:showLegendKey val="0"/>
          <c:showVal val="0"/>
          <c:showCatName val="0"/>
          <c:showSerName val="0"/>
          <c:showPercent val="0"/>
          <c:showBubbleSize val="0"/>
          <c:extLst>
            <c:ext xmlns:c15="http://schemas.microsoft.com/office/drawing/2012/chart" uri="{CE6537A1-D6FC-4f65-9D91-7224C49458BB}"/>
          </c:extLst>
        </c:dLbl>
      </c:pivotFmt>
      <c:pivotFmt>
        <c:idx val="419"/>
        <c:dLbl>
          <c:idx val="0"/>
          <c:showLegendKey val="0"/>
          <c:showVal val="0"/>
          <c:showCatName val="0"/>
          <c:showSerName val="0"/>
          <c:showPercent val="0"/>
          <c:showBubbleSize val="0"/>
          <c:extLst>
            <c:ext xmlns:c15="http://schemas.microsoft.com/office/drawing/2012/chart" uri="{CE6537A1-D6FC-4f65-9D91-7224C49458BB}"/>
          </c:extLst>
        </c:dLbl>
      </c:pivotFmt>
      <c:pivotFmt>
        <c:idx val="42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2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2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2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2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2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26"/>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27"/>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28"/>
        <c:dLbl>
          <c:idx val="0"/>
          <c:showLegendKey val="0"/>
          <c:showVal val="0"/>
          <c:showCatName val="0"/>
          <c:showSerName val="0"/>
          <c:showPercent val="0"/>
          <c:showBubbleSize val="0"/>
          <c:extLst>
            <c:ext xmlns:c15="http://schemas.microsoft.com/office/drawing/2012/chart" uri="{CE6537A1-D6FC-4f65-9D91-7224C49458BB}"/>
          </c:extLst>
        </c:dLbl>
      </c:pivotFmt>
      <c:pivotFmt>
        <c:idx val="429"/>
        <c:dLbl>
          <c:idx val="0"/>
          <c:showLegendKey val="0"/>
          <c:showVal val="0"/>
          <c:showCatName val="0"/>
          <c:showSerName val="0"/>
          <c:showPercent val="0"/>
          <c:showBubbleSize val="0"/>
          <c:extLst>
            <c:ext xmlns:c15="http://schemas.microsoft.com/office/drawing/2012/chart" uri="{CE6537A1-D6FC-4f65-9D91-7224C49458BB}"/>
          </c:extLst>
        </c:dLbl>
      </c:pivotFmt>
      <c:pivotFmt>
        <c:idx val="43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3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3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3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34"/>
        <c:dLbl>
          <c:idx val="0"/>
          <c:showLegendKey val="0"/>
          <c:showVal val="0"/>
          <c:showCatName val="0"/>
          <c:showSerName val="0"/>
          <c:showPercent val="0"/>
          <c:showBubbleSize val="0"/>
          <c:extLst>
            <c:ext xmlns:c15="http://schemas.microsoft.com/office/drawing/2012/chart" uri="{CE6537A1-D6FC-4f65-9D91-7224C49458BB}"/>
          </c:extLst>
        </c:dLbl>
      </c:pivotFmt>
      <c:pivotFmt>
        <c:idx val="435"/>
        <c:dLbl>
          <c:idx val="0"/>
          <c:showLegendKey val="0"/>
          <c:showVal val="0"/>
          <c:showCatName val="0"/>
          <c:showSerName val="0"/>
          <c:showPercent val="0"/>
          <c:showBubbleSize val="0"/>
          <c:extLst>
            <c:ext xmlns:c15="http://schemas.microsoft.com/office/drawing/2012/chart" uri="{CE6537A1-D6FC-4f65-9D91-7224C49458BB}"/>
          </c:extLst>
        </c:dLbl>
      </c:pivotFmt>
      <c:pivotFmt>
        <c:idx val="436"/>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37"/>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38"/>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39"/>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4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4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4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4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44"/>
        <c:dLbl>
          <c:idx val="0"/>
          <c:showLegendKey val="0"/>
          <c:showVal val="0"/>
          <c:showCatName val="0"/>
          <c:showSerName val="0"/>
          <c:showPercent val="0"/>
          <c:showBubbleSize val="0"/>
          <c:extLst>
            <c:ext xmlns:c15="http://schemas.microsoft.com/office/drawing/2012/chart" uri="{CE6537A1-D6FC-4f65-9D91-7224C49458BB}"/>
          </c:extLst>
        </c:dLbl>
      </c:pivotFmt>
      <c:pivotFmt>
        <c:idx val="445"/>
        <c:dLbl>
          <c:idx val="0"/>
          <c:showLegendKey val="0"/>
          <c:showVal val="0"/>
          <c:showCatName val="0"/>
          <c:showSerName val="0"/>
          <c:showPercent val="0"/>
          <c:showBubbleSize val="0"/>
          <c:extLst>
            <c:ext xmlns:c15="http://schemas.microsoft.com/office/drawing/2012/chart" uri="{CE6537A1-D6FC-4f65-9D91-7224C49458BB}"/>
          </c:extLst>
        </c:dLbl>
      </c:pivotFmt>
      <c:pivotFmt>
        <c:idx val="446"/>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47"/>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48"/>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49"/>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5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5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5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53"/>
        <c:dLbl>
          <c:idx val="0"/>
          <c:showLegendKey val="0"/>
          <c:showVal val="0"/>
          <c:showCatName val="0"/>
          <c:showSerName val="0"/>
          <c:showPercent val="0"/>
          <c:showBubbleSize val="0"/>
          <c:extLst>
            <c:ext xmlns:c15="http://schemas.microsoft.com/office/drawing/2012/chart" uri="{CE6537A1-D6FC-4f65-9D91-7224C49458BB}"/>
          </c:extLst>
        </c:dLbl>
      </c:pivotFmt>
      <c:pivotFmt>
        <c:idx val="454"/>
        <c:dLbl>
          <c:idx val="0"/>
          <c:showLegendKey val="0"/>
          <c:showVal val="0"/>
          <c:showCatName val="0"/>
          <c:showSerName val="0"/>
          <c:showPercent val="0"/>
          <c:showBubbleSize val="0"/>
          <c:extLst>
            <c:ext xmlns:c15="http://schemas.microsoft.com/office/drawing/2012/chart" uri="{CE6537A1-D6FC-4f65-9D91-7224C49458BB}"/>
          </c:extLst>
        </c:dLbl>
      </c:pivotFmt>
      <c:pivotFmt>
        <c:idx val="45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56"/>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57"/>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58"/>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59"/>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6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6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62"/>
        <c:dLbl>
          <c:idx val="0"/>
          <c:showLegendKey val="0"/>
          <c:showVal val="0"/>
          <c:showCatName val="0"/>
          <c:showSerName val="0"/>
          <c:showPercent val="0"/>
          <c:showBubbleSize val="0"/>
          <c:extLst>
            <c:ext xmlns:c15="http://schemas.microsoft.com/office/drawing/2012/chart" uri="{CE6537A1-D6FC-4f65-9D91-7224C49458BB}"/>
          </c:extLst>
        </c:dLbl>
      </c:pivotFmt>
      <c:pivotFmt>
        <c:idx val="463"/>
        <c:dLbl>
          <c:idx val="0"/>
          <c:showLegendKey val="0"/>
          <c:showVal val="0"/>
          <c:showCatName val="0"/>
          <c:showSerName val="0"/>
          <c:showPercent val="0"/>
          <c:showBubbleSize val="0"/>
          <c:extLst>
            <c:ext xmlns:c15="http://schemas.microsoft.com/office/drawing/2012/chart" uri="{CE6537A1-D6FC-4f65-9D91-7224C49458BB}"/>
          </c:extLst>
        </c:dLbl>
      </c:pivotFmt>
      <c:pivotFmt>
        <c:idx val="46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6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66"/>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67"/>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68"/>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69"/>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7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7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7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7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7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75"/>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76"/>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77"/>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78"/>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79"/>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8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8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Mod val="60000"/>
                <a:lumOff val="40000"/>
              </a:schemeClr>
            </a:solidFill>
            <a:ln>
              <a:noFill/>
            </a:ln>
            <a:effectLst>
              <a:glow rad="63500">
                <a:schemeClr val="accent1">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8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Mod val="60000"/>
                <a:lumOff val="40000"/>
              </a:schemeClr>
            </a:solidFill>
            <a:ln>
              <a:noFill/>
            </a:ln>
            <a:effectLst>
              <a:glow rad="63500">
                <a:schemeClr val="accent2">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8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Mod val="60000"/>
                <a:lumOff val="40000"/>
              </a:schemeClr>
            </a:solidFill>
            <a:ln>
              <a:noFill/>
            </a:ln>
            <a:effectLst>
              <a:glow rad="63500">
                <a:schemeClr val="accent3">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8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4">
                <a:lumMod val="60000"/>
                <a:lumMod val="60000"/>
                <a:lumOff val="40000"/>
              </a:schemeClr>
            </a:solidFill>
            <a:ln>
              <a:noFill/>
            </a:ln>
            <a:effectLst>
              <a:glow rad="63500">
                <a:schemeClr val="accent4">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85"/>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86"/>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87"/>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88"/>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89"/>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9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9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Mod val="60000"/>
                <a:lumOff val="40000"/>
              </a:schemeClr>
            </a:solidFill>
            <a:ln>
              <a:noFill/>
            </a:ln>
            <a:effectLst>
              <a:glow rad="63500">
                <a:schemeClr val="accent1">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9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Mod val="60000"/>
                <a:lumOff val="40000"/>
              </a:schemeClr>
            </a:solidFill>
            <a:ln>
              <a:noFill/>
            </a:ln>
            <a:effectLst>
              <a:glow rad="63500">
                <a:schemeClr val="accent2">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9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Mod val="60000"/>
                <a:lumOff val="40000"/>
              </a:schemeClr>
            </a:solidFill>
            <a:ln>
              <a:noFill/>
            </a:ln>
            <a:effectLst>
              <a:glow rad="63500">
                <a:schemeClr val="accent3">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9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4">
                <a:lumMod val="60000"/>
                <a:lumMod val="60000"/>
                <a:lumOff val="40000"/>
              </a:schemeClr>
            </a:solidFill>
            <a:ln>
              <a:noFill/>
            </a:ln>
            <a:effectLst>
              <a:glow rad="63500">
                <a:schemeClr val="accent4">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95"/>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96"/>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97"/>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98"/>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99"/>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0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0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Mod val="60000"/>
                <a:lumOff val="40000"/>
              </a:schemeClr>
            </a:solidFill>
            <a:ln>
              <a:noFill/>
            </a:ln>
            <a:effectLst>
              <a:glow rad="63500">
                <a:schemeClr val="accent1">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0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Mod val="60000"/>
                <a:lumOff val="40000"/>
              </a:schemeClr>
            </a:solidFill>
            <a:ln>
              <a:noFill/>
            </a:ln>
            <a:effectLst>
              <a:glow rad="63500">
                <a:schemeClr val="accent2">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0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Mod val="60000"/>
                <a:lumOff val="40000"/>
              </a:schemeClr>
            </a:solidFill>
            <a:ln>
              <a:noFill/>
            </a:ln>
            <a:effectLst>
              <a:glow rad="63500">
                <a:schemeClr val="accent3">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0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4">
                <a:lumMod val="60000"/>
                <a:lumMod val="60000"/>
                <a:lumOff val="40000"/>
              </a:schemeClr>
            </a:solidFill>
            <a:ln>
              <a:noFill/>
            </a:ln>
            <a:effectLst>
              <a:glow rad="63500">
                <a:schemeClr val="accent4">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05"/>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06"/>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07"/>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08"/>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09"/>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1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1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Mod val="60000"/>
                <a:lumOff val="40000"/>
              </a:schemeClr>
            </a:solidFill>
            <a:ln>
              <a:noFill/>
            </a:ln>
            <a:effectLst>
              <a:glow rad="63500">
                <a:schemeClr val="accent1">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1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Mod val="60000"/>
                <a:lumOff val="40000"/>
              </a:schemeClr>
            </a:solidFill>
            <a:ln>
              <a:noFill/>
            </a:ln>
            <a:effectLst>
              <a:glow rad="63500">
                <a:schemeClr val="accent2">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1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Mod val="60000"/>
                <a:lumOff val="40000"/>
              </a:schemeClr>
            </a:solidFill>
            <a:ln>
              <a:noFill/>
            </a:ln>
            <a:effectLst>
              <a:glow rad="63500">
                <a:schemeClr val="accent3">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1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4">
                <a:lumMod val="60000"/>
                <a:lumMod val="60000"/>
                <a:lumOff val="40000"/>
              </a:schemeClr>
            </a:solidFill>
            <a:ln>
              <a:noFill/>
            </a:ln>
            <a:effectLst>
              <a:glow rad="63500">
                <a:schemeClr val="accent4">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15"/>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16"/>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17"/>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18"/>
        <c:spPr>
          <a:ln w="22225" cap="rnd">
            <a:solidFill>
              <a:schemeClr val="accent1"/>
            </a:solidFill>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19"/>
        <c:spPr>
          <a:ln w="22225" cap="rnd">
            <a:solidFill>
              <a:schemeClr val="accent1"/>
            </a:solidFill>
          </a:ln>
          <a:effectLst>
            <a:glow rad="139700">
              <a:schemeClr val="accent1">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20"/>
        <c:spPr>
          <a:ln w="22225" cap="rnd">
            <a:solidFill>
              <a:schemeClr val="accent1"/>
            </a:solidFill>
          </a:ln>
          <a:effectLst>
            <a:glow rad="139700">
              <a:schemeClr val="accent1">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21"/>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Mod val="60000"/>
                <a:lumOff val="40000"/>
              </a:schemeClr>
            </a:solidFill>
            <a:ln>
              <a:noFill/>
            </a:ln>
            <a:effectLst>
              <a:glow rad="63500">
                <a:schemeClr val="accent1">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22"/>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Mod val="60000"/>
                <a:lumOff val="40000"/>
              </a:schemeClr>
            </a:solidFill>
            <a:ln>
              <a:noFill/>
            </a:ln>
            <a:effectLst>
              <a:glow rad="63500">
                <a:schemeClr val="accent2">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23"/>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Mod val="60000"/>
                <a:lumOff val="40000"/>
              </a:schemeClr>
            </a:solidFill>
            <a:ln>
              <a:noFill/>
            </a:ln>
            <a:effectLst>
              <a:glow rad="63500">
                <a:schemeClr val="accent3">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24"/>
        <c:spPr>
          <a:ln w="22225" cap="rnd">
            <a:solidFill>
              <a:schemeClr val="accent1"/>
            </a:solidFill>
          </a:ln>
          <a:effectLst>
            <a:glow rad="139700">
              <a:schemeClr val="accent1">
                <a:satMod val="175000"/>
                <a:alpha val="14000"/>
              </a:schemeClr>
            </a:glow>
          </a:effectLst>
        </c:spPr>
        <c:marker>
          <c:symbol val="circle"/>
          <c:size val="4"/>
          <c:spPr>
            <a:solidFill>
              <a:schemeClr val="accent4">
                <a:lumMod val="60000"/>
                <a:lumMod val="60000"/>
                <a:lumOff val="40000"/>
              </a:schemeClr>
            </a:solidFill>
            <a:ln>
              <a:noFill/>
            </a:ln>
            <a:effectLst>
              <a:glow rad="63500">
                <a:schemeClr val="accent4">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25"/>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ar-SA"/>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331872230546078E-2"/>
          <c:y val="0.15502877931695005"/>
          <c:w val="0.81821503713857635"/>
          <c:h val="0.77751308403164354"/>
        </c:manualLayout>
      </c:layout>
      <c:lineChart>
        <c:grouping val="stacked"/>
        <c:varyColors val="0"/>
        <c:ser>
          <c:idx val="0"/>
          <c:order val="0"/>
          <c:tx>
            <c:strRef>
              <c:f>Task_PT!$L$3:$L$4</c:f>
              <c:strCache>
                <c:ptCount val="1"/>
                <c:pt idx="0">
                  <c:v> Chain</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Task_PT!$K$5:$K$17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Task_PT!$L$5:$L$17</c:f>
              <c:numCache>
                <c:formatCode>_-* #,##0_-;\-* #,##0_-;_-* "-"??_-;_-@_-</c:formatCode>
                <c:ptCount val="12"/>
                <c:pt idx="0">
                  <c:v>1200</c:v>
                </c:pt>
                <c:pt idx="2">
                  <c:v>1200</c:v>
                </c:pt>
                <c:pt idx="3">
                  <c:v>1200</c:v>
                </c:pt>
                <c:pt idx="4">
                  <c:v>5100</c:v>
                </c:pt>
                <c:pt idx="5">
                  <c:v>5100</c:v>
                </c:pt>
                <c:pt idx="6">
                  <c:v>1200</c:v>
                </c:pt>
                <c:pt idx="7">
                  <c:v>4800</c:v>
                </c:pt>
                <c:pt idx="8">
                  <c:v>5400</c:v>
                </c:pt>
                <c:pt idx="9">
                  <c:v>1800</c:v>
                </c:pt>
                <c:pt idx="10">
                  <c:v>1800</c:v>
                </c:pt>
                <c:pt idx="11">
                  <c:v>3000</c:v>
                </c:pt>
              </c:numCache>
            </c:numRef>
          </c:val>
          <c:smooth val="0"/>
          <c:extLst>
            <c:ext xmlns:c16="http://schemas.microsoft.com/office/drawing/2014/chart" uri="{C3380CC4-5D6E-409C-BE32-E72D297353CC}">
              <c16:uniqueId val="{00000001-8448-49BC-B5FB-A86585BABD10}"/>
            </c:ext>
          </c:extLst>
        </c:ser>
        <c:ser>
          <c:idx val="1"/>
          <c:order val="1"/>
          <c:tx>
            <c:strRef>
              <c:f>Task_PT!$M$3:$M$4</c:f>
              <c:strCache>
                <c:ptCount val="1"/>
                <c:pt idx="0">
                  <c:v> Jeans - Denim</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Task_PT!$K$5:$K$17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Task_PT!$M$5:$M$17</c:f>
              <c:numCache>
                <c:formatCode>_-* #,##0_-;\-* #,##0_-;_-* "-"??_-;_-@_-</c:formatCode>
                <c:ptCount val="12"/>
                <c:pt idx="0">
                  <c:v>9945</c:v>
                </c:pt>
                <c:pt idx="1">
                  <c:v>11475</c:v>
                </c:pt>
                <c:pt idx="2">
                  <c:v>7650</c:v>
                </c:pt>
                <c:pt idx="3">
                  <c:v>2295</c:v>
                </c:pt>
                <c:pt idx="4">
                  <c:v>6120</c:v>
                </c:pt>
                <c:pt idx="5">
                  <c:v>11220</c:v>
                </c:pt>
                <c:pt idx="6">
                  <c:v>28050</c:v>
                </c:pt>
                <c:pt idx="7">
                  <c:v>17000</c:v>
                </c:pt>
                <c:pt idx="8">
                  <c:v>17765</c:v>
                </c:pt>
                <c:pt idx="9">
                  <c:v>32555</c:v>
                </c:pt>
                <c:pt idx="10">
                  <c:v>16065</c:v>
                </c:pt>
                <c:pt idx="11">
                  <c:v>6376.7</c:v>
                </c:pt>
              </c:numCache>
            </c:numRef>
          </c:val>
          <c:smooth val="0"/>
          <c:extLst>
            <c:ext xmlns:c16="http://schemas.microsoft.com/office/drawing/2014/chart" uri="{C3380CC4-5D6E-409C-BE32-E72D297353CC}">
              <c16:uniqueId val="{00000007-42A6-4FFC-8A5F-931CB79C0FDE}"/>
            </c:ext>
          </c:extLst>
        </c:ser>
        <c:ser>
          <c:idx val="2"/>
          <c:order val="2"/>
          <c:tx>
            <c:strRef>
              <c:f>Task_PT!$N$3:$N$4</c:f>
              <c:strCache>
                <c:ptCount val="1"/>
                <c:pt idx="0">
                  <c:v> Jeans - Lega</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Task_PT!$K$5:$K$17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Task_PT!$N$5:$N$17</c:f>
              <c:numCache>
                <c:formatCode>_-* #,##0_-;\-* #,##0_-;_-* "-"??_-;_-@_-</c:formatCode>
                <c:ptCount val="12"/>
                <c:pt idx="0">
                  <c:v>3000</c:v>
                </c:pt>
                <c:pt idx="1">
                  <c:v>11000</c:v>
                </c:pt>
                <c:pt idx="2">
                  <c:v>2000</c:v>
                </c:pt>
                <c:pt idx="3">
                  <c:v>5000</c:v>
                </c:pt>
                <c:pt idx="4">
                  <c:v>7000</c:v>
                </c:pt>
                <c:pt idx="5">
                  <c:v>3000</c:v>
                </c:pt>
                <c:pt idx="6">
                  <c:v>3000</c:v>
                </c:pt>
                <c:pt idx="7">
                  <c:v>10000</c:v>
                </c:pt>
                <c:pt idx="8">
                  <c:v>7000</c:v>
                </c:pt>
                <c:pt idx="9">
                  <c:v>2000</c:v>
                </c:pt>
                <c:pt idx="10">
                  <c:v>9000</c:v>
                </c:pt>
                <c:pt idx="11">
                  <c:v>6004</c:v>
                </c:pt>
              </c:numCache>
            </c:numRef>
          </c:val>
          <c:smooth val="0"/>
          <c:extLst>
            <c:ext xmlns:c16="http://schemas.microsoft.com/office/drawing/2014/chart" uri="{C3380CC4-5D6E-409C-BE32-E72D297353CC}">
              <c16:uniqueId val="{00000008-42A6-4FFC-8A5F-931CB79C0FDE}"/>
            </c:ext>
          </c:extLst>
        </c:ser>
        <c:ser>
          <c:idx val="3"/>
          <c:order val="3"/>
          <c:tx>
            <c:strRef>
              <c:f>Task_PT!$O$3:$O$4</c:f>
              <c:strCache>
                <c:ptCount val="1"/>
                <c:pt idx="0">
                  <c:v> Jeans - Levis</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Task_PT!$K$5:$K$17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Task_PT!$O$5:$O$17</c:f>
              <c:numCache>
                <c:formatCode>_-* #,##0_-;\-* #,##0_-;_-* "-"??_-;_-@_-</c:formatCode>
                <c:ptCount val="12"/>
                <c:pt idx="0">
                  <c:v>35200</c:v>
                </c:pt>
                <c:pt idx="1">
                  <c:v>17502</c:v>
                </c:pt>
                <c:pt idx="2">
                  <c:v>31900</c:v>
                </c:pt>
                <c:pt idx="3">
                  <c:v>20900</c:v>
                </c:pt>
                <c:pt idx="4">
                  <c:v>20900</c:v>
                </c:pt>
                <c:pt idx="5">
                  <c:v>31900</c:v>
                </c:pt>
                <c:pt idx="6">
                  <c:v>11000</c:v>
                </c:pt>
                <c:pt idx="7">
                  <c:v>16500</c:v>
                </c:pt>
                <c:pt idx="8">
                  <c:v>20900</c:v>
                </c:pt>
                <c:pt idx="9">
                  <c:v>15400</c:v>
                </c:pt>
                <c:pt idx="10">
                  <c:v>12100</c:v>
                </c:pt>
                <c:pt idx="11">
                  <c:v>19800</c:v>
                </c:pt>
              </c:numCache>
            </c:numRef>
          </c:val>
          <c:smooth val="0"/>
          <c:extLst>
            <c:ext xmlns:c16="http://schemas.microsoft.com/office/drawing/2014/chart" uri="{C3380CC4-5D6E-409C-BE32-E72D297353CC}">
              <c16:uniqueId val="{00000009-42A6-4FFC-8A5F-931CB79C0FDE}"/>
            </c:ext>
          </c:extLst>
        </c:ser>
        <c:ser>
          <c:idx val="4"/>
          <c:order val="4"/>
          <c:tx>
            <c:strRef>
              <c:f>Task_PT!$P$3:$P$4</c:f>
              <c:strCache>
                <c:ptCount val="1"/>
                <c:pt idx="0">
                  <c:v> Jeans - Zara</c:v>
                </c:pt>
              </c:strCache>
            </c:strRef>
          </c:tx>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Task_PT!$K$5:$K$17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Task_PT!$P$5:$P$17</c:f>
              <c:numCache>
                <c:formatCode>_-* #,##0_-;\-* #,##0_-;_-* "-"??_-;_-@_-</c:formatCode>
                <c:ptCount val="12"/>
                <c:pt idx="0">
                  <c:v>9000</c:v>
                </c:pt>
                <c:pt idx="1">
                  <c:v>8202</c:v>
                </c:pt>
                <c:pt idx="2">
                  <c:v>13500</c:v>
                </c:pt>
                <c:pt idx="3">
                  <c:v>9900</c:v>
                </c:pt>
                <c:pt idx="4">
                  <c:v>4500</c:v>
                </c:pt>
                <c:pt idx="5">
                  <c:v>9900</c:v>
                </c:pt>
                <c:pt idx="6">
                  <c:v>16200</c:v>
                </c:pt>
                <c:pt idx="7">
                  <c:v>5400</c:v>
                </c:pt>
                <c:pt idx="8">
                  <c:v>12600</c:v>
                </c:pt>
                <c:pt idx="9">
                  <c:v>12600</c:v>
                </c:pt>
                <c:pt idx="10">
                  <c:v>3600</c:v>
                </c:pt>
                <c:pt idx="11">
                  <c:v>10800</c:v>
                </c:pt>
              </c:numCache>
            </c:numRef>
          </c:val>
          <c:smooth val="0"/>
          <c:extLst>
            <c:ext xmlns:c16="http://schemas.microsoft.com/office/drawing/2014/chart" uri="{C3380CC4-5D6E-409C-BE32-E72D297353CC}">
              <c16:uniqueId val="{0000000A-42A6-4FFC-8A5F-931CB79C0FDE}"/>
            </c:ext>
          </c:extLst>
        </c:ser>
        <c:ser>
          <c:idx val="5"/>
          <c:order val="5"/>
          <c:tx>
            <c:strRef>
              <c:f>Task_PT!$Q$3:$Q$4</c:f>
              <c:strCache>
                <c:ptCount val="1"/>
                <c:pt idx="0">
                  <c:v> shirt</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Task_PT!$K$5:$K$17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Task_PT!$Q$5:$Q$17</c:f>
              <c:numCache>
                <c:formatCode>_-* #,##0_-;\-* #,##0_-;_-* "-"??_-;_-@_-</c:formatCode>
                <c:ptCount val="12"/>
                <c:pt idx="0">
                  <c:v>4250</c:v>
                </c:pt>
                <c:pt idx="1">
                  <c:v>4406</c:v>
                </c:pt>
                <c:pt idx="2">
                  <c:v>1700</c:v>
                </c:pt>
                <c:pt idx="3">
                  <c:v>7650</c:v>
                </c:pt>
                <c:pt idx="4">
                  <c:v>7650</c:v>
                </c:pt>
                <c:pt idx="5">
                  <c:v>1700</c:v>
                </c:pt>
                <c:pt idx="6">
                  <c:v>3400</c:v>
                </c:pt>
                <c:pt idx="7">
                  <c:v>4250</c:v>
                </c:pt>
                <c:pt idx="8">
                  <c:v>4250</c:v>
                </c:pt>
                <c:pt idx="9">
                  <c:v>5100</c:v>
                </c:pt>
                <c:pt idx="10">
                  <c:v>850</c:v>
                </c:pt>
                <c:pt idx="11">
                  <c:v>3400</c:v>
                </c:pt>
              </c:numCache>
            </c:numRef>
          </c:val>
          <c:smooth val="0"/>
          <c:extLst>
            <c:ext xmlns:c16="http://schemas.microsoft.com/office/drawing/2014/chart" uri="{C3380CC4-5D6E-409C-BE32-E72D297353CC}">
              <c16:uniqueId val="{0000000B-42A6-4FFC-8A5F-931CB79C0FDE}"/>
            </c:ext>
          </c:extLst>
        </c:ser>
        <c:ser>
          <c:idx val="6"/>
          <c:order val="6"/>
          <c:tx>
            <c:strRef>
              <c:f>Task_PT!$R$3:$R$4</c:f>
              <c:strCache>
                <c:ptCount val="1"/>
                <c:pt idx="0">
                  <c:v> Shirt - Arrow</c:v>
                </c:pt>
              </c:strCache>
            </c:strRef>
          </c:tx>
          <c:spPr>
            <a:ln w="22225" cap="rnd">
              <a:solidFill>
                <a:schemeClr val="accent1">
                  <a:lumMod val="60000"/>
                </a:schemeClr>
              </a:solidFill>
            </a:ln>
            <a:effectLst>
              <a:glow rad="139700">
                <a:schemeClr val="accent1">
                  <a:lumMod val="60000"/>
                  <a:satMod val="175000"/>
                  <a:alpha val="14000"/>
                </a:schemeClr>
              </a:glow>
            </a:effectLst>
          </c:spPr>
          <c:marker>
            <c:symbol val="circle"/>
            <c:size val="4"/>
            <c:spPr>
              <a:solidFill>
                <a:schemeClr val="accent1">
                  <a:lumMod val="60000"/>
                  <a:lumMod val="60000"/>
                  <a:lumOff val="40000"/>
                </a:schemeClr>
              </a:solidFill>
              <a:ln>
                <a:noFill/>
              </a:ln>
              <a:effectLst>
                <a:glow rad="63500">
                  <a:schemeClr val="accent1">
                    <a:lumMod val="60000"/>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Task_PT!$K$5:$K$17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Task_PT!$R$5:$R$17</c:f>
              <c:numCache>
                <c:formatCode>_-* #,##0_-;\-* #,##0_-;_-* "-"??_-;_-@_-</c:formatCode>
                <c:ptCount val="12"/>
                <c:pt idx="0">
                  <c:v>3600</c:v>
                </c:pt>
                <c:pt idx="1">
                  <c:v>12000</c:v>
                </c:pt>
                <c:pt idx="2">
                  <c:v>9600</c:v>
                </c:pt>
                <c:pt idx="3">
                  <c:v>1200</c:v>
                </c:pt>
                <c:pt idx="4">
                  <c:v>10800</c:v>
                </c:pt>
                <c:pt idx="5">
                  <c:v>7200</c:v>
                </c:pt>
                <c:pt idx="6">
                  <c:v>4800</c:v>
                </c:pt>
                <c:pt idx="7">
                  <c:v>1200</c:v>
                </c:pt>
                <c:pt idx="8">
                  <c:v>1200</c:v>
                </c:pt>
                <c:pt idx="9">
                  <c:v>2400</c:v>
                </c:pt>
                <c:pt idx="10">
                  <c:v>2400</c:v>
                </c:pt>
                <c:pt idx="11">
                  <c:v>2206</c:v>
                </c:pt>
              </c:numCache>
            </c:numRef>
          </c:val>
          <c:smooth val="0"/>
          <c:extLst>
            <c:ext xmlns:c16="http://schemas.microsoft.com/office/drawing/2014/chart" uri="{C3380CC4-5D6E-409C-BE32-E72D297353CC}">
              <c16:uniqueId val="{0000000C-42A6-4FFC-8A5F-931CB79C0FDE}"/>
            </c:ext>
          </c:extLst>
        </c:ser>
        <c:ser>
          <c:idx val="7"/>
          <c:order val="7"/>
          <c:tx>
            <c:strRef>
              <c:f>Task_PT!$S$3:$S$4</c:f>
              <c:strCache>
                <c:ptCount val="1"/>
                <c:pt idx="0">
                  <c:v> Shirt - PE</c:v>
                </c:pt>
              </c:strCache>
            </c:strRef>
          </c:tx>
          <c:spPr>
            <a:ln w="22225" cap="rnd">
              <a:solidFill>
                <a:schemeClr val="accent2">
                  <a:lumMod val="60000"/>
                </a:schemeClr>
              </a:solidFill>
            </a:ln>
            <a:effectLst>
              <a:glow rad="139700">
                <a:schemeClr val="accent2">
                  <a:lumMod val="60000"/>
                  <a:satMod val="175000"/>
                  <a:alpha val="14000"/>
                </a:schemeClr>
              </a:glow>
            </a:effectLst>
          </c:spPr>
          <c:marker>
            <c:symbol val="circle"/>
            <c:size val="4"/>
            <c:spPr>
              <a:solidFill>
                <a:schemeClr val="accent2">
                  <a:lumMod val="60000"/>
                  <a:lumMod val="60000"/>
                  <a:lumOff val="40000"/>
                </a:schemeClr>
              </a:solidFill>
              <a:ln>
                <a:noFill/>
              </a:ln>
              <a:effectLst>
                <a:glow rad="63500">
                  <a:schemeClr val="accent2">
                    <a:lumMod val="60000"/>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Task_PT!$K$5:$K$17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Task_PT!$S$5:$S$17</c:f>
              <c:numCache>
                <c:formatCode>_-* #,##0_-;\-* #,##0_-;_-* "-"??_-;_-@_-</c:formatCode>
                <c:ptCount val="12"/>
                <c:pt idx="0">
                  <c:v>3200</c:v>
                </c:pt>
                <c:pt idx="1">
                  <c:v>9600</c:v>
                </c:pt>
                <c:pt idx="2">
                  <c:v>5600</c:v>
                </c:pt>
                <c:pt idx="3">
                  <c:v>4000</c:v>
                </c:pt>
                <c:pt idx="4">
                  <c:v>7200</c:v>
                </c:pt>
                <c:pt idx="5">
                  <c:v>4000</c:v>
                </c:pt>
                <c:pt idx="6">
                  <c:v>3200</c:v>
                </c:pt>
                <c:pt idx="7">
                  <c:v>7200</c:v>
                </c:pt>
                <c:pt idx="8">
                  <c:v>3200</c:v>
                </c:pt>
                <c:pt idx="9">
                  <c:v>2400</c:v>
                </c:pt>
                <c:pt idx="10">
                  <c:v>4800</c:v>
                </c:pt>
                <c:pt idx="11">
                  <c:v>1600</c:v>
                </c:pt>
              </c:numCache>
            </c:numRef>
          </c:val>
          <c:smooth val="0"/>
          <c:extLst>
            <c:ext xmlns:c16="http://schemas.microsoft.com/office/drawing/2014/chart" uri="{C3380CC4-5D6E-409C-BE32-E72D297353CC}">
              <c16:uniqueId val="{0000000D-42A6-4FFC-8A5F-931CB79C0FDE}"/>
            </c:ext>
          </c:extLst>
        </c:ser>
        <c:ser>
          <c:idx val="8"/>
          <c:order val="8"/>
          <c:tx>
            <c:strRef>
              <c:f>Task_PT!$T$3:$T$4</c:f>
              <c:strCache>
                <c:ptCount val="1"/>
                <c:pt idx="0">
                  <c:v> T-shirt</c:v>
                </c:pt>
              </c:strCache>
            </c:strRef>
          </c:tx>
          <c:spPr>
            <a:ln w="22225" cap="rnd">
              <a:solidFill>
                <a:schemeClr val="accent3">
                  <a:lumMod val="60000"/>
                </a:schemeClr>
              </a:solidFill>
            </a:ln>
            <a:effectLst>
              <a:glow rad="139700">
                <a:schemeClr val="accent3">
                  <a:lumMod val="60000"/>
                  <a:satMod val="175000"/>
                  <a:alpha val="14000"/>
                </a:schemeClr>
              </a:glow>
            </a:effectLst>
          </c:spPr>
          <c:marker>
            <c:symbol val="circle"/>
            <c:size val="4"/>
            <c:spPr>
              <a:solidFill>
                <a:schemeClr val="accent3">
                  <a:lumMod val="60000"/>
                  <a:lumMod val="60000"/>
                  <a:lumOff val="40000"/>
                </a:schemeClr>
              </a:solidFill>
              <a:ln>
                <a:noFill/>
              </a:ln>
              <a:effectLst>
                <a:glow rad="63500">
                  <a:schemeClr val="accent3">
                    <a:lumMod val="60000"/>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Task_PT!$K$5:$K$17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Task_PT!$T$5:$T$17</c:f>
              <c:numCache>
                <c:formatCode>_-* #,##0_-;\-* #,##0_-;_-* "-"??_-;_-@_-</c:formatCode>
                <c:ptCount val="12"/>
                <c:pt idx="0">
                  <c:v>14400</c:v>
                </c:pt>
                <c:pt idx="1">
                  <c:v>7200</c:v>
                </c:pt>
                <c:pt idx="2">
                  <c:v>15000</c:v>
                </c:pt>
                <c:pt idx="3">
                  <c:v>16200</c:v>
                </c:pt>
                <c:pt idx="4">
                  <c:v>9600</c:v>
                </c:pt>
                <c:pt idx="5">
                  <c:v>9600</c:v>
                </c:pt>
                <c:pt idx="6">
                  <c:v>6000</c:v>
                </c:pt>
                <c:pt idx="7">
                  <c:v>10800</c:v>
                </c:pt>
                <c:pt idx="8">
                  <c:v>12600</c:v>
                </c:pt>
                <c:pt idx="9">
                  <c:v>6600</c:v>
                </c:pt>
                <c:pt idx="10">
                  <c:v>5400</c:v>
                </c:pt>
                <c:pt idx="11">
                  <c:v>8498</c:v>
                </c:pt>
              </c:numCache>
            </c:numRef>
          </c:val>
          <c:smooth val="0"/>
          <c:extLst>
            <c:ext xmlns:c16="http://schemas.microsoft.com/office/drawing/2014/chart" uri="{C3380CC4-5D6E-409C-BE32-E72D297353CC}">
              <c16:uniqueId val="{0000000E-42A6-4FFC-8A5F-931CB79C0FDE}"/>
            </c:ext>
          </c:extLst>
        </c:ser>
        <c:ser>
          <c:idx val="9"/>
          <c:order val="9"/>
          <c:tx>
            <c:strRef>
              <c:f>Task_PT!$U$3:$U$4</c:f>
              <c:strCache>
                <c:ptCount val="1"/>
                <c:pt idx="0">
                  <c:v> Wallet</c:v>
                </c:pt>
              </c:strCache>
            </c:strRef>
          </c:tx>
          <c:spPr>
            <a:ln w="22225" cap="rnd">
              <a:solidFill>
                <a:schemeClr val="accent4">
                  <a:lumMod val="60000"/>
                </a:schemeClr>
              </a:solidFill>
            </a:ln>
            <a:effectLst>
              <a:glow rad="139700">
                <a:schemeClr val="accent4">
                  <a:lumMod val="60000"/>
                  <a:satMod val="175000"/>
                  <a:alpha val="14000"/>
                </a:schemeClr>
              </a:glow>
            </a:effectLst>
          </c:spPr>
          <c:marker>
            <c:symbol val="circle"/>
            <c:size val="4"/>
            <c:spPr>
              <a:solidFill>
                <a:schemeClr val="accent4">
                  <a:lumMod val="60000"/>
                  <a:lumMod val="60000"/>
                  <a:lumOff val="40000"/>
                </a:schemeClr>
              </a:solidFill>
              <a:ln>
                <a:noFill/>
              </a:ln>
              <a:effectLst>
                <a:glow rad="63500">
                  <a:schemeClr val="accent4">
                    <a:lumMod val="60000"/>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Task_PT!$K$5:$K$17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Task_PT!$U$5:$U$17</c:f>
              <c:numCache>
                <c:formatCode>_-* #,##0_-;\-* #,##0_-;_-* "-"??_-;_-@_-</c:formatCode>
                <c:ptCount val="12"/>
                <c:pt idx="0">
                  <c:v>1900</c:v>
                </c:pt>
                <c:pt idx="1">
                  <c:v>1000</c:v>
                </c:pt>
                <c:pt idx="2">
                  <c:v>4700</c:v>
                </c:pt>
                <c:pt idx="3">
                  <c:v>5900</c:v>
                </c:pt>
                <c:pt idx="4">
                  <c:v>3400</c:v>
                </c:pt>
                <c:pt idx="5">
                  <c:v>3300</c:v>
                </c:pt>
                <c:pt idx="6">
                  <c:v>6000</c:v>
                </c:pt>
                <c:pt idx="7">
                  <c:v>3000</c:v>
                </c:pt>
                <c:pt idx="9">
                  <c:v>3800</c:v>
                </c:pt>
                <c:pt idx="10">
                  <c:v>1500</c:v>
                </c:pt>
                <c:pt idx="11">
                  <c:v>1300</c:v>
                </c:pt>
              </c:numCache>
            </c:numRef>
          </c:val>
          <c:smooth val="0"/>
          <c:extLst>
            <c:ext xmlns:c16="http://schemas.microsoft.com/office/drawing/2014/chart" uri="{C3380CC4-5D6E-409C-BE32-E72D297353CC}">
              <c16:uniqueId val="{0000000F-42A6-4FFC-8A5F-931CB79C0FDE}"/>
            </c:ext>
          </c:extLst>
        </c:ser>
        <c:dLbls>
          <c:dLblPos val="t"/>
          <c:showLegendKey val="0"/>
          <c:showVal val="1"/>
          <c:showCatName val="0"/>
          <c:showSerName val="0"/>
          <c:showPercent val="0"/>
          <c:showBubbleSize val="0"/>
        </c:dLbls>
        <c:marker val="1"/>
        <c:smooth val="0"/>
        <c:axId val="651289599"/>
        <c:axId val="651280959"/>
      </c:lineChart>
      <c:catAx>
        <c:axId val="65128959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out"/>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51280959"/>
        <c:crossesAt val="0"/>
        <c:auto val="1"/>
        <c:lblAlgn val="ctr"/>
        <c:lblOffset val="100"/>
        <c:noMultiLvlLbl val="0"/>
      </c:catAx>
      <c:valAx>
        <c:axId val="651280959"/>
        <c:scaling>
          <c:orientation val="minMax"/>
        </c:scaling>
        <c:delete val="0"/>
        <c:axPos val="r"/>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_-* #,##0_-;\-* #,##0_-;_-* &quot;-&quot;??_-;_-@_-" sourceLinked="1"/>
        <c:majorTickMark val="none"/>
        <c:minorTickMark val="none"/>
        <c:tickLblPos val="low"/>
        <c:spPr>
          <a:noFill/>
          <a:ln>
            <a:solidFill>
              <a:schemeClr val="bg1">
                <a:lumMod val="50000"/>
              </a:schemeClr>
            </a:solid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51289599"/>
        <c:crosses val="max"/>
        <c:crossBetween val="between"/>
      </c:valAx>
      <c:spPr>
        <a:gradFill flip="none" rotWithShape="1">
          <a:gsLst>
            <a:gs pos="50000">
              <a:schemeClr val="tx1">
                <a:lumMod val="85000"/>
                <a:lumOff val="15000"/>
              </a:schemeClr>
            </a:gs>
            <a:gs pos="75000">
              <a:schemeClr val="tx1">
                <a:lumMod val="95000"/>
                <a:lumOff val="5000"/>
              </a:schemeClr>
            </a:gs>
          </a:gsLst>
          <a:path path="circle">
            <a:fillToRect l="50000" t="50000" r="50000" b="50000"/>
          </a:path>
          <a:tileRect/>
        </a:gradFill>
        <a:ln w="6350">
          <a:solidFill>
            <a:schemeClr val="bg1">
              <a:lumMod val="50000"/>
            </a:schemeClr>
          </a:solidFill>
        </a:ln>
        <a:effectLst/>
      </c:spPr>
    </c:plotArea>
    <c:legend>
      <c:legendPos val="r"/>
      <c:layout>
        <c:manualLayout>
          <c:xMode val="edge"/>
          <c:yMode val="edge"/>
          <c:x val="0.87591694350789562"/>
          <c:y val="4.6644611963772439E-2"/>
          <c:w val="0.10583255030724113"/>
          <c:h val="0.92041480402562903"/>
        </c:manualLayout>
      </c:layout>
      <c:overlay val="0"/>
      <c:spPr>
        <a:noFill/>
        <a:ln>
          <a:noFill/>
        </a:ln>
        <a:effectLst/>
      </c:spPr>
      <c:txPr>
        <a:bodyPr rot="0" spcFirstLastPara="1" vertOverflow="ellipsis" vert="horz" wrap="square" anchor="ctr" anchorCtr="1"/>
        <a:lstStyle/>
        <a:p>
          <a:pPr>
            <a:defRPr sz="1400" b="1" i="0" u="sng"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chart>
  <c:spPr>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path path="circle">
        <a:fillToRect l="100000" b="100000"/>
      </a:path>
      <a:tileRect t="-100000" r="-100000"/>
    </a:gradFill>
    <a:ln w="22225" cap="rnd" cmpd="tri" algn="ctr">
      <a:solidFill>
        <a:schemeClr val="bg1">
          <a:lumMod val="50000"/>
          <a:alpha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[Task_03_&amp;_04_&amp;_05_TownTeam_Sales.xlsx]Task_PT!PivotTable16</c:name>
    <c:fmtId val="3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sz="3500" b="0" u="sng"/>
              <a:t>Online Sales Vs. On Shop</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Task_PT!$L$19:$L$20</c:f>
              <c:strCache>
                <c:ptCount val="1"/>
                <c:pt idx="0">
                  <c:v>On Shop</c:v>
                </c:pt>
              </c:strCache>
            </c:strRef>
          </c:tx>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a:outerShdw blurRad="57150" dist="19050" dir="5400000" algn="ctr" rotWithShape="0">
                <a:srgbClr val="000000">
                  <a:alpha val="63000"/>
                </a:srgbClr>
              </a:outerShdw>
            </a:effectLst>
          </c:spPr>
          <c:invertIfNegative val="0"/>
          <c:cat>
            <c:strRef>
              <c:f>Task_PT!$K$21:$K$31</c:f>
              <c:strCache>
                <c:ptCount val="10"/>
                <c:pt idx="0">
                  <c:v> Chain</c:v>
                </c:pt>
                <c:pt idx="1">
                  <c:v> Jeans - Denim</c:v>
                </c:pt>
                <c:pt idx="2">
                  <c:v> Jeans - Lega</c:v>
                </c:pt>
                <c:pt idx="3">
                  <c:v> Jeans - Levis</c:v>
                </c:pt>
                <c:pt idx="4">
                  <c:v> Jeans - Zara</c:v>
                </c:pt>
                <c:pt idx="5">
                  <c:v> shirt</c:v>
                </c:pt>
                <c:pt idx="6">
                  <c:v> Shirt - Arrow</c:v>
                </c:pt>
                <c:pt idx="7">
                  <c:v> Shirt - PE</c:v>
                </c:pt>
                <c:pt idx="8">
                  <c:v> T-shirt</c:v>
                </c:pt>
                <c:pt idx="9">
                  <c:v> Wallet</c:v>
                </c:pt>
              </c:strCache>
            </c:strRef>
          </c:cat>
          <c:val>
            <c:numRef>
              <c:f>Task_PT!$L$21:$L$31</c:f>
              <c:numCache>
                <c:formatCode>_-* #,##0_-;\-* #,##0_-;_-* "-"??_-;_-@_-</c:formatCode>
                <c:ptCount val="10"/>
                <c:pt idx="0">
                  <c:v>29400</c:v>
                </c:pt>
                <c:pt idx="1">
                  <c:v>151131.70000000001</c:v>
                </c:pt>
                <c:pt idx="2">
                  <c:v>68004</c:v>
                </c:pt>
                <c:pt idx="3">
                  <c:v>228702</c:v>
                </c:pt>
                <c:pt idx="4">
                  <c:v>108102</c:v>
                </c:pt>
                <c:pt idx="5">
                  <c:v>47756</c:v>
                </c:pt>
                <c:pt idx="6">
                  <c:v>56206</c:v>
                </c:pt>
                <c:pt idx="7">
                  <c:v>53600</c:v>
                </c:pt>
                <c:pt idx="8">
                  <c:v>115298</c:v>
                </c:pt>
                <c:pt idx="9">
                  <c:v>34300</c:v>
                </c:pt>
              </c:numCache>
            </c:numRef>
          </c:val>
          <c:extLst>
            <c:ext xmlns:c16="http://schemas.microsoft.com/office/drawing/2014/chart" uri="{C3380CC4-5D6E-409C-BE32-E72D297353CC}">
              <c16:uniqueId val="{00000000-6BF6-4A9A-AC2C-38BE9B85CB70}"/>
            </c:ext>
          </c:extLst>
        </c:ser>
        <c:ser>
          <c:idx val="1"/>
          <c:order val="1"/>
          <c:tx>
            <c:strRef>
              <c:f>Task_PT!$M$19:$M$20</c:f>
              <c:strCache>
                <c:ptCount val="1"/>
                <c:pt idx="0">
                  <c:v>Online Order</c:v>
                </c:pt>
              </c:strCache>
            </c:strRef>
          </c:tx>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a:effectLst>
              <a:outerShdw blurRad="57150" dist="19050" dir="5400000" algn="ctr" rotWithShape="0">
                <a:srgbClr val="000000">
                  <a:alpha val="63000"/>
                </a:srgbClr>
              </a:outerShdw>
            </a:effectLst>
          </c:spPr>
          <c:invertIfNegative val="0"/>
          <c:cat>
            <c:strRef>
              <c:f>Task_PT!$K$21:$K$31</c:f>
              <c:strCache>
                <c:ptCount val="10"/>
                <c:pt idx="0">
                  <c:v> Chain</c:v>
                </c:pt>
                <c:pt idx="1">
                  <c:v> Jeans - Denim</c:v>
                </c:pt>
                <c:pt idx="2">
                  <c:v> Jeans - Lega</c:v>
                </c:pt>
                <c:pt idx="3">
                  <c:v> Jeans - Levis</c:v>
                </c:pt>
                <c:pt idx="4">
                  <c:v> Jeans - Zara</c:v>
                </c:pt>
                <c:pt idx="5">
                  <c:v> shirt</c:v>
                </c:pt>
                <c:pt idx="6">
                  <c:v> Shirt - Arrow</c:v>
                </c:pt>
                <c:pt idx="7">
                  <c:v> Shirt - PE</c:v>
                </c:pt>
                <c:pt idx="8">
                  <c:v> T-shirt</c:v>
                </c:pt>
                <c:pt idx="9">
                  <c:v> Wallet</c:v>
                </c:pt>
              </c:strCache>
            </c:strRef>
          </c:cat>
          <c:val>
            <c:numRef>
              <c:f>Task_PT!$M$21:$M$31</c:f>
              <c:numCache>
                <c:formatCode>_-* #,##0_-;\-* #,##0_-;_-* "-"??_-;_-@_-</c:formatCode>
                <c:ptCount val="10"/>
                <c:pt idx="0">
                  <c:v>2400</c:v>
                </c:pt>
                <c:pt idx="1">
                  <c:v>15385</c:v>
                </c:pt>
                <c:pt idx="3">
                  <c:v>25300</c:v>
                </c:pt>
                <c:pt idx="4">
                  <c:v>8100</c:v>
                </c:pt>
                <c:pt idx="5">
                  <c:v>850</c:v>
                </c:pt>
                <c:pt idx="6">
                  <c:v>2400</c:v>
                </c:pt>
                <c:pt idx="7">
                  <c:v>2400</c:v>
                </c:pt>
                <c:pt idx="8">
                  <c:v>6600</c:v>
                </c:pt>
                <c:pt idx="9">
                  <c:v>1500</c:v>
                </c:pt>
              </c:numCache>
            </c:numRef>
          </c:val>
          <c:extLst>
            <c:ext xmlns:c16="http://schemas.microsoft.com/office/drawing/2014/chart" uri="{C3380CC4-5D6E-409C-BE32-E72D297353CC}">
              <c16:uniqueId val="{00000001-EC3B-4198-A548-B39D6B715E32}"/>
            </c:ext>
          </c:extLst>
        </c:ser>
        <c:dLbls>
          <c:showLegendKey val="0"/>
          <c:showVal val="0"/>
          <c:showCatName val="0"/>
          <c:showSerName val="0"/>
          <c:showPercent val="0"/>
          <c:showBubbleSize val="0"/>
        </c:dLbls>
        <c:gapWidth val="150"/>
        <c:overlap val="100"/>
        <c:axId val="514973695"/>
        <c:axId val="514978015"/>
      </c:barChart>
      <c:catAx>
        <c:axId val="51497369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4978015"/>
        <c:crosses val="autoZero"/>
        <c:auto val="1"/>
        <c:lblAlgn val="ctr"/>
        <c:lblOffset val="100"/>
        <c:noMultiLvlLbl val="0"/>
      </c:catAx>
      <c:valAx>
        <c:axId val="514978015"/>
        <c:scaling>
          <c:orientation val="minMax"/>
        </c:scaling>
        <c:delete val="0"/>
        <c:axPos val="l"/>
        <c:majorGridlines>
          <c:spPr>
            <a:ln w="9525" cap="flat" cmpd="sng" algn="ctr">
              <a:solidFill>
                <a:schemeClr val="lt1">
                  <a:lumMod val="95000"/>
                  <a:alpha val="10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4973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50000">
          <a:schemeClr val="bg2">
            <a:lumMod val="25000"/>
          </a:schemeClr>
        </a:gs>
        <a:gs pos="95000">
          <a:schemeClr val="bg2">
            <a:lumMod val="10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[Task_03_&amp;_04_&amp;_05_TownTeam_Sales.xlsx]Task_PT!PivotTable17</c:name>
    <c:fmtId val="4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a:outerShdw blurRad="57150" dist="19050" dir="5400000" algn="ctr" rotWithShape="0">
              <a:srgbClr val="000000">
                <a:alpha val="63000"/>
              </a:srgbClr>
            </a:outerShdw>
          </a:effectLst>
        </c:spPr>
      </c:pivotFmt>
      <c:pivotFmt>
        <c:idx val="6"/>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lin ang="2700000" scaled="1"/>
            <a:tileRect/>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0394807888992483"/>
          <c:y val="0.17942355899096646"/>
          <c:w val="0.37218875099482468"/>
          <c:h val="0.67985734817690113"/>
        </c:manualLayout>
      </c:layout>
      <c:pieChart>
        <c:varyColors val="1"/>
        <c:ser>
          <c:idx val="0"/>
          <c:order val="0"/>
          <c:tx>
            <c:strRef>
              <c:f>Task_PT!$L$33</c:f>
              <c:strCache>
                <c:ptCount val="1"/>
                <c:pt idx="0">
                  <c:v>Total</c:v>
                </c:pt>
              </c:strCache>
            </c:strRef>
          </c:tx>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c:spPr>
          <c:dPt>
            <c:idx val="0"/>
            <c:bubble3D val="0"/>
            <c:explosion val="31"/>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E83-4D94-96B1-801822A5184C}"/>
              </c:ext>
            </c:extLst>
          </c:dPt>
          <c:dPt>
            <c:idx val="1"/>
            <c:bubble3D val="0"/>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lin ang="2700000" scaled="1"/>
                <a:tileRect/>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E83-4D94-96B1-801822A5184C}"/>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Task_PT!$K$34:$K$36</c:f>
              <c:strCache>
                <c:ptCount val="2"/>
                <c:pt idx="0">
                  <c:v>On Shop</c:v>
                </c:pt>
                <c:pt idx="1">
                  <c:v>Online Order</c:v>
                </c:pt>
              </c:strCache>
            </c:strRef>
          </c:cat>
          <c:val>
            <c:numRef>
              <c:f>Task_PT!$L$34:$L$36</c:f>
              <c:numCache>
                <c:formatCode>_-* #,##0_-;\-* #,##0_-;_-* "-"??_-;_-@_-</c:formatCode>
                <c:ptCount val="2"/>
                <c:pt idx="0">
                  <c:v>892499.7</c:v>
                </c:pt>
                <c:pt idx="1">
                  <c:v>64935</c:v>
                </c:pt>
              </c:numCache>
            </c:numRef>
          </c:val>
          <c:extLst>
            <c:ext xmlns:c16="http://schemas.microsoft.com/office/drawing/2014/chart" uri="{C3380CC4-5D6E-409C-BE32-E72D297353CC}">
              <c16:uniqueId val="{00000004-7E83-4D94-96B1-801822A5184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0641899759194837"/>
          <c:y val="0.44360210811572198"/>
          <c:w val="0.26774530378747935"/>
          <c:h val="0.1925492306861332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39000">
          <a:schemeClr val="bg2">
            <a:lumMod val="25000"/>
          </a:schemeClr>
        </a:gs>
        <a:gs pos="75000">
          <a:schemeClr val="bg2">
            <a:lumMod val="10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[Task_03_&amp;_04_&amp;_05_TownTeam_Sales.xlsx]Sheet2!PivotTable7</c:name>
    <c:fmtId val="2"/>
  </c:pivotSource>
  <c:chart>
    <c:title>
      <c:tx>
        <c:rich>
          <a:bodyPr rot="0" spcFirstLastPara="1" vertOverflow="ellipsis" vert="horz" wrap="square" anchor="ctr" anchorCtr="1"/>
          <a:lstStyle/>
          <a:p>
            <a:pPr>
              <a:defRPr sz="1800" b="1" i="0" u="none" strike="noStrike" kern="1200" spc="0" baseline="0">
                <a:solidFill>
                  <a:schemeClr val="accent2"/>
                </a:solidFill>
                <a:latin typeface="+mj-lt"/>
                <a:ea typeface="+mn-ea"/>
                <a:cs typeface="+mn-cs"/>
              </a:defRPr>
            </a:pPr>
            <a:r>
              <a:rPr lang="en-US" sz="1800" b="1">
                <a:solidFill>
                  <a:schemeClr val="accent2"/>
                </a:solidFill>
                <a:latin typeface="+mj-lt"/>
              </a:rPr>
              <a:t>Sum</a:t>
            </a:r>
            <a:r>
              <a:rPr lang="en-US" sz="1800" b="1" baseline="0">
                <a:solidFill>
                  <a:schemeClr val="accent2"/>
                </a:solidFill>
                <a:latin typeface="+mj-lt"/>
              </a:rPr>
              <a:t> of total sales for each month</a:t>
            </a:r>
            <a:endParaRPr lang="en-US" sz="1800" b="1">
              <a:solidFill>
                <a:schemeClr val="accent2"/>
              </a:solidFill>
              <a:latin typeface="+mj-lt"/>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accent2"/>
              </a:solidFill>
              <a:latin typeface="+mj-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Sheet2!$B$67</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Sheet2!$A$68:$A$80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Sheet2!$B$68:$B$80</c:f>
              <c:numCache>
                <c:formatCode>[$EGP]\ #,##0</c:formatCode>
                <c:ptCount val="12"/>
                <c:pt idx="0">
                  <c:v>87450</c:v>
                </c:pt>
                <c:pt idx="1">
                  <c:v>84900</c:v>
                </c:pt>
                <c:pt idx="2">
                  <c:v>94800</c:v>
                </c:pt>
                <c:pt idx="3">
                  <c:v>74650</c:v>
                </c:pt>
                <c:pt idx="4">
                  <c:v>83350</c:v>
                </c:pt>
                <c:pt idx="5">
                  <c:v>88900</c:v>
                </c:pt>
                <c:pt idx="6">
                  <c:v>87800</c:v>
                </c:pt>
                <c:pt idx="7">
                  <c:v>83150</c:v>
                </c:pt>
                <c:pt idx="8">
                  <c:v>88050</c:v>
                </c:pt>
                <c:pt idx="9">
                  <c:v>90400</c:v>
                </c:pt>
                <c:pt idx="10">
                  <c:v>60350</c:v>
                </c:pt>
                <c:pt idx="11">
                  <c:v>64200</c:v>
                </c:pt>
              </c:numCache>
            </c:numRef>
          </c:val>
          <c:smooth val="0"/>
          <c:extLst>
            <c:ext xmlns:c16="http://schemas.microsoft.com/office/drawing/2014/chart" uri="{C3380CC4-5D6E-409C-BE32-E72D297353CC}">
              <c16:uniqueId val="{00000000-F5C4-445C-89EC-01DDC10E8B46}"/>
            </c:ext>
          </c:extLst>
        </c:ser>
        <c:dLbls>
          <c:showLegendKey val="0"/>
          <c:showVal val="0"/>
          <c:showCatName val="0"/>
          <c:showSerName val="0"/>
          <c:showPercent val="0"/>
          <c:showBubbleSize val="0"/>
        </c:dLbls>
        <c:smooth val="0"/>
        <c:axId val="375945704"/>
        <c:axId val="139869912"/>
      </c:lineChart>
      <c:catAx>
        <c:axId val="375945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869912"/>
        <c:crosses val="autoZero"/>
        <c:auto val="1"/>
        <c:lblAlgn val="ctr"/>
        <c:lblOffset val="100"/>
        <c:noMultiLvlLbl val="0"/>
      </c:catAx>
      <c:valAx>
        <c:axId val="139869912"/>
        <c:scaling>
          <c:orientation val="minMax"/>
        </c:scaling>
        <c:delete val="1"/>
        <c:axPos val="l"/>
        <c:numFmt formatCode="[$EGP]\ #,##0" sourceLinked="1"/>
        <c:majorTickMark val="none"/>
        <c:minorTickMark val="none"/>
        <c:tickLblPos val="nextTo"/>
        <c:crossAx val="375945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2"/>
            </a:solidFill>
            <a:round/>
          </a:ln>
          <a:effectLst/>
        </c:spPr>
        <c:marker>
          <c:symbol val="none"/>
        </c:marker>
        <c:dLbl>
          <c:idx val="0"/>
          <c:layout>
            <c:manualLayout>
              <c:x val="-3.2956076297209105E-2"/>
              <c:y val="2.10748913688915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2"/>
            </a:solidFill>
            <a:round/>
          </a:ln>
          <a:effectLst/>
        </c:spPr>
        <c:marker>
          <c:symbol val="none"/>
        </c:marker>
        <c:dLbl>
          <c:idx val="0"/>
          <c:layout>
            <c:manualLayout>
              <c:x val="-3.5952083233319006E-2"/>
              <c:y val="9.48370111600123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2"/>
            </a:solidFill>
            <a:round/>
          </a:ln>
          <a:effectLst/>
        </c:spPr>
        <c:marker>
          <c:symbol val="none"/>
        </c:marker>
        <c:dLbl>
          <c:idx val="0"/>
          <c:layout>
            <c:manualLayout>
              <c:x val="-1.8289035507958986E-2"/>
              <c:y val="-3.1612337053337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2"/>
            </a:solidFill>
            <a:round/>
          </a:ln>
          <a:effectLst/>
        </c:spPr>
        <c:marker>
          <c:symbol val="none"/>
        </c:marker>
        <c:dLbl>
          <c:idx val="0"/>
          <c:layout>
            <c:manualLayout>
              <c:x val="-3.5952083233319006E-2"/>
              <c:y val="9.48370111600123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2"/>
            </a:solidFill>
            <a:round/>
          </a:ln>
          <a:effectLst/>
        </c:spPr>
        <c:marker>
          <c:symbol val="none"/>
        </c:marker>
        <c:dLbl>
          <c:idx val="0"/>
          <c:layout>
            <c:manualLayout>
              <c:x val="-3.2956076297209105E-2"/>
              <c:y val="2.10748913688915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2"/>
            </a:solidFill>
            <a:round/>
          </a:ln>
          <a:effectLst/>
        </c:spPr>
        <c:marker>
          <c:symbol val="none"/>
        </c:marker>
        <c:dLbl>
          <c:idx val="0"/>
          <c:layout>
            <c:manualLayout>
              <c:x val="-1.8289035507958986E-2"/>
              <c:y val="-3.1612337053337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818FB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layout>
            <c:manualLayout>
              <c:x val="-3.5952083233319006E-2"/>
              <c:y val="9.48370111600123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layout>
            <c:manualLayout>
              <c:x val="-3.2956076297209105E-2"/>
              <c:y val="2.10748913688915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layout>
            <c:manualLayout>
              <c:x val="-1.8289035507958986E-2"/>
              <c:y val="-3.1612337053337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Sum of Item quantity</c:v>
          </c:tx>
          <c:spPr>
            <a:solidFill>
              <a:srgbClr val="818FB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 Jeans - Levis</c:v>
              </c:pt>
              <c:pt idx="1">
                <c:v> Jeans - Denim</c:v>
              </c:pt>
              <c:pt idx="2">
                <c:v> T-shirt</c:v>
              </c:pt>
              <c:pt idx="3">
                <c:v> Jeans - Zara</c:v>
              </c:pt>
              <c:pt idx="4">
                <c:v> Jeans - Lega</c:v>
              </c:pt>
              <c:pt idx="5">
                <c:v> Shirt - Arrow</c:v>
              </c:pt>
              <c:pt idx="6">
                <c:v> Shirt - PE</c:v>
              </c:pt>
              <c:pt idx="7">
                <c:v> shirt</c:v>
              </c:pt>
              <c:pt idx="8">
                <c:v> Wallet</c:v>
              </c:pt>
              <c:pt idx="9">
                <c:v> Chain</c:v>
              </c:pt>
            </c:strLit>
          </c:cat>
          <c:val>
            <c:numLit>
              <c:formatCode>General</c:formatCode>
              <c:ptCount val="10"/>
              <c:pt idx="0">
                <c:v>231</c:v>
              </c:pt>
              <c:pt idx="1">
                <c:v>204</c:v>
              </c:pt>
              <c:pt idx="2">
                <c:v>204</c:v>
              </c:pt>
              <c:pt idx="3">
                <c:v>129</c:v>
              </c:pt>
              <c:pt idx="4">
                <c:v>68</c:v>
              </c:pt>
              <c:pt idx="5">
                <c:v>49</c:v>
              </c:pt>
              <c:pt idx="6">
                <c:v>71</c:v>
              </c:pt>
              <c:pt idx="7">
                <c:v>57</c:v>
              </c:pt>
              <c:pt idx="8">
                <c:v>56</c:v>
              </c:pt>
              <c:pt idx="9">
                <c:v>56</c:v>
              </c:pt>
            </c:numLit>
          </c:val>
          <c:extLst>
            <c:ext xmlns:c16="http://schemas.microsoft.com/office/drawing/2014/chart" uri="{C3380CC4-5D6E-409C-BE32-E72D297353CC}">
              <c16:uniqueId val="{00000000-C598-4064-A8ED-403C351E51D6}"/>
            </c:ext>
          </c:extLst>
        </c:ser>
        <c:dLbls>
          <c:showLegendKey val="0"/>
          <c:showVal val="0"/>
          <c:showCatName val="0"/>
          <c:showSerName val="0"/>
          <c:showPercent val="0"/>
          <c:showBubbleSize val="0"/>
        </c:dLbls>
        <c:gapWidth val="219"/>
        <c:overlap val="-27"/>
        <c:axId val="492484280"/>
        <c:axId val="491185360"/>
      </c:barChart>
      <c:lineChart>
        <c:grouping val="standard"/>
        <c:varyColors val="0"/>
        <c:ser>
          <c:idx val="1"/>
          <c:order val="1"/>
          <c:tx>
            <c:v>Sum of Total Sales2</c:v>
          </c:tx>
          <c:spPr>
            <a:ln w="28575" cap="rnd">
              <a:solidFill>
                <a:schemeClr val="accent2"/>
              </a:solidFill>
              <a:round/>
            </a:ln>
            <a:effectLst/>
          </c:spPr>
          <c:marker>
            <c:symbol val="none"/>
          </c:marker>
          <c:dPt>
            <c:idx val="0"/>
            <c:marker>
              <c:symbol val="none"/>
            </c:marker>
            <c:bubble3D val="0"/>
            <c:extLst>
              <c:ext xmlns:c16="http://schemas.microsoft.com/office/drawing/2014/chart" uri="{C3380CC4-5D6E-409C-BE32-E72D297353CC}">
                <c16:uniqueId val="{00000001-C598-4064-A8ED-403C351E51D6}"/>
              </c:ext>
            </c:extLst>
          </c:dPt>
          <c:dPt>
            <c:idx val="1"/>
            <c:marker>
              <c:symbol val="none"/>
            </c:marker>
            <c:bubble3D val="0"/>
            <c:extLst>
              <c:ext xmlns:c16="http://schemas.microsoft.com/office/drawing/2014/chart" uri="{C3380CC4-5D6E-409C-BE32-E72D297353CC}">
                <c16:uniqueId val="{00000002-C598-4064-A8ED-403C351E51D6}"/>
              </c:ext>
            </c:extLst>
          </c:dPt>
          <c:dPt>
            <c:idx val="2"/>
            <c:marker>
              <c:symbol val="none"/>
            </c:marker>
            <c:bubble3D val="0"/>
            <c:extLst>
              <c:ext xmlns:c16="http://schemas.microsoft.com/office/drawing/2014/chart" uri="{C3380CC4-5D6E-409C-BE32-E72D297353CC}">
                <c16:uniqueId val="{00000003-C598-4064-A8ED-403C351E51D6}"/>
              </c:ext>
            </c:extLst>
          </c:dPt>
          <c:dLbls>
            <c:dLbl>
              <c:idx val="0"/>
              <c:layout>
                <c:manualLayout>
                  <c:x val="-3.5952083233319006E-2"/>
                  <c:y val="9.48370111600123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598-4064-A8ED-403C351E51D6}"/>
                </c:ext>
              </c:extLst>
            </c:dLbl>
            <c:dLbl>
              <c:idx val="1"/>
              <c:layout>
                <c:manualLayout>
                  <c:x val="-3.2956076297209105E-2"/>
                  <c:y val="2.10748913688915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598-4064-A8ED-403C351E51D6}"/>
                </c:ext>
              </c:extLst>
            </c:dLbl>
            <c:dLbl>
              <c:idx val="2"/>
              <c:layout>
                <c:manualLayout>
                  <c:x val="-1.8289035507958986E-2"/>
                  <c:y val="-3.1612337053337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598-4064-A8ED-403C351E51D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 Jeans - Levis</c:v>
              </c:pt>
              <c:pt idx="1">
                <c:v> Jeans - Denim</c:v>
              </c:pt>
              <c:pt idx="2">
                <c:v> T-shirt</c:v>
              </c:pt>
              <c:pt idx="3">
                <c:v> Jeans - Zara</c:v>
              </c:pt>
              <c:pt idx="4">
                <c:v> Jeans - Lega</c:v>
              </c:pt>
              <c:pt idx="5">
                <c:v> Shirt - Arrow</c:v>
              </c:pt>
              <c:pt idx="6">
                <c:v> Shirt - PE</c:v>
              </c:pt>
              <c:pt idx="7">
                <c:v> shirt</c:v>
              </c:pt>
              <c:pt idx="8">
                <c:v> Wallet</c:v>
              </c:pt>
              <c:pt idx="9">
                <c:v> Chain</c:v>
              </c:pt>
            </c:strLit>
          </c:cat>
          <c:val>
            <c:numLit>
              <c:formatCode>General</c:formatCode>
              <c:ptCount val="10"/>
              <c:pt idx="0">
                <c:v>253900</c:v>
              </c:pt>
              <c:pt idx="1">
                <c:v>195800</c:v>
              </c:pt>
              <c:pt idx="2">
                <c:v>123000</c:v>
              </c:pt>
              <c:pt idx="3">
                <c:v>116100</c:v>
              </c:pt>
              <c:pt idx="4">
                <c:v>67800</c:v>
              </c:pt>
              <c:pt idx="5">
                <c:v>58500</c:v>
              </c:pt>
              <c:pt idx="6">
                <c:v>56800</c:v>
              </c:pt>
              <c:pt idx="7">
                <c:v>48500</c:v>
              </c:pt>
              <c:pt idx="8">
                <c:v>35800</c:v>
              </c:pt>
              <c:pt idx="9">
                <c:v>31800</c:v>
              </c:pt>
            </c:numLit>
          </c:val>
          <c:smooth val="0"/>
          <c:extLst>
            <c:ext xmlns:c16="http://schemas.microsoft.com/office/drawing/2014/chart" uri="{C3380CC4-5D6E-409C-BE32-E72D297353CC}">
              <c16:uniqueId val="{00000004-C598-4064-A8ED-403C351E51D6}"/>
            </c:ext>
          </c:extLst>
        </c:ser>
        <c:dLbls>
          <c:showLegendKey val="0"/>
          <c:showVal val="0"/>
          <c:showCatName val="0"/>
          <c:showSerName val="0"/>
          <c:showPercent val="0"/>
          <c:showBubbleSize val="0"/>
        </c:dLbls>
        <c:marker val="1"/>
        <c:smooth val="0"/>
        <c:axId val="491184184"/>
        <c:axId val="491184576"/>
      </c:lineChart>
      <c:catAx>
        <c:axId val="491184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91184576"/>
        <c:crosses val="autoZero"/>
        <c:auto val="1"/>
        <c:lblAlgn val="ctr"/>
        <c:lblOffset val="100"/>
        <c:noMultiLvlLbl val="0"/>
      </c:catAx>
      <c:valAx>
        <c:axId val="4911845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91184184"/>
        <c:crosses val="autoZero"/>
        <c:crossBetween val="between"/>
      </c:valAx>
      <c:valAx>
        <c:axId val="49118536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92484280"/>
        <c:crosses val="max"/>
        <c:crossBetween val="between"/>
      </c:valAx>
      <c:catAx>
        <c:axId val="492484280"/>
        <c:scaling>
          <c:orientation val="minMax"/>
        </c:scaling>
        <c:delete val="1"/>
        <c:axPos val="b"/>
        <c:numFmt formatCode="General" sourceLinked="1"/>
        <c:majorTickMark val="out"/>
        <c:minorTickMark val="none"/>
        <c:tickLblPos val="nextTo"/>
        <c:crossAx val="49118536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F5E8C7"/>
                </a:solidFill>
                <a:latin typeface="+mn-lt"/>
                <a:ea typeface="+mn-ea"/>
                <a:cs typeface="+mn-cs"/>
              </a:defRPr>
            </a:pPr>
            <a:r>
              <a:rPr lang="en-US" b="1">
                <a:solidFill>
                  <a:srgbClr val="F5E8C7"/>
                </a:solidFill>
              </a:rPr>
              <a:t>Sum of total sales for each</a:t>
            </a:r>
            <a:r>
              <a:rPr lang="en-US" b="1" baseline="0">
                <a:solidFill>
                  <a:srgbClr val="F5E8C7"/>
                </a:solidFill>
              </a:rPr>
              <a:t> category</a:t>
            </a:r>
            <a:endParaRPr lang="en-US" b="1">
              <a:solidFill>
                <a:srgbClr val="F5E8C7"/>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F5E8C7"/>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818FB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5E8C7"/>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rgbClr val="818FB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5E8C7"/>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Casual Wear</c:v>
              </c:pt>
              <c:pt idx="1">
                <c:v>Semi Formal</c:v>
              </c:pt>
              <c:pt idx="2">
                <c:v>Formal</c:v>
              </c:pt>
              <c:pt idx="3">
                <c:v>Accessories</c:v>
              </c:pt>
            </c:strLit>
          </c:cat>
          <c:val>
            <c:numLit>
              <c:formatCode>General</c:formatCode>
              <c:ptCount val="4"/>
              <c:pt idx="0">
                <c:v>633600</c:v>
              </c:pt>
              <c:pt idx="1">
                <c:v>179800</c:v>
              </c:pt>
              <c:pt idx="2">
                <c:v>107000</c:v>
              </c:pt>
              <c:pt idx="3">
                <c:v>67600</c:v>
              </c:pt>
            </c:numLit>
          </c:val>
          <c:extLst>
            <c:ext xmlns:c16="http://schemas.microsoft.com/office/drawing/2014/chart" uri="{C3380CC4-5D6E-409C-BE32-E72D297353CC}">
              <c16:uniqueId val="{00000000-662B-4F87-B33A-290EEAB4FA3C}"/>
            </c:ext>
          </c:extLst>
        </c:ser>
        <c:dLbls>
          <c:showLegendKey val="0"/>
          <c:showVal val="0"/>
          <c:showCatName val="0"/>
          <c:showSerName val="0"/>
          <c:showPercent val="0"/>
          <c:showBubbleSize val="0"/>
        </c:dLbls>
        <c:gapWidth val="219"/>
        <c:overlap val="-27"/>
        <c:axId val="492489768"/>
        <c:axId val="492490160"/>
      </c:barChart>
      <c:catAx>
        <c:axId val="492489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5E8C7"/>
                </a:solidFill>
                <a:latin typeface="+mn-lt"/>
                <a:ea typeface="+mn-ea"/>
                <a:cs typeface="+mn-cs"/>
              </a:defRPr>
            </a:pPr>
            <a:endParaRPr lang="en-US"/>
          </a:p>
        </c:txPr>
        <c:crossAx val="492490160"/>
        <c:crosses val="autoZero"/>
        <c:auto val="1"/>
        <c:lblAlgn val="ctr"/>
        <c:lblOffset val="100"/>
        <c:noMultiLvlLbl val="0"/>
      </c:catAx>
      <c:valAx>
        <c:axId val="492490160"/>
        <c:scaling>
          <c:orientation val="minMax"/>
        </c:scaling>
        <c:delete val="1"/>
        <c:axPos val="l"/>
        <c:numFmt formatCode="General" sourceLinked="1"/>
        <c:majorTickMark val="none"/>
        <c:minorTickMark val="none"/>
        <c:tickLblPos val="nextTo"/>
        <c:crossAx val="492489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F5E8C7"/>
                </a:solidFill>
                <a:latin typeface="+mn-lt"/>
                <a:ea typeface="+mn-ea"/>
                <a:cs typeface="+mn-cs"/>
              </a:defRPr>
            </a:pPr>
            <a:r>
              <a:rPr lang="en-US">
                <a:solidFill>
                  <a:srgbClr val="F5E8C7"/>
                </a:solidFill>
              </a:rPr>
              <a:t>Distribution of sales between on</a:t>
            </a:r>
            <a:r>
              <a:rPr lang="en-US" baseline="0">
                <a:solidFill>
                  <a:srgbClr val="F5E8C7"/>
                </a:solidFill>
              </a:rPr>
              <a:t> shop and online</a:t>
            </a:r>
            <a:endParaRPr lang="en-US">
              <a:solidFill>
                <a:srgbClr val="F5E8C7"/>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5E8C7"/>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818FB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5E8C7"/>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818FB4"/>
          </a:solidFill>
          <a:ln w="19050">
            <a:solidFill>
              <a:schemeClr val="lt1"/>
            </a:solidFill>
          </a:ln>
          <a:effectLst/>
        </c:spPr>
      </c:pivotFmt>
      <c:pivotFmt>
        <c:idx val="6"/>
        <c:spPr>
          <a:solidFill>
            <a:srgbClr val="F5E8C7"/>
          </a:solidFill>
          <a:ln w="19050">
            <a:solidFill>
              <a:schemeClr val="lt1"/>
            </a:solidFill>
          </a:ln>
          <a:effectLst/>
        </c:spPr>
      </c:pivotFmt>
    </c:pivotFmts>
    <c:plotArea>
      <c:layout/>
      <c:pieChart>
        <c:varyColors val="1"/>
        <c:ser>
          <c:idx val="0"/>
          <c:order val="0"/>
          <c:tx>
            <c:v>Total</c:v>
          </c:tx>
          <c:spPr>
            <a:solidFill>
              <a:srgbClr val="818FB4"/>
            </a:solidFill>
          </c:spPr>
          <c:dPt>
            <c:idx val="0"/>
            <c:bubble3D val="0"/>
            <c:spPr>
              <a:solidFill>
                <a:srgbClr val="818FB4"/>
              </a:solidFill>
              <a:ln w="19050">
                <a:solidFill>
                  <a:schemeClr val="lt1"/>
                </a:solidFill>
              </a:ln>
              <a:effectLst/>
            </c:spPr>
            <c:extLst>
              <c:ext xmlns:c16="http://schemas.microsoft.com/office/drawing/2014/chart" uri="{C3380CC4-5D6E-409C-BE32-E72D297353CC}">
                <c16:uniqueId val="{00000001-1C10-425E-842C-057038CEBEE2}"/>
              </c:ext>
            </c:extLst>
          </c:dPt>
          <c:dPt>
            <c:idx val="1"/>
            <c:bubble3D val="0"/>
            <c:spPr>
              <a:solidFill>
                <a:srgbClr val="F5E8C7"/>
              </a:solidFill>
              <a:ln w="19050">
                <a:solidFill>
                  <a:schemeClr val="lt1"/>
                </a:solidFill>
              </a:ln>
              <a:effectLst/>
            </c:spPr>
            <c:extLst>
              <c:ext xmlns:c16="http://schemas.microsoft.com/office/drawing/2014/chart" uri="{C3380CC4-5D6E-409C-BE32-E72D297353CC}">
                <c16:uniqueId val="{00000003-1C10-425E-842C-057038CEBEE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5E8C7"/>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On Shop</c:v>
              </c:pt>
              <c:pt idx="1">
                <c:v>Online Order</c:v>
              </c:pt>
            </c:strLit>
          </c:cat>
          <c:val>
            <c:numLit>
              <c:formatCode>General</c:formatCode>
              <c:ptCount val="2"/>
              <c:pt idx="0">
                <c:v>920350</c:v>
              </c:pt>
              <c:pt idx="1">
                <c:v>67650</c:v>
              </c:pt>
            </c:numLit>
          </c:val>
          <c:extLst>
            <c:ext xmlns:c16="http://schemas.microsoft.com/office/drawing/2014/chart" uri="{C3380CC4-5D6E-409C-BE32-E72D297353CC}">
              <c16:uniqueId val="{00000004-1C10-425E-842C-057038CEBEE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F5E8C7"/>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[Task_03_&amp;_04_&amp;_05_TownTeam_Sales.xlsx]Pivot tables!PivotTable2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tables'!$B$10</c:f>
              <c:strCache>
                <c:ptCount val="1"/>
                <c:pt idx="0">
                  <c:v>Sum of Item amount</c:v>
                </c:pt>
              </c:strCache>
            </c:strRef>
          </c:tx>
          <c:spPr>
            <a:solidFill>
              <a:schemeClr val="accent1"/>
            </a:solidFill>
            <a:ln>
              <a:noFill/>
            </a:ln>
            <a:effectLst/>
          </c:spPr>
          <c:invertIfNegative val="0"/>
          <c:cat>
            <c:strRef>
              <c:f>'Pivot tables'!$A$11:$A$21</c:f>
              <c:strCache>
                <c:ptCount val="10"/>
                <c:pt idx="0">
                  <c:v> Jeans - Levis</c:v>
                </c:pt>
                <c:pt idx="1">
                  <c:v> Jeans - Denim</c:v>
                </c:pt>
                <c:pt idx="2">
                  <c:v> T-shirt</c:v>
                </c:pt>
                <c:pt idx="3">
                  <c:v> Jeans - Zara</c:v>
                </c:pt>
                <c:pt idx="4">
                  <c:v> Jeans - Lega</c:v>
                </c:pt>
                <c:pt idx="5">
                  <c:v> Shirt - Arrow</c:v>
                </c:pt>
                <c:pt idx="6">
                  <c:v> Shirt - PE</c:v>
                </c:pt>
                <c:pt idx="7">
                  <c:v> shirt</c:v>
                </c:pt>
                <c:pt idx="8">
                  <c:v> Wallet</c:v>
                </c:pt>
                <c:pt idx="9">
                  <c:v> Chain</c:v>
                </c:pt>
              </c:strCache>
            </c:strRef>
          </c:cat>
          <c:val>
            <c:numRef>
              <c:f>'Pivot tables'!$B$11:$B$21</c:f>
              <c:numCache>
                <c:formatCode>[$EGP]\ #,##0</c:formatCode>
                <c:ptCount val="10"/>
                <c:pt idx="0">
                  <c:v>254100</c:v>
                </c:pt>
                <c:pt idx="1">
                  <c:v>195800</c:v>
                </c:pt>
                <c:pt idx="2">
                  <c:v>121800</c:v>
                </c:pt>
                <c:pt idx="3">
                  <c:v>116100</c:v>
                </c:pt>
                <c:pt idx="4">
                  <c:v>68000</c:v>
                </c:pt>
                <c:pt idx="5">
                  <c:v>58800</c:v>
                </c:pt>
                <c:pt idx="6">
                  <c:v>56000</c:v>
                </c:pt>
                <c:pt idx="7">
                  <c:v>48450</c:v>
                </c:pt>
                <c:pt idx="8">
                  <c:v>35800</c:v>
                </c:pt>
                <c:pt idx="9">
                  <c:v>31800</c:v>
                </c:pt>
              </c:numCache>
            </c:numRef>
          </c:val>
          <c:extLst>
            <c:ext xmlns:c16="http://schemas.microsoft.com/office/drawing/2014/chart" uri="{C3380CC4-5D6E-409C-BE32-E72D297353CC}">
              <c16:uniqueId val="{00000000-29B2-4138-B37B-20455D55BD28}"/>
            </c:ext>
          </c:extLst>
        </c:ser>
        <c:dLbls>
          <c:showLegendKey val="0"/>
          <c:showVal val="0"/>
          <c:showCatName val="0"/>
          <c:showSerName val="0"/>
          <c:showPercent val="0"/>
          <c:showBubbleSize val="0"/>
        </c:dLbls>
        <c:gapWidth val="219"/>
        <c:overlap val="-27"/>
        <c:axId val="492487024"/>
        <c:axId val="492485456"/>
      </c:barChart>
      <c:lineChart>
        <c:grouping val="standard"/>
        <c:varyColors val="0"/>
        <c:ser>
          <c:idx val="1"/>
          <c:order val="1"/>
          <c:tx>
            <c:strRef>
              <c:f>'Pivot tables'!$C$10</c:f>
              <c:strCache>
                <c:ptCount val="1"/>
                <c:pt idx="0">
                  <c:v>Sum of Item quantity</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tables'!$A$11:$A$21</c:f>
              <c:strCache>
                <c:ptCount val="10"/>
                <c:pt idx="0">
                  <c:v> Jeans - Levis</c:v>
                </c:pt>
                <c:pt idx="1">
                  <c:v> Jeans - Denim</c:v>
                </c:pt>
                <c:pt idx="2">
                  <c:v> T-shirt</c:v>
                </c:pt>
                <c:pt idx="3">
                  <c:v> Jeans - Zara</c:v>
                </c:pt>
                <c:pt idx="4">
                  <c:v> Jeans - Lega</c:v>
                </c:pt>
                <c:pt idx="5">
                  <c:v> Shirt - Arrow</c:v>
                </c:pt>
                <c:pt idx="6">
                  <c:v> Shirt - PE</c:v>
                </c:pt>
                <c:pt idx="7">
                  <c:v> shirt</c:v>
                </c:pt>
                <c:pt idx="8">
                  <c:v> Wallet</c:v>
                </c:pt>
                <c:pt idx="9">
                  <c:v> Chain</c:v>
                </c:pt>
              </c:strCache>
            </c:strRef>
          </c:cat>
          <c:val>
            <c:numRef>
              <c:f>'Pivot tables'!$C$11:$C$21</c:f>
              <c:numCache>
                <c:formatCode>General</c:formatCode>
                <c:ptCount val="10"/>
                <c:pt idx="0">
                  <c:v>231</c:v>
                </c:pt>
                <c:pt idx="1">
                  <c:v>204</c:v>
                </c:pt>
                <c:pt idx="2">
                  <c:v>203</c:v>
                </c:pt>
                <c:pt idx="3">
                  <c:v>129</c:v>
                </c:pt>
                <c:pt idx="4">
                  <c:v>68</c:v>
                </c:pt>
                <c:pt idx="5">
                  <c:v>49</c:v>
                </c:pt>
                <c:pt idx="6">
                  <c:v>70</c:v>
                </c:pt>
                <c:pt idx="7">
                  <c:v>57</c:v>
                </c:pt>
                <c:pt idx="8">
                  <c:v>56</c:v>
                </c:pt>
                <c:pt idx="9">
                  <c:v>56</c:v>
                </c:pt>
              </c:numCache>
            </c:numRef>
          </c:val>
          <c:smooth val="0"/>
          <c:extLst>
            <c:ext xmlns:c16="http://schemas.microsoft.com/office/drawing/2014/chart" uri="{C3380CC4-5D6E-409C-BE32-E72D297353CC}">
              <c16:uniqueId val="{00000001-29B2-4138-B37B-20455D55BD28}"/>
            </c:ext>
          </c:extLst>
        </c:ser>
        <c:dLbls>
          <c:showLegendKey val="0"/>
          <c:showVal val="0"/>
          <c:showCatName val="0"/>
          <c:showSerName val="0"/>
          <c:showPercent val="0"/>
          <c:showBubbleSize val="0"/>
        </c:dLbls>
        <c:marker val="1"/>
        <c:smooth val="0"/>
        <c:axId val="492486240"/>
        <c:axId val="492485848"/>
      </c:lineChart>
      <c:catAx>
        <c:axId val="492487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485456"/>
        <c:crosses val="autoZero"/>
        <c:auto val="1"/>
        <c:lblAlgn val="ctr"/>
        <c:lblOffset val="100"/>
        <c:noMultiLvlLbl val="0"/>
      </c:catAx>
      <c:valAx>
        <c:axId val="492485456"/>
        <c:scaling>
          <c:orientation val="minMax"/>
        </c:scaling>
        <c:delete val="0"/>
        <c:axPos val="l"/>
        <c:numFmt formatCode="[$EGP]\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487024"/>
        <c:crosses val="autoZero"/>
        <c:crossBetween val="between"/>
      </c:valAx>
      <c:valAx>
        <c:axId val="49248584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486240"/>
        <c:crosses val="max"/>
        <c:crossBetween val="between"/>
      </c:valAx>
      <c:catAx>
        <c:axId val="492486240"/>
        <c:scaling>
          <c:orientation val="minMax"/>
        </c:scaling>
        <c:delete val="1"/>
        <c:axPos val="b"/>
        <c:numFmt formatCode="General" sourceLinked="1"/>
        <c:majorTickMark val="out"/>
        <c:minorTickMark val="none"/>
        <c:tickLblPos val="nextTo"/>
        <c:crossAx val="49248584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[Task_03_&amp;_04_&amp;_05_TownTeam_Sales.xlsx]Pivot tables!PivotTable3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tables'!$B$26</c:f>
              <c:strCache>
                <c:ptCount val="1"/>
                <c:pt idx="0">
                  <c:v>Sum of Item amount</c:v>
                </c:pt>
              </c:strCache>
            </c:strRef>
          </c:tx>
          <c:spPr>
            <a:solidFill>
              <a:schemeClr val="accent1"/>
            </a:solidFill>
            <a:ln>
              <a:noFill/>
            </a:ln>
            <a:effectLst/>
          </c:spPr>
          <c:invertIfNegative val="0"/>
          <c:cat>
            <c:strRef>
              <c:f>'Pivot tables'!$A$27:$A$31</c:f>
              <c:strCache>
                <c:ptCount val="4"/>
                <c:pt idx="0">
                  <c:v>Casual Wear</c:v>
                </c:pt>
                <c:pt idx="1">
                  <c:v>Semi Formal</c:v>
                </c:pt>
                <c:pt idx="2">
                  <c:v>Formal</c:v>
                </c:pt>
                <c:pt idx="3">
                  <c:v>Accessories</c:v>
                </c:pt>
              </c:strCache>
            </c:strRef>
          </c:cat>
          <c:val>
            <c:numRef>
              <c:f>'Pivot tables'!$B$27:$B$31</c:f>
              <c:numCache>
                <c:formatCode>[$EGP]\ #,##0</c:formatCode>
                <c:ptCount val="4"/>
                <c:pt idx="0">
                  <c:v>634000</c:v>
                </c:pt>
                <c:pt idx="1">
                  <c:v>177800</c:v>
                </c:pt>
                <c:pt idx="2">
                  <c:v>107250</c:v>
                </c:pt>
                <c:pt idx="3">
                  <c:v>67600</c:v>
                </c:pt>
              </c:numCache>
            </c:numRef>
          </c:val>
          <c:extLst>
            <c:ext xmlns:c16="http://schemas.microsoft.com/office/drawing/2014/chart" uri="{C3380CC4-5D6E-409C-BE32-E72D297353CC}">
              <c16:uniqueId val="{00000000-9355-41AB-8973-85D33FE7DE35}"/>
            </c:ext>
          </c:extLst>
        </c:ser>
        <c:dLbls>
          <c:showLegendKey val="0"/>
          <c:showVal val="0"/>
          <c:showCatName val="0"/>
          <c:showSerName val="0"/>
          <c:showPercent val="0"/>
          <c:showBubbleSize val="0"/>
        </c:dLbls>
        <c:gapWidth val="219"/>
        <c:overlap val="-27"/>
        <c:axId val="492487808"/>
        <c:axId val="492488200"/>
      </c:barChart>
      <c:lineChart>
        <c:grouping val="standard"/>
        <c:varyColors val="0"/>
        <c:ser>
          <c:idx val="1"/>
          <c:order val="1"/>
          <c:tx>
            <c:strRef>
              <c:f>'Pivot tables'!$C$26</c:f>
              <c:strCache>
                <c:ptCount val="1"/>
                <c:pt idx="0">
                  <c:v>Sum of Item amount2</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tables'!$A$27:$A$31</c:f>
              <c:strCache>
                <c:ptCount val="4"/>
                <c:pt idx="0">
                  <c:v>Casual Wear</c:v>
                </c:pt>
                <c:pt idx="1">
                  <c:v>Semi Formal</c:v>
                </c:pt>
                <c:pt idx="2">
                  <c:v>Formal</c:v>
                </c:pt>
                <c:pt idx="3">
                  <c:v>Accessories</c:v>
                </c:pt>
              </c:strCache>
            </c:strRef>
          </c:cat>
          <c:val>
            <c:numRef>
              <c:f>'Pivot tables'!$C$27:$C$31</c:f>
              <c:numCache>
                <c:formatCode>0.00%</c:formatCode>
                <c:ptCount val="4"/>
                <c:pt idx="0">
                  <c:v>0.6425784219328029</c:v>
                </c:pt>
                <c:pt idx="1">
                  <c:v>0.18020574671869458</c:v>
                </c:pt>
                <c:pt idx="2">
                  <c:v>0.10870116049257589</c:v>
                </c:pt>
                <c:pt idx="3">
                  <c:v>6.8514670855926621E-2</c:v>
                </c:pt>
              </c:numCache>
            </c:numRef>
          </c:val>
          <c:smooth val="0"/>
          <c:extLst>
            <c:ext xmlns:c16="http://schemas.microsoft.com/office/drawing/2014/chart" uri="{C3380CC4-5D6E-409C-BE32-E72D297353CC}">
              <c16:uniqueId val="{00000001-9355-41AB-8973-85D33FE7DE35}"/>
            </c:ext>
          </c:extLst>
        </c:ser>
        <c:dLbls>
          <c:showLegendKey val="0"/>
          <c:showVal val="0"/>
          <c:showCatName val="0"/>
          <c:showSerName val="0"/>
          <c:showPercent val="0"/>
          <c:showBubbleSize val="0"/>
        </c:dLbls>
        <c:marker val="1"/>
        <c:smooth val="0"/>
        <c:axId val="492488984"/>
        <c:axId val="492488592"/>
      </c:lineChart>
      <c:catAx>
        <c:axId val="492487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488200"/>
        <c:crosses val="autoZero"/>
        <c:auto val="1"/>
        <c:lblAlgn val="ctr"/>
        <c:lblOffset val="100"/>
        <c:noMultiLvlLbl val="0"/>
      </c:catAx>
      <c:valAx>
        <c:axId val="492488200"/>
        <c:scaling>
          <c:orientation val="minMax"/>
        </c:scaling>
        <c:delete val="0"/>
        <c:axPos val="l"/>
        <c:numFmt formatCode="[$EGP]\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487808"/>
        <c:crosses val="autoZero"/>
        <c:crossBetween val="between"/>
      </c:valAx>
      <c:valAx>
        <c:axId val="49248859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488984"/>
        <c:crosses val="max"/>
        <c:crossBetween val="between"/>
      </c:valAx>
      <c:catAx>
        <c:axId val="492488984"/>
        <c:scaling>
          <c:orientation val="minMax"/>
        </c:scaling>
        <c:delete val="1"/>
        <c:axPos val="b"/>
        <c:numFmt formatCode="General" sourceLinked="1"/>
        <c:majorTickMark val="out"/>
        <c:minorTickMark val="none"/>
        <c:tickLblPos val="nextTo"/>
        <c:crossAx val="49248859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[Task_03_&amp;_04_&amp;_05_TownTeam_Sales.xlsx]Pivot tables!PivotTable4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chemeClr val="dk1"/>
                </a:solidFill>
                <a:effectLst/>
              </a:rPr>
              <a:t>Order Types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tables'!$B$37</c:f>
              <c:strCache>
                <c:ptCount val="1"/>
                <c:pt idx="0">
                  <c:v>Total</c:v>
                </c:pt>
              </c:strCache>
            </c:strRef>
          </c:tx>
          <c:spPr>
            <a:solidFill>
              <a:schemeClr val="accent1"/>
            </a:solidFill>
            <a:ln>
              <a:noFill/>
            </a:ln>
            <a:effectLst/>
          </c:spPr>
          <c:invertIfNegative val="0"/>
          <c:cat>
            <c:strRef>
              <c:f>'Pivot tables'!$A$38:$A$40</c:f>
              <c:strCache>
                <c:ptCount val="2"/>
                <c:pt idx="0">
                  <c:v>On Shop</c:v>
                </c:pt>
                <c:pt idx="1">
                  <c:v>Online Order</c:v>
                </c:pt>
              </c:strCache>
            </c:strRef>
          </c:cat>
          <c:val>
            <c:numRef>
              <c:f>'Pivot tables'!$B$38:$B$40</c:f>
              <c:numCache>
                <c:formatCode>[$EGP]\ #,##0</c:formatCode>
                <c:ptCount val="2"/>
                <c:pt idx="0">
                  <c:v>920700</c:v>
                </c:pt>
                <c:pt idx="1">
                  <c:v>65950</c:v>
                </c:pt>
              </c:numCache>
            </c:numRef>
          </c:val>
          <c:extLst>
            <c:ext xmlns:c16="http://schemas.microsoft.com/office/drawing/2014/chart" uri="{C3380CC4-5D6E-409C-BE32-E72D297353CC}">
              <c16:uniqueId val="{00000000-F9E0-46C6-8E45-54EADCA49F72}"/>
            </c:ext>
          </c:extLst>
        </c:ser>
        <c:dLbls>
          <c:showLegendKey val="0"/>
          <c:showVal val="0"/>
          <c:showCatName val="0"/>
          <c:showSerName val="0"/>
          <c:showPercent val="0"/>
          <c:showBubbleSize val="0"/>
        </c:dLbls>
        <c:gapWidth val="219"/>
        <c:overlap val="-27"/>
        <c:axId val="495281648"/>
        <c:axId val="495283608"/>
      </c:barChart>
      <c:catAx>
        <c:axId val="495281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283608"/>
        <c:crosses val="autoZero"/>
        <c:auto val="1"/>
        <c:lblAlgn val="ctr"/>
        <c:lblOffset val="100"/>
        <c:noMultiLvlLbl val="0"/>
      </c:catAx>
      <c:valAx>
        <c:axId val="495283608"/>
        <c:scaling>
          <c:orientation val="minMax"/>
        </c:scaling>
        <c:delete val="0"/>
        <c:axPos val="l"/>
        <c:numFmt formatCode="[$EGP]\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281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[Task_03_&amp;_04_&amp;_05_TownTeam_Sales.xlsx]Pivot tables!PivotTable5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chemeClr val="dk1"/>
                </a:solidFill>
                <a:effectLst/>
              </a:rPr>
              <a:t>Monthly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tables'!$B$45</c:f>
              <c:strCache>
                <c:ptCount val="1"/>
                <c:pt idx="0">
                  <c:v>Total</c:v>
                </c:pt>
              </c:strCache>
            </c:strRef>
          </c:tx>
          <c:spPr>
            <a:ln w="28575" cap="rnd">
              <a:solidFill>
                <a:schemeClr val="accent1"/>
              </a:solidFill>
              <a:round/>
            </a:ln>
            <a:effectLst/>
          </c:spPr>
          <c:marker>
            <c:symbol val="none"/>
          </c:marker>
          <c:cat>
            <c:strRef>
              <c:f>'Pivot tables'!$A$46:$A$58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tables'!$B$46:$B$58</c:f>
              <c:numCache>
                <c:formatCode>[$EGP]\ #,##0</c:formatCode>
                <c:ptCount val="12"/>
                <c:pt idx="0">
                  <c:v>87450</c:v>
                </c:pt>
                <c:pt idx="1">
                  <c:v>84250</c:v>
                </c:pt>
                <c:pt idx="2">
                  <c:v>94200</c:v>
                </c:pt>
                <c:pt idx="3">
                  <c:v>74650</c:v>
                </c:pt>
                <c:pt idx="4">
                  <c:v>83350</c:v>
                </c:pt>
                <c:pt idx="5">
                  <c:v>88900</c:v>
                </c:pt>
                <c:pt idx="6">
                  <c:v>87800</c:v>
                </c:pt>
                <c:pt idx="7">
                  <c:v>83150</c:v>
                </c:pt>
                <c:pt idx="8">
                  <c:v>88050</c:v>
                </c:pt>
                <c:pt idx="9">
                  <c:v>90400</c:v>
                </c:pt>
                <c:pt idx="10">
                  <c:v>60350</c:v>
                </c:pt>
                <c:pt idx="11">
                  <c:v>64100</c:v>
                </c:pt>
              </c:numCache>
            </c:numRef>
          </c:val>
          <c:smooth val="0"/>
          <c:extLst>
            <c:ext xmlns:c16="http://schemas.microsoft.com/office/drawing/2014/chart" uri="{C3380CC4-5D6E-409C-BE32-E72D297353CC}">
              <c16:uniqueId val="{00000000-4876-4E71-B1DD-1A0D74F7895D}"/>
            </c:ext>
          </c:extLst>
        </c:ser>
        <c:dLbls>
          <c:showLegendKey val="0"/>
          <c:showVal val="0"/>
          <c:showCatName val="0"/>
          <c:showSerName val="0"/>
          <c:showPercent val="0"/>
          <c:showBubbleSize val="0"/>
        </c:dLbls>
        <c:smooth val="0"/>
        <c:axId val="495278512"/>
        <c:axId val="495278120"/>
      </c:lineChart>
      <c:catAx>
        <c:axId val="495278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278120"/>
        <c:crosses val="autoZero"/>
        <c:auto val="1"/>
        <c:lblAlgn val="ctr"/>
        <c:lblOffset val="100"/>
        <c:noMultiLvlLbl val="0"/>
      </c:catAx>
      <c:valAx>
        <c:axId val="495278120"/>
        <c:scaling>
          <c:orientation val="minMax"/>
        </c:scaling>
        <c:delete val="0"/>
        <c:axPos val="l"/>
        <c:numFmt formatCode="[$EGP]\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278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[Task_03_&amp;_04_&amp;_05_TownTeam_Sales.xlsx]Pivot tables!PivotTable2</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4DF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rgbClr val="F4EAE0"/>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FAF6F0"/>
            </a:solidFill>
            <a:round/>
          </a:ln>
          <a:effectLst/>
        </c:spPr>
        <c:marker>
          <c:symbol val="circle"/>
          <c:size val="5"/>
          <c:spPr>
            <a:solidFill>
              <a:srgbClr val="F4EAE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rgbClr val="F4EAE0"/>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tables'!$B$10</c:f>
              <c:strCache>
                <c:ptCount val="1"/>
                <c:pt idx="0">
                  <c:v>Sum of Item amount</c:v>
                </c:pt>
              </c:strCache>
            </c:strRef>
          </c:tx>
          <c:spPr>
            <a:solidFill>
              <a:srgbClr val="F4DFC8"/>
            </a:solidFill>
            <a:ln>
              <a:noFill/>
            </a:ln>
            <a:effectLst/>
          </c:spPr>
          <c:invertIfNegative val="0"/>
          <c:cat>
            <c:strRef>
              <c:f>'Pivot tables'!$A$11:$A$21</c:f>
              <c:strCache>
                <c:ptCount val="10"/>
                <c:pt idx="0">
                  <c:v> Jeans - Levis</c:v>
                </c:pt>
                <c:pt idx="1">
                  <c:v> Jeans - Denim</c:v>
                </c:pt>
                <c:pt idx="2">
                  <c:v> T-shirt</c:v>
                </c:pt>
                <c:pt idx="3">
                  <c:v> Jeans - Zara</c:v>
                </c:pt>
                <c:pt idx="4">
                  <c:v> Jeans - Lega</c:v>
                </c:pt>
                <c:pt idx="5">
                  <c:v> Shirt - Arrow</c:v>
                </c:pt>
                <c:pt idx="6">
                  <c:v> Shirt - PE</c:v>
                </c:pt>
                <c:pt idx="7">
                  <c:v> shirt</c:v>
                </c:pt>
                <c:pt idx="8">
                  <c:v> Wallet</c:v>
                </c:pt>
                <c:pt idx="9">
                  <c:v> Chain</c:v>
                </c:pt>
              </c:strCache>
            </c:strRef>
          </c:cat>
          <c:val>
            <c:numRef>
              <c:f>'Pivot tables'!$B$11:$B$21</c:f>
              <c:numCache>
                <c:formatCode>[$EGP]\ #,##0</c:formatCode>
                <c:ptCount val="10"/>
                <c:pt idx="0">
                  <c:v>254100</c:v>
                </c:pt>
                <c:pt idx="1">
                  <c:v>195800</c:v>
                </c:pt>
                <c:pt idx="2">
                  <c:v>121800</c:v>
                </c:pt>
                <c:pt idx="3">
                  <c:v>116100</c:v>
                </c:pt>
                <c:pt idx="4">
                  <c:v>68000</c:v>
                </c:pt>
                <c:pt idx="5">
                  <c:v>58800</c:v>
                </c:pt>
                <c:pt idx="6">
                  <c:v>56000</c:v>
                </c:pt>
                <c:pt idx="7">
                  <c:v>48450</c:v>
                </c:pt>
                <c:pt idx="8">
                  <c:v>35800</c:v>
                </c:pt>
                <c:pt idx="9">
                  <c:v>31800</c:v>
                </c:pt>
              </c:numCache>
            </c:numRef>
          </c:val>
          <c:extLst>
            <c:ext xmlns:c16="http://schemas.microsoft.com/office/drawing/2014/chart" uri="{C3380CC4-5D6E-409C-BE32-E72D297353CC}">
              <c16:uniqueId val="{00000000-B724-4CE4-AB50-EE11B8F74034}"/>
            </c:ext>
          </c:extLst>
        </c:ser>
        <c:dLbls>
          <c:showLegendKey val="0"/>
          <c:showVal val="0"/>
          <c:showCatName val="0"/>
          <c:showSerName val="0"/>
          <c:showPercent val="0"/>
          <c:showBubbleSize val="0"/>
        </c:dLbls>
        <c:gapWidth val="219"/>
        <c:overlap val="-27"/>
        <c:axId val="495276160"/>
        <c:axId val="495280864"/>
      </c:barChart>
      <c:lineChart>
        <c:grouping val="standard"/>
        <c:varyColors val="0"/>
        <c:ser>
          <c:idx val="1"/>
          <c:order val="1"/>
          <c:tx>
            <c:strRef>
              <c:f>'Pivot tables'!$C$10</c:f>
              <c:strCache>
                <c:ptCount val="1"/>
                <c:pt idx="0">
                  <c:v>Sum of Item quantity</c:v>
                </c:pt>
              </c:strCache>
            </c:strRef>
          </c:tx>
          <c:spPr>
            <a:ln w="28575" cap="rnd">
              <a:solidFill>
                <a:srgbClr val="FAF6F0"/>
              </a:solidFill>
              <a:round/>
            </a:ln>
            <a:effectLst/>
          </c:spPr>
          <c:marker>
            <c:symbol val="circle"/>
            <c:size val="5"/>
            <c:spPr>
              <a:solidFill>
                <a:srgbClr val="F4EAE0"/>
              </a:solidFill>
              <a:ln w="9525">
                <a:solidFill>
                  <a:schemeClr val="accent2"/>
                </a:solidFill>
              </a:ln>
              <a:effectLst/>
            </c:spPr>
          </c:marker>
          <c:cat>
            <c:strRef>
              <c:f>'Pivot tables'!$A$11:$A$21</c:f>
              <c:strCache>
                <c:ptCount val="10"/>
                <c:pt idx="0">
                  <c:v> Jeans - Levis</c:v>
                </c:pt>
                <c:pt idx="1">
                  <c:v> Jeans - Denim</c:v>
                </c:pt>
                <c:pt idx="2">
                  <c:v> T-shirt</c:v>
                </c:pt>
                <c:pt idx="3">
                  <c:v> Jeans - Zara</c:v>
                </c:pt>
                <c:pt idx="4">
                  <c:v> Jeans - Lega</c:v>
                </c:pt>
                <c:pt idx="5">
                  <c:v> Shirt - Arrow</c:v>
                </c:pt>
                <c:pt idx="6">
                  <c:v> Shirt - PE</c:v>
                </c:pt>
                <c:pt idx="7">
                  <c:v> shirt</c:v>
                </c:pt>
                <c:pt idx="8">
                  <c:v> Wallet</c:v>
                </c:pt>
                <c:pt idx="9">
                  <c:v> Chain</c:v>
                </c:pt>
              </c:strCache>
            </c:strRef>
          </c:cat>
          <c:val>
            <c:numRef>
              <c:f>'Pivot tables'!$C$11:$C$21</c:f>
              <c:numCache>
                <c:formatCode>General</c:formatCode>
                <c:ptCount val="10"/>
                <c:pt idx="0">
                  <c:v>231</c:v>
                </c:pt>
                <c:pt idx="1">
                  <c:v>204</c:v>
                </c:pt>
                <c:pt idx="2">
                  <c:v>203</c:v>
                </c:pt>
                <c:pt idx="3">
                  <c:v>129</c:v>
                </c:pt>
                <c:pt idx="4">
                  <c:v>68</c:v>
                </c:pt>
                <c:pt idx="5">
                  <c:v>49</c:v>
                </c:pt>
                <c:pt idx="6">
                  <c:v>70</c:v>
                </c:pt>
                <c:pt idx="7">
                  <c:v>57</c:v>
                </c:pt>
                <c:pt idx="8">
                  <c:v>56</c:v>
                </c:pt>
                <c:pt idx="9">
                  <c:v>56</c:v>
                </c:pt>
              </c:numCache>
            </c:numRef>
          </c:val>
          <c:smooth val="0"/>
          <c:extLst>
            <c:ext xmlns:c16="http://schemas.microsoft.com/office/drawing/2014/chart" uri="{C3380CC4-5D6E-409C-BE32-E72D297353CC}">
              <c16:uniqueId val="{00000001-B724-4CE4-AB50-EE11B8F74034}"/>
            </c:ext>
          </c:extLst>
        </c:ser>
        <c:dLbls>
          <c:showLegendKey val="0"/>
          <c:showVal val="0"/>
          <c:showCatName val="0"/>
          <c:showSerName val="0"/>
          <c:showPercent val="0"/>
          <c:showBubbleSize val="0"/>
        </c:dLbls>
        <c:marker val="1"/>
        <c:smooth val="0"/>
        <c:axId val="495281256"/>
        <c:axId val="495279296"/>
      </c:lineChart>
      <c:catAx>
        <c:axId val="495276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1" i="0" u="none" strike="noStrike" kern="1200" baseline="0">
                <a:solidFill>
                  <a:srgbClr val="F4EAE0"/>
                </a:solidFill>
                <a:latin typeface="+mn-lt"/>
                <a:ea typeface="+mn-ea"/>
                <a:cs typeface="+mn-cs"/>
              </a:defRPr>
            </a:pPr>
            <a:endParaRPr lang="en-US"/>
          </a:p>
        </c:txPr>
        <c:crossAx val="495280864"/>
        <c:crosses val="autoZero"/>
        <c:auto val="1"/>
        <c:lblAlgn val="ctr"/>
        <c:lblOffset val="100"/>
        <c:noMultiLvlLbl val="0"/>
      </c:catAx>
      <c:valAx>
        <c:axId val="495280864"/>
        <c:scaling>
          <c:orientation val="minMax"/>
        </c:scaling>
        <c:delete val="0"/>
        <c:axPos val="l"/>
        <c:numFmt formatCode="[$EGP]\ #,##0" sourceLinked="1"/>
        <c:majorTickMark val="none"/>
        <c:minorTickMark val="none"/>
        <c:tickLblPos val="nextTo"/>
        <c:spPr>
          <a:noFill/>
          <a:ln>
            <a:noFill/>
          </a:ln>
          <a:effectLst/>
        </c:spPr>
        <c:txPr>
          <a:bodyPr rot="-60000000" spcFirstLastPara="1" vertOverflow="ellipsis" vert="horz" wrap="square" anchor="ctr" anchorCtr="1"/>
          <a:lstStyle/>
          <a:p>
            <a:pPr>
              <a:defRPr lang="en-US" sz="1100" b="1" i="0" u="none" strike="noStrike" kern="1200" baseline="0">
                <a:solidFill>
                  <a:srgbClr val="F4EAE0"/>
                </a:solidFill>
                <a:latin typeface="+mn-lt"/>
                <a:ea typeface="+mn-ea"/>
                <a:cs typeface="+mn-cs"/>
              </a:defRPr>
            </a:pPr>
            <a:endParaRPr lang="en-US"/>
          </a:p>
        </c:txPr>
        <c:crossAx val="495276160"/>
        <c:crosses val="autoZero"/>
        <c:crossBetween val="between"/>
      </c:valAx>
      <c:valAx>
        <c:axId val="49527929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US" sz="1100" b="1" i="0" u="none" strike="noStrike" kern="1200" baseline="0">
                <a:solidFill>
                  <a:srgbClr val="F4EAE0"/>
                </a:solidFill>
                <a:latin typeface="+mn-lt"/>
                <a:ea typeface="+mn-ea"/>
                <a:cs typeface="+mn-cs"/>
              </a:defRPr>
            </a:pPr>
            <a:endParaRPr lang="en-US"/>
          </a:p>
        </c:txPr>
        <c:crossAx val="495281256"/>
        <c:crosses val="max"/>
        <c:crossBetween val="between"/>
      </c:valAx>
      <c:catAx>
        <c:axId val="495281256"/>
        <c:scaling>
          <c:orientation val="minMax"/>
        </c:scaling>
        <c:delete val="1"/>
        <c:axPos val="b"/>
        <c:numFmt formatCode="General" sourceLinked="1"/>
        <c:majorTickMark val="out"/>
        <c:minorTickMark val="none"/>
        <c:tickLblPos val="nextTo"/>
        <c:crossAx val="49527929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100" b="1" i="0" u="none" strike="noStrike" kern="1200" baseline="0">
              <a:solidFill>
                <a:srgbClr val="F4EAE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lgn="ctr">
        <a:defRPr lang="en-US" sz="1100" b="1" i="0" u="none" strike="noStrike" kern="1200" baseline="0">
          <a:solidFill>
            <a:srgbClr val="F4EAE0"/>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[Task_03_&amp;_04_&amp;_05_TownTeam_Sales.xlsx]Pivot tables!PivotTable3</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AF6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rgbClr val="F4EAE0"/>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F4DFC8"/>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rgbClr val="F4EAE0"/>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tables'!$B$26</c:f>
              <c:strCache>
                <c:ptCount val="1"/>
                <c:pt idx="0">
                  <c:v>Sum of Item amount</c:v>
                </c:pt>
              </c:strCache>
            </c:strRef>
          </c:tx>
          <c:spPr>
            <a:solidFill>
              <a:srgbClr val="FAF6F0"/>
            </a:solidFill>
            <a:ln>
              <a:noFill/>
            </a:ln>
            <a:effectLst/>
          </c:spPr>
          <c:invertIfNegative val="0"/>
          <c:cat>
            <c:strRef>
              <c:f>'Pivot tables'!$A$27:$A$31</c:f>
              <c:strCache>
                <c:ptCount val="4"/>
                <c:pt idx="0">
                  <c:v>Casual Wear</c:v>
                </c:pt>
                <c:pt idx="1">
                  <c:v>Semi Formal</c:v>
                </c:pt>
                <c:pt idx="2">
                  <c:v>Formal</c:v>
                </c:pt>
                <c:pt idx="3">
                  <c:v>Accessories</c:v>
                </c:pt>
              </c:strCache>
            </c:strRef>
          </c:cat>
          <c:val>
            <c:numRef>
              <c:f>'Pivot tables'!$B$27:$B$31</c:f>
              <c:numCache>
                <c:formatCode>[$EGP]\ #,##0</c:formatCode>
                <c:ptCount val="4"/>
                <c:pt idx="0">
                  <c:v>634000</c:v>
                </c:pt>
                <c:pt idx="1">
                  <c:v>177800</c:v>
                </c:pt>
                <c:pt idx="2">
                  <c:v>107250</c:v>
                </c:pt>
                <c:pt idx="3">
                  <c:v>67600</c:v>
                </c:pt>
              </c:numCache>
            </c:numRef>
          </c:val>
          <c:extLst>
            <c:ext xmlns:c16="http://schemas.microsoft.com/office/drawing/2014/chart" uri="{C3380CC4-5D6E-409C-BE32-E72D297353CC}">
              <c16:uniqueId val="{00000000-901A-49B8-A7D3-E497747D38BA}"/>
            </c:ext>
          </c:extLst>
        </c:ser>
        <c:dLbls>
          <c:showLegendKey val="0"/>
          <c:showVal val="0"/>
          <c:showCatName val="0"/>
          <c:showSerName val="0"/>
          <c:showPercent val="0"/>
          <c:showBubbleSize val="0"/>
        </c:dLbls>
        <c:gapWidth val="219"/>
        <c:overlap val="-27"/>
        <c:axId val="495276552"/>
        <c:axId val="495276944"/>
      </c:barChart>
      <c:lineChart>
        <c:grouping val="standard"/>
        <c:varyColors val="0"/>
        <c:ser>
          <c:idx val="1"/>
          <c:order val="1"/>
          <c:tx>
            <c:strRef>
              <c:f>'Pivot tables'!$C$26</c:f>
              <c:strCache>
                <c:ptCount val="1"/>
                <c:pt idx="0">
                  <c:v>Sum of Item amount2</c:v>
                </c:pt>
              </c:strCache>
            </c:strRef>
          </c:tx>
          <c:spPr>
            <a:ln w="28575" cap="rnd">
              <a:solidFill>
                <a:srgbClr val="F4DFC8"/>
              </a:solidFill>
              <a:round/>
            </a:ln>
            <a:effectLst/>
          </c:spPr>
          <c:marker>
            <c:symbol val="circle"/>
            <c:size val="5"/>
            <c:spPr>
              <a:solidFill>
                <a:schemeClr val="accent2"/>
              </a:solidFill>
              <a:ln w="9525">
                <a:solidFill>
                  <a:schemeClr val="accent2"/>
                </a:solidFill>
              </a:ln>
              <a:effectLst/>
            </c:spPr>
          </c:marker>
          <c:cat>
            <c:strRef>
              <c:f>'Pivot tables'!$A$27:$A$31</c:f>
              <c:strCache>
                <c:ptCount val="4"/>
                <c:pt idx="0">
                  <c:v>Casual Wear</c:v>
                </c:pt>
                <c:pt idx="1">
                  <c:v>Semi Formal</c:v>
                </c:pt>
                <c:pt idx="2">
                  <c:v>Formal</c:v>
                </c:pt>
                <c:pt idx="3">
                  <c:v>Accessories</c:v>
                </c:pt>
              </c:strCache>
            </c:strRef>
          </c:cat>
          <c:val>
            <c:numRef>
              <c:f>'Pivot tables'!$C$27:$C$31</c:f>
              <c:numCache>
                <c:formatCode>0.00%</c:formatCode>
                <c:ptCount val="4"/>
                <c:pt idx="0">
                  <c:v>0.6425784219328029</c:v>
                </c:pt>
                <c:pt idx="1">
                  <c:v>0.18020574671869458</c:v>
                </c:pt>
                <c:pt idx="2">
                  <c:v>0.10870116049257589</c:v>
                </c:pt>
                <c:pt idx="3">
                  <c:v>6.8514670855926621E-2</c:v>
                </c:pt>
              </c:numCache>
            </c:numRef>
          </c:val>
          <c:smooth val="0"/>
          <c:extLst>
            <c:ext xmlns:c16="http://schemas.microsoft.com/office/drawing/2014/chart" uri="{C3380CC4-5D6E-409C-BE32-E72D297353CC}">
              <c16:uniqueId val="{00000001-901A-49B8-A7D3-E497747D38BA}"/>
            </c:ext>
          </c:extLst>
        </c:ser>
        <c:dLbls>
          <c:showLegendKey val="0"/>
          <c:showVal val="0"/>
          <c:showCatName val="0"/>
          <c:showSerName val="0"/>
          <c:showPercent val="0"/>
          <c:showBubbleSize val="0"/>
        </c:dLbls>
        <c:marker val="1"/>
        <c:smooth val="0"/>
        <c:axId val="495280472"/>
        <c:axId val="495279688"/>
      </c:lineChart>
      <c:catAx>
        <c:axId val="495276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1" i="0" u="none" strike="noStrike" kern="1200" baseline="0">
                <a:solidFill>
                  <a:srgbClr val="F4EAE0"/>
                </a:solidFill>
                <a:latin typeface="+mn-lt"/>
                <a:ea typeface="+mn-ea"/>
                <a:cs typeface="+mn-cs"/>
              </a:defRPr>
            </a:pPr>
            <a:endParaRPr lang="en-US"/>
          </a:p>
        </c:txPr>
        <c:crossAx val="495276944"/>
        <c:crosses val="autoZero"/>
        <c:auto val="1"/>
        <c:lblAlgn val="ctr"/>
        <c:lblOffset val="100"/>
        <c:noMultiLvlLbl val="0"/>
      </c:catAx>
      <c:valAx>
        <c:axId val="495276944"/>
        <c:scaling>
          <c:orientation val="minMax"/>
        </c:scaling>
        <c:delete val="0"/>
        <c:axPos val="l"/>
        <c:numFmt formatCode="[$EGP]\ #,##0" sourceLinked="1"/>
        <c:majorTickMark val="none"/>
        <c:minorTickMark val="none"/>
        <c:tickLblPos val="nextTo"/>
        <c:spPr>
          <a:noFill/>
          <a:ln>
            <a:noFill/>
          </a:ln>
          <a:effectLst/>
        </c:spPr>
        <c:txPr>
          <a:bodyPr rot="-60000000" spcFirstLastPara="1" vertOverflow="ellipsis" vert="horz" wrap="square" anchor="ctr" anchorCtr="1"/>
          <a:lstStyle/>
          <a:p>
            <a:pPr>
              <a:defRPr lang="en-US" sz="1100" b="1" i="0" u="none" strike="noStrike" kern="1200" baseline="0">
                <a:solidFill>
                  <a:srgbClr val="F4EAE0"/>
                </a:solidFill>
                <a:latin typeface="+mn-lt"/>
                <a:ea typeface="+mn-ea"/>
                <a:cs typeface="+mn-cs"/>
              </a:defRPr>
            </a:pPr>
            <a:endParaRPr lang="en-US"/>
          </a:p>
        </c:txPr>
        <c:crossAx val="495276552"/>
        <c:crosses val="autoZero"/>
        <c:crossBetween val="between"/>
      </c:valAx>
      <c:valAx>
        <c:axId val="495279688"/>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en-US" sz="1100" b="1" i="0" u="none" strike="noStrike" kern="1200" baseline="0">
                <a:solidFill>
                  <a:srgbClr val="F4EAE0"/>
                </a:solidFill>
                <a:latin typeface="+mn-lt"/>
                <a:ea typeface="+mn-ea"/>
                <a:cs typeface="+mn-cs"/>
              </a:defRPr>
            </a:pPr>
            <a:endParaRPr lang="en-US"/>
          </a:p>
        </c:txPr>
        <c:crossAx val="495280472"/>
        <c:crosses val="max"/>
        <c:crossBetween val="between"/>
      </c:valAx>
      <c:catAx>
        <c:axId val="495280472"/>
        <c:scaling>
          <c:orientation val="minMax"/>
        </c:scaling>
        <c:delete val="1"/>
        <c:axPos val="b"/>
        <c:numFmt formatCode="General" sourceLinked="1"/>
        <c:majorTickMark val="out"/>
        <c:minorTickMark val="none"/>
        <c:tickLblPos val="nextTo"/>
        <c:crossAx val="49527968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100" b="1" i="0" u="none" strike="noStrike" kern="1200" baseline="0">
              <a:solidFill>
                <a:srgbClr val="F4EAE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lgn="ctr">
        <a:defRPr lang="en-US" sz="1100" b="1" i="0" u="none" strike="noStrike" kern="1200" baseline="0">
          <a:solidFill>
            <a:srgbClr val="F4EAE0"/>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[Task_03_&amp;_04_&amp;_05_TownTeam_Sales.xlsx]Pivot tables!PivotTable4</c:name>
    <c:fmtId val="3"/>
  </c:pivotSource>
  <c:chart>
    <c:title>
      <c:tx>
        <c:rich>
          <a:bodyPr rot="0" spcFirstLastPara="1" vertOverflow="ellipsis" vert="horz" wrap="square" anchor="ctr" anchorCtr="1"/>
          <a:lstStyle/>
          <a:p>
            <a:pPr>
              <a:defRPr lang="en-US" sz="1320" b="1" i="0" u="none" strike="noStrike" kern="1200" spc="0" baseline="0">
                <a:solidFill>
                  <a:srgbClr val="F4EAE0"/>
                </a:solidFill>
                <a:latin typeface="+mn-lt"/>
                <a:ea typeface="+mn-ea"/>
                <a:cs typeface="+mn-cs"/>
              </a:defRPr>
            </a:pPr>
            <a:r>
              <a:rPr lang="en-US" sz="3000"/>
              <a:t>Order Types Analysis</a:t>
            </a:r>
          </a:p>
        </c:rich>
      </c:tx>
      <c:overlay val="0"/>
      <c:spPr>
        <a:noFill/>
        <a:ln>
          <a:noFill/>
        </a:ln>
        <a:effectLst/>
      </c:spPr>
      <c:txPr>
        <a:bodyPr rot="0" spcFirstLastPara="1" vertOverflow="ellipsis" vert="horz" wrap="square" anchor="ctr" anchorCtr="1"/>
        <a:lstStyle/>
        <a:p>
          <a:pPr>
            <a:defRPr lang="en-US" sz="1320" b="1" i="0" u="none" strike="noStrike" kern="1200" spc="0" baseline="0">
              <a:solidFill>
                <a:srgbClr val="F4EAE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4DF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rgbClr val="F4EAE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tables'!$B$37</c:f>
              <c:strCache>
                <c:ptCount val="1"/>
                <c:pt idx="0">
                  <c:v>Total</c:v>
                </c:pt>
              </c:strCache>
            </c:strRef>
          </c:tx>
          <c:spPr>
            <a:solidFill>
              <a:srgbClr val="F4DFC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rgbClr val="F4EAE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tables'!$A$38:$A$40</c:f>
              <c:strCache>
                <c:ptCount val="2"/>
                <c:pt idx="0">
                  <c:v>On Shop</c:v>
                </c:pt>
                <c:pt idx="1">
                  <c:v>Online Order</c:v>
                </c:pt>
              </c:strCache>
            </c:strRef>
          </c:cat>
          <c:val>
            <c:numRef>
              <c:f>'Pivot tables'!$B$38:$B$40</c:f>
              <c:numCache>
                <c:formatCode>[$EGP]\ #,##0</c:formatCode>
                <c:ptCount val="2"/>
                <c:pt idx="0">
                  <c:v>920700</c:v>
                </c:pt>
                <c:pt idx="1">
                  <c:v>65950</c:v>
                </c:pt>
              </c:numCache>
            </c:numRef>
          </c:val>
          <c:extLst>
            <c:ext xmlns:c16="http://schemas.microsoft.com/office/drawing/2014/chart" uri="{C3380CC4-5D6E-409C-BE32-E72D297353CC}">
              <c16:uniqueId val="{00000000-F958-45CE-BDEE-5261292DE706}"/>
            </c:ext>
          </c:extLst>
        </c:ser>
        <c:dLbls>
          <c:showLegendKey val="0"/>
          <c:showVal val="0"/>
          <c:showCatName val="0"/>
          <c:showSerName val="0"/>
          <c:showPercent val="0"/>
          <c:showBubbleSize val="0"/>
        </c:dLbls>
        <c:gapWidth val="219"/>
        <c:overlap val="-27"/>
        <c:axId val="495824024"/>
        <c:axId val="495826768"/>
      </c:barChart>
      <c:catAx>
        <c:axId val="495824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1" i="0" u="none" strike="noStrike" kern="1200" baseline="0">
                <a:solidFill>
                  <a:srgbClr val="F4EAE0"/>
                </a:solidFill>
                <a:latin typeface="+mn-lt"/>
                <a:ea typeface="+mn-ea"/>
                <a:cs typeface="+mn-cs"/>
              </a:defRPr>
            </a:pPr>
            <a:endParaRPr lang="en-US"/>
          </a:p>
        </c:txPr>
        <c:crossAx val="495826768"/>
        <c:crosses val="autoZero"/>
        <c:auto val="1"/>
        <c:lblAlgn val="ctr"/>
        <c:lblOffset val="100"/>
        <c:noMultiLvlLbl val="0"/>
      </c:catAx>
      <c:valAx>
        <c:axId val="495826768"/>
        <c:scaling>
          <c:orientation val="minMax"/>
        </c:scaling>
        <c:delete val="1"/>
        <c:axPos val="l"/>
        <c:numFmt formatCode="[$EGP]\ #,##0" sourceLinked="1"/>
        <c:majorTickMark val="none"/>
        <c:minorTickMark val="none"/>
        <c:tickLblPos val="nextTo"/>
        <c:crossAx val="495824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lgn="ctr">
        <a:defRPr lang="en-US" sz="1100" b="1" i="0" u="none" strike="noStrike" kern="1200" baseline="0">
          <a:solidFill>
            <a:srgbClr val="F4EAE0"/>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[Task_03_&amp;_04_&amp;_05_TownTeam_Sales.xlsx]Pivot tables!PivotTable5</c:name>
    <c:fmtId val="3"/>
  </c:pivotSource>
  <c:chart>
    <c:title>
      <c:tx>
        <c:rich>
          <a:bodyPr rot="0" spcFirstLastPara="1" vertOverflow="ellipsis" vert="horz" wrap="square" anchor="ctr" anchorCtr="1"/>
          <a:lstStyle/>
          <a:p>
            <a:pPr>
              <a:defRPr lang="en-US" sz="1320" b="1" i="0" u="none" strike="noStrike" kern="1200" spc="0" baseline="0">
                <a:solidFill>
                  <a:srgbClr val="F4EAE0"/>
                </a:solidFill>
                <a:latin typeface="+mn-lt"/>
                <a:ea typeface="+mn-ea"/>
                <a:cs typeface="+mn-cs"/>
              </a:defRPr>
            </a:pPr>
            <a:r>
              <a:rPr lang="en-US" sz="3000"/>
              <a:t>Monthly Sales</a:t>
            </a:r>
          </a:p>
        </c:rich>
      </c:tx>
      <c:overlay val="0"/>
      <c:spPr>
        <a:noFill/>
        <a:ln>
          <a:noFill/>
        </a:ln>
        <a:effectLst/>
      </c:spPr>
      <c:txPr>
        <a:bodyPr rot="0" spcFirstLastPara="1" vertOverflow="ellipsis" vert="horz" wrap="square" anchor="ctr" anchorCtr="1"/>
        <a:lstStyle/>
        <a:p>
          <a:pPr>
            <a:defRPr lang="en-US" sz="1320" b="1" i="0" u="none" strike="noStrike" kern="1200" spc="0" baseline="0">
              <a:solidFill>
                <a:srgbClr val="F4EAE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AF6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rgbClr val="F4EAE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rgbClr val="FAF6F0"/>
            </a:solidFill>
            <a:round/>
          </a:ln>
          <a:effectLst/>
        </c:spPr>
        <c:marker>
          <c:symbol val="none"/>
        </c:marker>
        <c:dLbl>
          <c:idx val="0"/>
          <c:layout>
            <c:manualLayout>
              <c:x val="-1.6411108873428419E-3"/>
              <c:y val="-4.70268043527566E-2"/>
            </c:manualLayout>
          </c:layout>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rgbClr val="F4EAE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FAF6F0"/>
            </a:solidFill>
            <a:round/>
          </a:ln>
          <a:effectLst/>
        </c:spPr>
        <c:marker>
          <c:symbol val="none"/>
        </c:marker>
        <c:dLbl>
          <c:idx val="0"/>
          <c:layout>
            <c:manualLayout>
              <c:x val="-3.0086685370661967E-17"/>
              <c:y val="4.7026804352756579E-2"/>
            </c:manualLayout>
          </c:layout>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rgbClr val="F4EAE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FAF6F0"/>
            </a:solidFill>
            <a:round/>
          </a:ln>
          <a:effectLst/>
        </c:spPr>
        <c:marker>
          <c:symbol val="none"/>
        </c:marker>
        <c:dLbl>
          <c:idx val="0"/>
          <c:layout>
            <c:manualLayout>
              <c:x val="-8.2055544367142094E-4"/>
              <c:y val="5.5844330168898379E-2"/>
            </c:manualLayout>
          </c:layout>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rgbClr val="F4EAE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rgbClr val="FAF6F0"/>
            </a:solidFill>
            <a:round/>
          </a:ln>
          <a:effectLst/>
        </c:spPr>
        <c:marker>
          <c:symbol val="none"/>
        </c:marker>
        <c:dLbl>
          <c:idx val="0"/>
          <c:layout>
            <c:manualLayout>
              <c:x val="8.2055544367142094E-4"/>
              <c:y val="6.7601031257087579E-2"/>
            </c:manualLayout>
          </c:layout>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rgbClr val="F4EAE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rgbClr val="FAF6F0"/>
            </a:solidFill>
            <a:round/>
          </a:ln>
          <a:effectLst/>
        </c:spPr>
        <c:marker>
          <c:symbol val="none"/>
        </c:marker>
        <c:dLbl>
          <c:idx val="0"/>
          <c:layout>
            <c:manualLayout>
              <c:x val="4.1027772183571043E-3"/>
              <c:y val="-6.7601031257087579E-2"/>
            </c:manualLayout>
          </c:layout>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rgbClr val="F4EAE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tables'!$B$45</c:f>
              <c:strCache>
                <c:ptCount val="1"/>
                <c:pt idx="0">
                  <c:v>Total</c:v>
                </c:pt>
              </c:strCache>
            </c:strRef>
          </c:tx>
          <c:spPr>
            <a:ln w="28575" cap="rnd">
              <a:solidFill>
                <a:srgbClr val="FAF6F0"/>
              </a:solidFill>
              <a:round/>
            </a:ln>
            <a:effectLst/>
          </c:spPr>
          <c:marker>
            <c:symbol val="none"/>
          </c:marker>
          <c:dPt>
            <c:idx val="0"/>
            <c:marker>
              <c:symbol val="none"/>
            </c:marker>
            <c:bubble3D val="0"/>
            <c:extLst>
              <c:ext xmlns:c16="http://schemas.microsoft.com/office/drawing/2014/chart" uri="{C3380CC4-5D6E-409C-BE32-E72D297353CC}">
                <c16:uniqueId val="{00000000-7DA1-4204-8BDF-8BDF23A423D8}"/>
              </c:ext>
            </c:extLst>
          </c:dPt>
          <c:dPt>
            <c:idx val="1"/>
            <c:marker>
              <c:symbol val="none"/>
            </c:marker>
            <c:bubble3D val="0"/>
            <c:extLst>
              <c:ext xmlns:c16="http://schemas.microsoft.com/office/drawing/2014/chart" uri="{C3380CC4-5D6E-409C-BE32-E72D297353CC}">
                <c16:uniqueId val="{00000001-7DA1-4204-8BDF-8BDF23A423D8}"/>
              </c:ext>
            </c:extLst>
          </c:dPt>
          <c:dPt>
            <c:idx val="3"/>
            <c:marker>
              <c:symbol val="none"/>
            </c:marker>
            <c:bubble3D val="0"/>
            <c:extLst>
              <c:ext xmlns:c16="http://schemas.microsoft.com/office/drawing/2014/chart" uri="{C3380CC4-5D6E-409C-BE32-E72D297353CC}">
                <c16:uniqueId val="{00000002-7DA1-4204-8BDF-8BDF23A423D8}"/>
              </c:ext>
            </c:extLst>
          </c:dPt>
          <c:dPt>
            <c:idx val="4"/>
            <c:marker>
              <c:symbol val="none"/>
            </c:marker>
            <c:bubble3D val="0"/>
            <c:extLst>
              <c:ext xmlns:c16="http://schemas.microsoft.com/office/drawing/2014/chart" uri="{C3380CC4-5D6E-409C-BE32-E72D297353CC}">
                <c16:uniqueId val="{00000003-7DA1-4204-8BDF-8BDF23A423D8}"/>
              </c:ext>
            </c:extLst>
          </c:dPt>
          <c:dPt>
            <c:idx val="5"/>
            <c:marker>
              <c:symbol val="none"/>
            </c:marker>
            <c:bubble3D val="0"/>
            <c:extLst>
              <c:ext xmlns:c16="http://schemas.microsoft.com/office/drawing/2014/chart" uri="{C3380CC4-5D6E-409C-BE32-E72D297353CC}">
                <c16:uniqueId val="{00000004-7DA1-4204-8BDF-8BDF23A423D8}"/>
              </c:ext>
            </c:extLst>
          </c:dPt>
          <c:dLbls>
            <c:dLbl>
              <c:idx val="0"/>
              <c:layout>
                <c:manualLayout>
                  <c:x val="-1.6411108873428419E-3"/>
                  <c:y val="-4.702680435275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DA1-4204-8BDF-8BDF23A423D8}"/>
                </c:ext>
              </c:extLst>
            </c:dLbl>
            <c:dLbl>
              <c:idx val="1"/>
              <c:layout>
                <c:manualLayout>
                  <c:x val="-3.0086685370661967E-17"/>
                  <c:y val="4.70268043527565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DA1-4204-8BDF-8BDF23A423D8}"/>
                </c:ext>
              </c:extLst>
            </c:dLbl>
            <c:dLbl>
              <c:idx val="3"/>
              <c:layout>
                <c:manualLayout>
                  <c:x val="-8.2055544367142094E-4"/>
                  <c:y val="5.58443301688983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DA1-4204-8BDF-8BDF23A423D8}"/>
                </c:ext>
              </c:extLst>
            </c:dLbl>
            <c:dLbl>
              <c:idx val="4"/>
              <c:layout>
                <c:manualLayout>
                  <c:x val="8.2055544367142094E-4"/>
                  <c:y val="6.76010312570875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DA1-4204-8BDF-8BDF23A423D8}"/>
                </c:ext>
              </c:extLst>
            </c:dLbl>
            <c:dLbl>
              <c:idx val="5"/>
              <c:layout>
                <c:manualLayout>
                  <c:x val="4.1027772183571043E-3"/>
                  <c:y val="-6.76010312570875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DA1-4204-8BDF-8BDF23A423D8}"/>
                </c:ext>
              </c:extLst>
            </c:dLbl>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rgbClr val="F4EAE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tables'!$A$46:$A$58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tables'!$B$46:$B$58</c:f>
              <c:numCache>
                <c:formatCode>[$EGP]\ #,##0</c:formatCode>
                <c:ptCount val="12"/>
                <c:pt idx="0">
                  <c:v>87450</c:v>
                </c:pt>
                <c:pt idx="1">
                  <c:v>84250</c:v>
                </c:pt>
                <c:pt idx="2">
                  <c:v>94200</c:v>
                </c:pt>
                <c:pt idx="3">
                  <c:v>74650</c:v>
                </c:pt>
                <c:pt idx="4">
                  <c:v>83350</c:v>
                </c:pt>
                <c:pt idx="5">
                  <c:v>88900</c:v>
                </c:pt>
                <c:pt idx="6">
                  <c:v>87800</c:v>
                </c:pt>
                <c:pt idx="7">
                  <c:v>83150</c:v>
                </c:pt>
                <c:pt idx="8">
                  <c:v>88050</c:v>
                </c:pt>
                <c:pt idx="9">
                  <c:v>90400</c:v>
                </c:pt>
                <c:pt idx="10">
                  <c:v>60350</c:v>
                </c:pt>
                <c:pt idx="11">
                  <c:v>64100</c:v>
                </c:pt>
              </c:numCache>
            </c:numRef>
          </c:val>
          <c:smooth val="0"/>
          <c:extLst>
            <c:ext xmlns:c16="http://schemas.microsoft.com/office/drawing/2014/chart" uri="{C3380CC4-5D6E-409C-BE32-E72D297353CC}">
              <c16:uniqueId val="{00000000-0683-4F48-B6DB-7A6156B6C401}"/>
            </c:ext>
          </c:extLst>
        </c:ser>
        <c:dLbls>
          <c:showLegendKey val="0"/>
          <c:showVal val="0"/>
          <c:showCatName val="0"/>
          <c:showSerName val="0"/>
          <c:showPercent val="0"/>
          <c:showBubbleSize val="0"/>
        </c:dLbls>
        <c:smooth val="0"/>
        <c:axId val="495823240"/>
        <c:axId val="495829120"/>
      </c:lineChart>
      <c:catAx>
        <c:axId val="495823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1" i="0" u="none" strike="noStrike" kern="1200" baseline="0">
                <a:solidFill>
                  <a:srgbClr val="F4EAE0"/>
                </a:solidFill>
                <a:latin typeface="+mn-lt"/>
                <a:ea typeface="+mn-ea"/>
                <a:cs typeface="+mn-cs"/>
              </a:defRPr>
            </a:pPr>
            <a:endParaRPr lang="en-US"/>
          </a:p>
        </c:txPr>
        <c:crossAx val="495829120"/>
        <c:crosses val="autoZero"/>
        <c:auto val="1"/>
        <c:lblAlgn val="ctr"/>
        <c:lblOffset val="100"/>
        <c:noMultiLvlLbl val="0"/>
      </c:catAx>
      <c:valAx>
        <c:axId val="495829120"/>
        <c:scaling>
          <c:orientation val="minMax"/>
        </c:scaling>
        <c:delete val="1"/>
        <c:axPos val="l"/>
        <c:numFmt formatCode="[$EGP]\ #,##0" sourceLinked="1"/>
        <c:majorTickMark val="none"/>
        <c:minorTickMark val="none"/>
        <c:tickLblPos val="nextTo"/>
        <c:crossAx val="495823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lgn="ctr">
        <a:defRPr lang="en-US" sz="1100" b="1" i="0" u="none" strike="noStrike" kern="1200" baseline="0">
          <a:solidFill>
            <a:srgbClr val="F4EAE0"/>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07/relationships/hdphoto" Target="../media/hdphoto3.wdp"/><Relationship Id="rId3" Type="http://schemas.microsoft.com/office/2007/relationships/hdphoto" Target="../media/hdphoto1.wdp"/><Relationship Id="rId7" Type="http://schemas.openxmlformats.org/officeDocument/2006/relationships/image" Target="../media/image4.png"/><Relationship Id="rId12" Type="http://schemas.openxmlformats.org/officeDocument/2006/relationships/chart" Target="../charts/chart3.xml"/><Relationship Id="rId2" Type="http://schemas.openxmlformats.org/officeDocument/2006/relationships/image" Target="../media/image1.png"/><Relationship Id="rId1" Type="http://schemas.openxmlformats.org/officeDocument/2006/relationships/chart" Target="../charts/chart1.xml"/><Relationship Id="rId6" Type="http://schemas.microsoft.com/office/2007/relationships/hdphoto" Target="../media/hdphoto2.wdp"/><Relationship Id="rId11" Type="http://schemas.openxmlformats.org/officeDocument/2006/relationships/chart" Target="../charts/chart2.xml"/><Relationship Id="rId5" Type="http://schemas.openxmlformats.org/officeDocument/2006/relationships/image" Target="../media/image3.png"/><Relationship Id="rId10" Type="http://schemas.microsoft.com/office/2007/relationships/hdphoto" Target="../media/hdphoto4.wdp"/><Relationship Id="rId4" Type="http://schemas.openxmlformats.org/officeDocument/2006/relationships/image" Target="../media/image2.jpeg"/><Relationship Id="rId9" Type="http://schemas.openxmlformats.org/officeDocument/2006/relationships/image" Target="../media/image5.png"/></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4"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3</xdr:col>
      <xdr:colOff>230909</xdr:colOff>
      <xdr:row>50</xdr:row>
      <xdr:rowOff>156307</xdr:rowOff>
    </xdr:from>
    <xdr:to>
      <xdr:col>32</xdr:col>
      <xdr:colOff>527539</xdr:colOff>
      <xdr:row>111</xdr:row>
      <xdr:rowOff>22412</xdr:rowOff>
    </xdr:to>
    <xdr:sp macro="" textlink="">
      <xdr:nvSpPr>
        <xdr:cNvPr id="36" name="Rectangle: Rounded Corners 35">
          <a:extLst>
            <a:ext uri="{FF2B5EF4-FFF2-40B4-BE49-F238E27FC236}">
              <a16:creationId xmlns:a16="http://schemas.microsoft.com/office/drawing/2014/main" id="{02D7ABDA-2E85-CE81-1F77-2CF36E3DDF1F}"/>
            </a:ext>
          </a:extLst>
        </xdr:cNvPr>
        <xdr:cNvSpPr/>
      </xdr:nvSpPr>
      <xdr:spPr>
        <a:xfrm>
          <a:off x="2223832" y="8948615"/>
          <a:ext cx="19561553" cy="10592720"/>
        </a:xfrm>
        <a:prstGeom prst="roundRect">
          <a:avLst/>
        </a:prstGeom>
        <a:gradFill flip="none" rotWithShape="1">
          <a:gsLst>
            <a:gs pos="0">
              <a:schemeClr val="bg1">
                <a:lumMod val="95000"/>
              </a:schemeClr>
            </a:gs>
            <a:gs pos="23000">
              <a:schemeClr val="bg2"/>
            </a:gs>
            <a:gs pos="69000">
              <a:schemeClr val="bg2">
                <a:lumMod val="75000"/>
              </a:schemeClr>
            </a:gs>
            <a:gs pos="97000">
              <a:schemeClr val="bg1">
                <a:lumMod val="50000"/>
              </a:schemeClr>
            </a:gs>
          </a:gsLst>
          <a:lin ang="2700000" scaled="1"/>
          <a:tileRect/>
        </a:gradFill>
        <a:effectLst>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pPr algn="l"/>
          <a:endParaRPr lang="en-GB" sz="1100"/>
        </a:p>
      </xdr:txBody>
    </xdr:sp>
    <xdr:clientData/>
  </xdr:twoCellAnchor>
  <xdr:twoCellAnchor>
    <xdr:from>
      <xdr:col>6</xdr:col>
      <xdr:colOff>156883</xdr:colOff>
      <xdr:row>52</xdr:row>
      <xdr:rowOff>67235</xdr:rowOff>
    </xdr:from>
    <xdr:to>
      <xdr:col>31</xdr:col>
      <xdr:colOff>179294</xdr:colOff>
      <xdr:row>73</xdr:row>
      <xdr:rowOff>22411</xdr:rowOff>
    </xdr:to>
    <xdr:sp macro="" textlink="">
      <xdr:nvSpPr>
        <xdr:cNvPr id="70" name="Rectangle 69">
          <a:extLst>
            <a:ext uri="{FF2B5EF4-FFF2-40B4-BE49-F238E27FC236}">
              <a16:creationId xmlns:a16="http://schemas.microsoft.com/office/drawing/2014/main" id="{7DAA8331-0C0D-4B35-967F-F14E4934ACFB}"/>
            </a:ext>
          </a:extLst>
        </xdr:cNvPr>
        <xdr:cNvSpPr/>
      </xdr:nvSpPr>
      <xdr:spPr>
        <a:xfrm>
          <a:off x="4197255" y="9282119"/>
          <a:ext cx="16857295" cy="3676571"/>
        </a:xfrm>
        <a:prstGeom prst="rect">
          <a:avLst/>
        </a:prstGeom>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cap="rnd">
          <a:noFill/>
          <a:round/>
        </a:ln>
        <a:effectLst>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148664</xdr:colOff>
      <xdr:row>73</xdr:row>
      <xdr:rowOff>130735</xdr:rowOff>
    </xdr:from>
    <xdr:to>
      <xdr:col>26</xdr:col>
      <xdr:colOff>504264</xdr:colOff>
      <xdr:row>110</xdr:row>
      <xdr:rowOff>27641</xdr:rowOff>
    </xdr:to>
    <xdr:graphicFrame macro="">
      <xdr:nvGraphicFramePr>
        <xdr:cNvPr id="33" name="Chart 32">
          <a:extLst>
            <a:ext uri="{FF2B5EF4-FFF2-40B4-BE49-F238E27FC236}">
              <a16:creationId xmlns:a16="http://schemas.microsoft.com/office/drawing/2014/main" id="{E4A06C6A-8F1F-4F01-BE2F-007C206D87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27</xdr:col>
      <xdr:colOff>70885</xdr:colOff>
      <xdr:row>62</xdr:row>
      <xdr:rowOff>159489</xdr:rowOff>
    </xdr:from>
    <xdr:to>
      <xdr:col>30</xdr:col>
      <xdr:colOff>602513</xdr:colOff>
      <xdr:row>71</xdr:row>
      <xdr:rowOff>124048</xdr:rowOff>
    </xdr:to>
    <mc:AlternateContent xmlns:mc="http://schemas.openxmlformats.org/markup-compatibility/2006" xmlns:a14="http://schemas.microsoft.com/office/drawing/2010/main">
      <mc:Choice Requires="a14">
        <xdr:graphicFrame macro="">
          <xdr:nvGraphicFramePr>
            <xdr:cNvPr id="34" name="Category name 3">
              <a:extLst>
                <a:ext uri="{FF2B5EF4-FFF2-40B4-BE49-F238E27FC236}">
                  <a16:creationId xmlns:a16="http://schemas.microsoft.com/office/drawing/2014/main" id="{5F125F19-D957-49EA-ACE6-323783C3E85E}"/>
                </a:ext>
              </a:extLst>
            </xdr:cNvPr>
            <xdr:cNvGraphicFramePr/>
          </xdr:nvGraphicFramePr>
          <xdr:xfrm>
            <a:off x="0" y="0"/>
            <a:ext cx="0" cy="0"/>
          </xdr:xfrm>
          <a:graphic>
            <a:graphicData uri="http://schemas.microsoft.com/office/drawing/2010/slicer">
              <sle:slicer xmlns:sle="http://schemas.microsoft.com/office/drawing/2010/slicer" name="Category name 3"/>
            </a:graphicData>
          </a:graphic>
        </xdr:graphicFrame>
      </mc:Choice>
      <mc:Fallback xmlns="">
        <xdr:sp macro="" textlink="">
          <xdr:nvSpPr>
            <xdr:cNvPr id="0" name=""/>
            <xdr:cNvSpPr>
              <a:spLocks noTextEdit="1"/>
            </xdr:cNvSpPr>
          </xdr:nvSpPr>
          <xdr:spPr>
            <a:xfrm>
              <a:off x="18007193" y="11061951"/>
              <a:ext cx="2524551" cy="1547174"/>
            </a:xfrm>
            <a:prstGeom prst="rect">
              <a:avLst/>
            </a:prstGeom>
            <a:solidFill>
              <a:prstClr val="white"/>
            </a:solidFill>
            <a:ln w="1">
              <a:solidFill>
                <a:prstClr val="green"/>
              </a:solidFill>
            </a:ln>
          </xdr:spPr>
          <xdr:txBody>
            <a:bodyPr vertOverflow="clip" horzOverflow="clip"/>
            <a:lstStyle/>
            <a:p>
              <a:r>
                <a:rPr lang="ar-S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88605</xdr:colOff>
      <xdr:row>53</xdr:row>
      <xdr:rowOff>159477</xdr:rowOff>
    </xdr:from>
    <xdr:to>
      <xdr:col>30</xdr:col>
      <xdr:colOff>618088</xdr:colOff>
      <xdr:row>62</xdr:row>
      <xdr:rowOff>76593</xdr:rowOff>
    </xdr:to>
    <mc:AlternateContent xmlns:mc="http://schemas.openxmlformats.org/markup-compatibility/2006" xmlns:a14="http://schemas.microsoft.com/office/drawing/2010/main">
      <mc:Choice Requires="a14">
        <xdr:graphicFrame macro="">
          <xdr:nvGraphicFramePr>
            <xdr:cNvPr id="35" name="Years (Order date ) 4">
              <a:extLst>
                <a:ext uri="{FF2B5EF4-FFF2-40B4-BE49-F238E27FC236}">
                  <a16:creationId xmlns:a16="http://schemas.microsoft.com/office/drawing/2014/main" id="{D7C1289D-7284-40F3-82C3-3DFBBB47E25E}"/>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Years (Order date ) 4"/>
            </a:graphicData>
          </a:graphic>
        </xdr:graphicFrame>
      </mc:Choice>
      <mc:Fallback xmlns="">
        <xdr:sp macro="" textlink="">
          <xdr:nvSpPr>
            <xdr:cNvPr id="0" name=""/>
            <xdr:cNvSpPr>
              <a:spLocks noTextEdit="1"/>
            </xdr:cNvSpPr>
          </xdr:nvSpPr>
          <xdr:spPr>
            <a:xfrm>
              <a:off x="18024913" y="9479323"/>
              <a:ext cx="2522406" cy="1499732"/>
            </a:xfrm>
            <a:prstGeom prst="rect">
              <a:avLst/>
            </a:prstGeom>
            <a:solidFill>
              <a:prstClr val="white"/>
            </a:solidFill>
            <a:ln w="1">
              <a:solidFill>
                <a:prstClr val="green"/>
              </a:solidFill>
            </a:ln>
          </xdr:spPr>
          <xdr:txBody>
            <a:bodyPr vertOverflow="clip" horzOverflow="clip"/>
            <a:lstStyle/>
            <a:p>
              <a:r>
                <a:rPr lang="ar-S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212910</xdr:colOff>
      <xdr:row>61</xdr:row>
      <xdr:rowOff>56029</xdr:rowOff>
    </xdr:from>
    <xdr:to>
      <xdr:col>6</xdr:col>
      <xdr:colOff>56029</xdr:colOff>
      <xdr:row>106</xdr:row>
      <xdr:rowOff>134473</xdr:rowOff>
    </xdr:to>
    <xdr:sp macro="" textlink="">
      <xdr:nvSpPr>
        <xdr:cNvPr id="37" name="TextBox 36">
          <a:extLst>
            <a:ext uri="{FF2B5EF4-FFF2-40B4-BE49-F238E27FC236}">
              <a16:creationId xmlns:a16="http://schemas.microsoft.com/office/drawing/2014/main" id="{D9894635-B41F-42B1-ABD2-E680A5031447}"/>
            </a:ext>
          </a:extLst>
        </xdr:cNvPr>
        <xdr:cNvSpPr txBox="1"/>
      </xdr:nvSpPr>
      <xdr:spPr>
        <a:xfrm rot="5400000">
          <a:off x="-1059298" y="14998056"/>
          <a:ext cx="8391171" cy="1043846"/>
        </a:xfrm>
        <a:prstGeom prst="rect">
          <a:avLst/>
        </a:prstGeom>
        <a:gradFill flip="none" rotWithShape="1">
          <a:gsLst>
            <a:gs pos="32000">
              <a:srgbClr val="FBE4D5">
                <a:lumMod val="96000"/>
                <a:alpha val="89000"/>
              </a:srgbClr>
            </a:gs>
            <a:gs pos="59000">
              <a:srgbClr val="EF8B47"/>
            </a:gs>
            <a:gs pos="100000">
              <a:srgbClr val="EE8640"/>
            </a:gs>
          </a:gsLst>
          <a:path path="circle">
            <a:fillToRect l="100000" t="100000"/>
          </a:path>
          <a:tileRect r="-100000" b="-100000"/>
        </a:gradFill>
        <a:ln w="28575" cap="rnd" cmpd="dbl">
          <a:noFill/>
          <a:prstDash val="solid"/>
          <a:extLst>
            <a:ext uri="{C807C97D-BFC1-408E-A445-0C87EB9F89A2}">
              <ask:lineSketchStyleProps xmlns:ask="http://schemas.microsoft.com/office/drawing/2018/sketchyshapes" sd="1219033472">
                <a:custGeom>
                  <a:avLst/>
                  <a:gdLst>
                    <a:gd name="csX0" fmla="*/ 0 w 6115050"/>
                    <a:gd name="csY0" fmla="*/ 0 h 619125"/>
                    <a:gd name="csX1" fmla="*/ 6115050 w 6115050"/>
                    <a:gd name="csY1" fmla="*/ 0 h 619125"/>
                    <a:gd name="csX2" fmla="*/ 6115050 w 6115050"/>
                    <a:gd name="csY2" fmla="*/ 619125 h 619125"/>
                    <a:gd name="csX3" fmla="*/ 0 w 6115050"/>
                    <a:gd name="csY3" fmla="*/ 619125 h 619125"/>
                    <a:gd name="csX4" fmla="*/ 0 w 6115050"/>
                    <a:gd name="csY4" fmla="*/ 0 h 619125"/>
                  </a:gdLst>
                  <a:ahLst/>
                  <a:cxnLst>
                    <a:cxn ang="0">
                      <a:pos x="csX0" y="csY0"/>
                    </a:cxn>
                    <a:cxn ang="0">
                      <a:pos x="csX1" y="csY1"/>
                    </a:cxn>
                    <a:cxn ang="0">
                      <a:pos x="csX2" y="csY2"/>
                    </a:cxn>
                    <a:cxn ang="0">
                      <a:pos x="csX3" y="csY3"/>
                    </a:cxn>
                    <a:cxn ang="0">
                      <a:pos x="csX4" y="csY4"/>
                    </a:cxn>
                  </a:cxnLst>
                  <a:rect l="l" t="t" r="r" b="b"/>
                  <a:pathLst>
                    <a:path w="6115050" h="619125" extrusionOk="0">
                      <a:moveTo>
                        <a:pt x="0" y="0"/>
                      </a:moveTo>
                      <a:cubicBezTo>
                        <a:pt x="2036377" y="118645"/>
                        <a:pt x="4530028" y="116012"/>
                        <a:pt x="6115050" y="0"/>
                      </a:cubicBezTo>
                      <a:cubicBezTo>
                        <a:pt x="6142057" y="229452"/>
                        <a:pt x="6080352" y="531582"/>
                        <a:pt x="6115050" y="619125"/>
                      </a:cubicBezTo>
                      <a:cubicBezTo>
                        <a:pt x="4678961" y="753725"/>
                        <a:pt x="728231" y="461929"/>
                        <a:pt x="0" y="619125"/>
                      </a:cubicBezTo>
                      <a:cubicBezTo>
                        <a:pt x="47054" y="507059"/>
                        <a:pt x="-48714" y="183851"/>
                        <a:pt x="0" y="0"/>
                      </a:cubicBezTo>
                      <a:close/>
                    </a:path>
                  </a:pathLst>
                </a:custGeom>
                <ask:type>
                  <ask:lineSketchNone/>
                </ask:type>
              </ask:lineSketchStyleProps>
            </a:ext>
          </a:extLst>
        </a:ln>
        <a:effectLst>
          <a:glow rad="101600">
            <a:schemeClr val="accent3">
              <a:satMod val="175000"/>
              <a:alpha val="40000"/>
            </a:schemeClr>
          </a:glow>
          <a:outerShdw blurRad="50800" dist="38100" dir="10800000" algn="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vert="horz" wrap="square" rtlCol="0" anchor="ctr"/>
        <a:lstStyle/>
        <a:p>
          <a:pPr algn="ctr"/>
          <a:r>
            <a:rPr lang="en-US" sz="5500" b="1" u="none">
              <a:solidFill>
                <a:schemeClr val="tx1"/>
              </a:solidFill>
            </a:rPr>
            <a:t>Town</a:t>
          </a:r>
          <a:r>
            <a:rPr lang="en-US" sz="5500" b="1" u="none" baseline="0">
              <a:solidFill>
                <a:schemeClr val="tx1"/>
              </a:solidFill>
            </a:rPr>
            <a:t> Team Sales Analysis</a:t>
          </a:r>
          <a:endParaRPr lang="en-US" sz="5500" b="1" u="none">
            <a:solidFill>
              <a:schemeClr val="tx1"/>
            </a:solidFill>
          </a:endParaRPr>
        </a:p>
      </xdr:txBody>
    </xdr:sp>
    <xdr:clientData/>
  </xdr:twoCellAnchor>
  <xdr:twoCellAnchor editAs="oneCell">
    <xdr:from>
      <xdr:col>4</xdr:col>
      <xdr:colOff>112059</xdr:colOff>
      <xdr:row>55</xdr:row>
      <xdr:rowOff>44823</xdr:rowOff>
    </xdr:from>
    <xdr:to>
      <xdr:col>6</xdr:col>
      <xdr:colOff>108170</xdr:colOff>
      <xdr:row>61</xdr:row>
      <xdr:rowOff>89645</xdr:rowOff>
    </xdr:to>
    <xdr:pic>
      <xdr:nvPicPr>
        <xdr:cNvPr id="39" name="Picture 38">
          <a:extLst>
            <a:ext uri="{FF2B5EF4-FFF2-40B4-BE49-F238E27FC236}">
              <a16:creationId xmlns:a16="http://schemas.microsoft.com/office/drawing/2014/main" id="{0498EDD1-BC92-D9A4-7E27-67BA1CE9E36E}"/>
            </a:ext>
          </a:extLst>
        </xdr:cNvPr>
        <xdr:cNvPicPr>
          <a:picLocks noChangeAspect="1"/>
        </xdr:cNvPicPr>
      </xdr:nvPicPr>
      <xdr:blipFill rotWithShape="1">
        <a:blip xmlns:r="http://schemas.openxmlformats.org/officeDocument/2006/relationships" r:embed="rId2" cstate="print">
          <a:alphaModFix amt="73000"/>
          <a:extLst>
            <a:ext uri="{BEBA8EAE-BF5A-486C-A8C5-ECC9F3942E4B}">
              <a14:imgProps xmlns:a14="http://schemas.microsoft.com/office/drawing/2010/main">
                <a14:imgLayer r:embed="rId3">
                  <a14:imgEffect>
                    <a14:sharpenSoften amount="2000"/>
                  </a14:imgEffect>
                  <a14:imgEffect>
                    <a14:colorTemperature colorTemp="7200"/>
                  </a14:imgEffect>
                  <a14:imgEffect>
                    <a14:brightnessContrast bright="-16000" contrast="-12000"/>
                  </a14:imgEffect>
                </a14:imgLayer>
              </a14:imgProps>
            </a:ext>
            <a:ext uri="{28A0092B-C50C-407E-A947-70E740481C1C}">
              <a14:useLocalDpi xmlns:a14="http://schemas.microsoft.com/office/drawing/2010/main" val="0"/>
            </a:ext>
          </a:extLst>
        </a:blip>
        <a:srcRect l="35196" r="34916" b="970"/>
        <a:stretch>
          <a:fillRect/>
        </a:stretch>
      </xdr:blipFill>
      <xdr:spPr>
        <a:xfrm>
          <a:off x="2532530" y="9905999"/>
          <a:ext cx="1206346" cy="1120587"/>
        </a:xfrm>
        <a:prstGeom prst="rect">
          <a:avLst/>
        </a:prstGeom>
        <a:ln cap="rnd">
          <a:solidFill>
            <a:schemeClr val="accent2">
              <a:lumMod val="50000"/>
            </a:schemeClr>
          </a:solidFill>
        </a:ln>
        <a:scene3d>
          <a:camera prst="orthographicFront"/>
          <a:lightRig rig="balanced" dir="t"/>
        </a:scene3d>
        <a:sp3d prstMaterial="metal">
          <a:bevelT prst="relaxedInset"/>
          <a:bevelB prst="angle"/>
        </a:sp3d>
      </xdr:spPr>
    </xdr:pic>
    <xdr:clientData/>
  </xdr:twoCellAnchor>
  <xdr:twoCellAnchor>
    <xdr:from>
      <xdr:col>9</xdr:col>
      <xdr:colOff>352985</xdr:colOff>
      <xdr:row>74</xdr:row>
      <xdr:rowOff>0</xdr:rowOff>
    </xdr:from>
    <xdr:to>
      <xdr:col>23</xdr:col>
      <xdr:colOff>28017</xdr:colOff>
      <xdr:row>79</xdr:row>
      <xdr:rowOff>89648</xdr:rowOff>
    </xdr:to>
    <xdr:sp macro="" textlink="">
      <xdr:nvSpPr>
        <xdr:cNvPr id="44" name="TextBox 43">
          <a:extLst>
            <a:ext uri="{FF2B5EF4-FFF2-40B4-BE49-F238E27FC236}">
              <a16:creationId xmlns:a16="http://schemas.microsoft.com/office/drawing/2014/main" id="{8F519C78-2C90-4A59-AE8B-6A10E3B89608}"/>
            </a:ext>
          </a:extLst>
        </xdr:cNvPr>
        <xdr:cNvSpPr txBox="1"/>
      </xdr:nvSpPr>
      <xdr:spPr>
        <a:xfrm>
          <a:off x="5799044" y="13267765"/>
          <a:ext cx="8146679" cy="986118"/>
        </a:xfrm>
        <a:prstGeom prst="rect">
          <a:avLst/>
        </a:prstGeom>
        <a:noFill/>
        <a:ln w="28575" cap="rnd" cmpd="dbl">
          <a:solidFill>
            <a:schemeClr val="accent2">
              <a:lumMod val="50000"/>
              <a:alpha val="0"/>
            </a:schemeClr>
          </a:solidFill>
          <a:prstDash val="solid"/>
          <a:extLst>
            <a:ext uri="{C807C97D-BFC1-408E-A445-0C87EB9F89A2}">
              <ask:lineSketchStyleProps xmlns:ask="http://schemas.microsoft.com/office/drawing/2018/sketchyshapes" sd="1219033472">
                <a:custGeom>
                  <a:avLst/>
                  <a:gdLst>
                    <a:gd name="csX0" fmla="*/ 0 w 6115050"/>
                    <a:gd name="csY0" fmla="*/ 0 h 619125"/>
                    <a:gd name="csX1" fmla="*/ 6115050 w 6115050"/>
                    <a:gd name="csY1" fmla="*/ 0 h 619125"/>
                    <a:gd name="csX2" fmla="*/ 6115050 w 6115050"/>
                    <a:gd name="csY2" fmla="*/ 619125 h 619125"/>
                    <a:gd name="csX3" fmla="*/ 0 w 6115050"/>
                    <a:gd name="csY3" fmla="*/ 619125 h 619125"/>
                    <a:gd name="csX4" fmla="*/ 0 w 6115050"/>
                    <a:gd name="csY4" fmla="*/ 0 h 619125"/>
                  </a:gdLst>
                  <a:ahLst/>
                  <a:cxnLst>
                    <a:cxn ang="0">
                      <a:pos x="csX0" y="csY0"/>
                    </a:cxn>
                    <a:cxn ang="0">
                      <a:pos x="csX1" y="csY1"/>
                    </a:cxn>
                    <a:cxn ang="0">
                      <a:pos x="csX2" y="csY2"/>
                    </a:cxn>
                    <a:cxn ang="0">
                      <a:pos x="csX3" y="csY3"/>
                    </a:cxn>
                    <a:cxn ang="0">
                      <a:pos x="csX4" y="csY4"/>
                    </a:cxn>
                  </a:cxnLst>
                  <a:rect l="l" t="t" r="r" b="b"/>
                  <a:pathLst>
                    <a:path w="6115050" h="619125" extrusionOk="0">
                      <a:moveTo>
                        <a:pt x="0" y="0"/>
                      </a:moveTo>
                      <a:cubicBezTo>
                        <a:pt x="2036377" y="118645"/>
                        <a:pt x="4530028" y="116012"/>
                        <a:pt x="6115050" y="0"/>
                      </a:cubicBezTo>
                      <a:cubicBezTo>
                        <a:pt x="6142057" y="229452"/>
                        <a:pt x="6080352" y="531582"/>
                        <a:pt x="6115050" y="619125"/>
                      </a:cubicBezTo>
                      <a:cubicBezTo>
                        <a:pt x="4678961" y="753725"/>
                        <a:pt x="728231" y="461929"/>
                        <a:pt x="0" y="619125"/>
                      </a:cubicBezTo>
                      <a:cubicBezTo>
                        <a:pt x="47054" y="507059"/>
                        <a:pt x="-48714" y="183851"/>
                        <a:pt x="0" y="0"/>
                      </a:cubicBezTo>
                      <a:close/>
                    </a:path>
                  </a:pathLst>
                </a:custGeom>
                <ask:type>
                  <ask:lineSketchNone/>
                </ask:type>
              </ask:lineSketchStyleProps>
            </a:ext>
          </a:extLst>
        </a:ln>
        <a:effectLst>
          <a:glow rad="101600">
            <a:schemeClr val="accent3">
              <a:satMod val="175000"/>
              <a:alpha val="40000"/>
            </a:schemeClr>
          </a:glow>
          <a:innerShdw blurRad="660400" dist="330200" dir="6720000">
            <a:prstClr val="black">
              <a:alpha val="79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vert="horz" wrap="square" rtlCol="0" anchor="t"/>
        <a:lstStyle/>
        <a:p>
          <a:pPr algn="ctr"/>
          <a:r>
            <a:rPr lang="en-US" sz="3000" b="0" u="sng">
              <a:solidFill>
                <a:schemeClr val="tx1"/>
              </a:solidFill>
            </a:rPr>
            <a:t>Total</a:t>
          </a:r>
          <a:r>
            <a:rPr lang="en-US" sz="3000" b="0" u="sng" baseline="0">
              <a:solidFill>
                <a:schemeClr val="tx1"/>
              </a:solidFill>
            </a:rPr>
            <a:t> Sales by Item and Category</a:t>
          </a:r>
        </a:p>
        <a:p>
          <a:pPr algn="ctr"/>
          <a:r>
            <a:rPr lang="en-US" sz="2500" b="0" u="none" baseline="0">
              <a:solidFill>
                <a:schemeClr val="tx1"/>
              </a:solidFill>
            </a:rPr>
            <a:t>Per Month</a:t>
          </a:r>
          <a:endParaRPr lang="en-US" sz="2500" b="0" u="none">
            <a:solidFill>
              <a:schemeClr val="tx1"/>
            </a:solidFill>
          </a:endParaRPr>
        </a:p>
      </xdr:txBody>
    </xdr:sp>
    <xdr:clientData/>
  </xdr:twoCellAnchor>
  <xdr:twoCellAnchor>
    <xdr:from>
      <xdr:col>27</xdr:col>
      <xdr:colOff>22414</xdr:colOff>
      <xdr:row>73</xdr:row>
      <xdr:rowOff>177208</xdr:rowOff>
    </xdr:from>
    <xdr:to>
      <xdr:col>31</xdr:col>
      <xdr:colOff>177210</xdr:colOff>
      <xdr:row>82</xdr:row>
      <xdr:rowOff>44822</xdr:rowOff>
    </xdr:to>
    <xdr:sp macro="" textlink="">
      <xdr:nvSpPr>
        <xdr:cNvPr id="52" name="Rectangle 51">
          <a:extLst>
            <a:ext uri="{FF2B5EF4-FFF2-40B4-BE49-F238E27FC236}">
              <a16:creationId xmlns:a16="http://schemas.microsoft.com/office/drawing/2014/main" id="{4E87E72F-2247-95E8-9161-26210F054A3E}"/>
            </a:ext>
          </a:extLst>
        </xdr:cNvPr>
        <xdr:cNvSpPr/>
      </xdr:nvSpPr>
      <xdr:spPr>
        <a:xfrm>
          <a:off x="18204088" y="13113487"/>
          <a:ext cx="2848378" cy="1462498"/>
        </a:xfrm>
        <a:prstGeom prst="rect">
          <a:avLst/>
        </a:prstGeom>
        <a:gradFill flip="none" rotWithShape="1">
          <a:gsLst>
            <a:gs pos="40000">
              <a:schemeClr val="bg1"/>
            </a:gs>
            <a:gs pos="74000">
              <a:schemeClr val="accent4">
                <a:lumMod val="45000"/>
                <a:lumOff val="55000"/>
              </a:schemeClr>
            </a:gs>
            <a:gs pos="83000">
              <a:schemeClr val="accent4">
                <a:lumMod val="45000"/>
                <a:lumOff val="55000"/>
              </a:schemeClr>
            </a:gs>
            <a:gs pos="100000">
              <a:schemeClr val="accent4">
                <a:lumMod val="30000"/>
                <a:lumOff val="70000"/>
              </a:schemeClr>
            </a:gs>
          </a:gsLst>
          <a:path path="circle">
            <a:fillToRect t="100000" r="100000"/>
          </a:path>
          <a:tileRect l="-100000" b="-100000"/>
        </a:gradFill>
        <a:ln cap="rnd">
          <a:noFill/>
          <a:round/>
        </a:ln>
        <a:effectLst>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24</xdr:col>
      <xdr:colOff>560294</xdr:colOff>
      <xdr:row>71</xdr:row>
      <xdr:rowOff>44822</xdr:rowOff>
    </xdr:from>
    <xdr:to>
      <xdr:col>33</xdr:col>
      <xdr:colOff>470647</xdr:colOff>
      <xdr:row>80</xdr:row>
      <xdr:rowOff>89647</xdr:rowOff>
    </xdr:to>
    <xdr:sp macro="" textlink="">
      <xdr:nvSpPr>
        <xdr:cNvPr id="46" name="TextBox 45">
          <a:extLst>
            <a:ext uri="{FF2B5EF4-FFF2-40B4-BE49-F238E27FC236}">
              <a16:creationId xmlns:a16="http://schemas.microsoft.com/office/drawing/2014/main" id="{53CE6F78-1CBA-44FC-9EA8-80F1B64EFA63}"/>
            </a:ext>
          </a:extLst>
        </xdr:cNvPr>
        <xdr:cNvSpPr txBox="1"/>
      </xdr:nvSpPr>
      <xdr:spPr>
        <a:xfrm>
          <a:off x="16721782" y="12626682"/>
          <a:ext cx="5970912" cy="16397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000" b="0" u="sng">
              <a:solidFill>
                <a:schemeClr val="tx1"/>
              </a:solidFill>
            </a:rPr>
            <a:t>Total Sales</a:t>
          </a:r>
        </a:p>
      </xdr:txBody>
    </xdr:sp>
    <xdr:clientData/>
  </xdr:twoCellAnchor>
  <xdr:twoCellAnchor>
    <xdr:from>
      <xdr:col>27</xdr:col>
      <xdr:colOff>3</xdr:colOff>
      <xdr:row>83</xdr:row>
      <xdr:rowOff>44823</xdr:rowOff>
    </xdr:from>
    <xdr:to>
      <xdr:col>31</xdr:col>
      <xdr:colOff>159489</xdr:colOff>
      <xdr:row>91</xdr:row>
      <xdr:rowOff>89646</xdr:rowOff>
    </xdr:to>
    <xdr:sp macro="" textlink="">
      <xdr:nvSpPr>
        <xdr:cNvPr id="54" name="Rectangle 53">
          <a:extLst>
            <a:ext uri="{FF2B5EF4-FFF2-40B4-BE49-F238E27FC236}">
              <a16:creationId xmlns:a16="http://schemas.microsoft.com/office/drawing/2014/main" id="{ED15A323-733E-479C-B894-82AEF1A8B984}"/>
            </a:ext>
          </a:extLst>
        </xdr:cNvPr>
        <xdr:cNvSpPr/>
      </xdr:nvSpPr>
      <xdr:spPr>
        <a:xfrm>
          <a:off x="18181677" y="14753195"/>
          <a:ext cx="2853068" cy="1462498"/>
        </a:xfrm>
        <a:prstGeom prst="rect">
          <a:avLst/>
        </a:prstGeom>
        <a:gradFill flip="none" rotWithShape="1">
          <a:gsLst>
            <a:gs pos="4000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path path="circle">
            <a:fillToRect t="100000" r="100000"/>
          </a:path>
          <a:tileRect l="-100000" b="-100000"/>
        </a:gradFill>
        <a:ln cap="rnd">
          <a:noFill/>
          <a:round/>
        </a:ln>
        <a:effectLst>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27</xdr:col>
      <xdr:colOff>1</xdr:colOff>
      <xdr:row>92</xdr:row>
      <xdr:rowOff>44823</xdr:rowOff>
    </xdr:from>
    <xdr:to>
      <xdr:col>31</xdr:col>
      <xdr:colOff>159488</xdr:colOff>
      <xdr:row>100</xdr:row>
      <xdr:rowOff>89646</xdr:rowOff>
    </xdr:to>
    <xdr:sp macro="" textlink="">
      <xdr:nvSpPr>
        <xdr:cNvPr id="55" name="Rectangle 54">
          <a:extLst>
            <a:ext uri="{FF2B5EF4-FFF2-40B4-BE49-F238E27FC236}">
              <a16:creationId xmlns:a16="http://schemas.microsoft.com/office/drawing/2014/main" id="{A15A86FD-7D7D-4807-AEBB-2685EF9C2297}"/>
            </a:ext>
          </a:extLst>
        </xdr:cNvPr>
        <xdr:cNvSpPr/>
      </xdr:nvSpPr>
      <xdr:spPr>
        <a:xfrm>
          <a:off x="18181675" y="16348079"/>
          <a:ext cx="2853069" cy="1462497"/>
        </a:xfrm>
        <a:prstGeom prst="rect">
          <a:avLst/>
        </a:prstGeom>
        <a:gradFill flip="none" rotWithShape="1">
          <a:gsLst>
            <a:gs pos="4000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path path="circle">
            <a:fillToRect t="100000" r="100000"/>
          </a:path>
          <a:tileRect l="-100000" b="-100000"/>
        </a:gradFill>
        <a:ln cap="rnd">
          <a:noFill/>
          <a:round/>
        </a:ln>
        <a:effectLst>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26</xdr:col>
      <xdr:colOff>666827</xdr:colOff>
      <xdr:row>101</xdr:row>
      <xdr:rowOff>93503</xdr:rowOff>
    </xdr:from>
    <xdr:to>
      <xdr:col>31</xdr:col>
      <xdr:colOff>141767</xdr:colOff>
      <xdr:row>109</xdr:row>
      <xdr:rowOff>138326</xdr:rowOff>
    </xdr:to>
    <xdr:sp macro="" textlink="">
      <xdr:nvSpPr>
        <xdr:cNvPr id="56" name="Rectangle 55">
          <a:extLst>
            <a:ext uri="{FF2B5EF4-FFF2-40B4-BE49-F238E27FC236}">
              <a16:creationId xmlns:a16="http://schemas.microsoft.com/office/drawing/2014/main" id="{64E2B56E-3651-42FE-BAD1-16F813992117}"/>
            </a:ext>
          </a:extLst>
        </xdr:cNvPr>
        <xdr:cNvSpPr/>
      </xdr:nvSpPr>
      <xdr:spPr>
        <a:xfrm>
          <a:off x="18175106" y="17991643"/>
          <a:ext cx="2841917" cy="1462497"/>
        </a:xfrm>
        <a:prstGeom prst="rect">
          <a:avLst/>
        </a:prstGeom>
        <a:gradFill flip="none" rotWithShape="1">
          <a:gsLst>
            <a:gs pos="4000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path path="circle">
            <a:fillToRect t="100000" r="100000"/>
          </a:path>
          <a:tileRect l="-100000" b="-100000"/>
        </a:gradFill>
        <a:ln cap="rnd">
          <a:noFill/>
          <a:round/>
        </a:ln>
        <a:effectLst>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27</xdr:col>
      <xdr:colOff>537883</xdr:colOff>
      <xdr:row>76</xdr:row>
      <xdr:rowOff>134471</xdr:rowOff>
    </xdr:from>
    <xdr:to>
      <xdr:col>30</xdr:col>
      <xdr:colOff>295428</xdr:colOff>
      <xdr:row>80</xdr:row>
      <xdr:rowOff>156882</xdr:rowOff>
    </xdr:to>
    <xdr:sp macro="" textlink="Task_PT!$B$4">
      <xdr:nvSpPr>
        <xdr:cNvPr id="47" name="TextBox 46">
          <a:extLst>
            <a:ext uri="{FF2B5EF4-FFF2-40B4-BE49-F238E27FC236}">
              <a16:creationId xmlns:a16="http://schemas.microsoft.com/office/drawing/2014/main" id="{6F5AF082-F26D-40F5-99AF-797A815EC5DD}"/>
            </a:ext>
          </a:extLst>
        </xdr:cNvPr>
        <xdr:cNvSpPr txBox="1"/>
      </xdr:nvSpPr>
      <xdr:spPr>
        <a:xfrm>
          <a:off x="18719557" y="13602378"/>
          <a:ext cx="1777731" cy="7312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11397A1-FDBE-43B7-8CF0-C505C5810734}" type="TxLink">
            <a:rPr lang="en-US" sz="2500" b="0" i="0" u="none" strike="noStrike">
              <a:solidFill>
                <a:schemeClr val="tx1"/>
              </a:solidFill>
              <a:latin typeface="Calibri"/>
              <a:ea typeface="Calibri"/>
              <a:cs typeface="Calibri"/>
            </a:rPr>
            <a:pPr algn="ctr"/>
            <a:t> 957,435 </a:t>
          </a:fld>
          <a:endParaRPr lang="en-US" sz="2500" b="0" u="none">
            <a:solidFill>
              <a:schemeClr val="tx1"/>
            </a:solidFill>
          </a:endParaRPr>
        </a:p>
      </xdr:txBody>
    </xdr:sp>
    <xdr:clientData/>
  </xdr:twoCellAnchor>
  <xdr:twoCellAnchor>
    <xdr:from>
      <xdr:col>27</xdr:col>
      <xdr:colOff>403412</xdr:colOff>
      <xdr:row>83</xdr:row>
      <xdr:rowOff>67235</xdr:rowOff>
    </xdr:from>
    <xdr:to>
      <xdr:col>31</xdr:col>
      <xdr:colOff>134471</xdr:colOff>
      <xdr:row>86</xdr:row>
      <xdr:rowOff>67235</xdr:rowOff>
    </xdr:to>
    <xdr:sp macro="" textlink="">
      <xdr:nvSpPr>
        <xdr:cNvPr id="48" name="TextBox 47">
          <a:extLst>
            <a:ext uri="{FF2B5EF4-FFF2-40B4-BE49-F238E27FC236}">
              <a16:creationId xmlns:a16="http://schemas.microsoft.com/office/drawing/2014/main" id="{91A4E6E3-DFE1-40D3-A598-F364CF26FA9D}"/>
            </a:ext>
          </a:extLst>
        </xdr:cNvPr>
        <xdr:cNvSpPr txBox="1"/>
      </xdr:nvSpPr>
      <xdr:spPr>
        <a:xfrm>
          <a:off x="18585086" y="14775607"/>
          <a:ext cx="2424641" cy="5316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000" b="0" u="sng">
              <a:solidFill>
                <a:schemeClr val="tx1"/>
              </a:solidFill>
            </a:rPr>
            <a:t>No. Orders</a:t>
          </a:r>
        </a:p>
      </xdr:txBody>
    </xdr:sp>
    <xdr:clientData/>
  </xdr:twoCellAnchor>
  <xdr:twoCellAnchor>
    <xdr:from>
      <xdr:col>27</xdr:col>
      <xdr:colOff>582706</xdr:colOff>
      <xdr:row>85</xdr:row>
      <xdr:rowOff>112059</xdr:rowOff>
    </xdr:from>
    <xdr:to>
      <xdr:col>30</xdr:col>
      <xdr:colOff>470646</xdr:colOff>
      <xdr:row>90</xdr:row>
      <xdr:rowOff>112058</xdr:rowOff>
    </xdr:to>
    <xdr:sp macro="" textlink="Task_PT!$B$29">
      <xdr:nvSpPr>
        <xdr:cNvPr id="49" name="TextBox 48">
          <a:extLst>
            <a:ext uri="{FF2B5EF4-FFF2-40B4-BE49-F238E27FC236}">
              <a16:creationId xmlns:a16="http://schemas.microsoft.com/office/drawing/2014/main" id="{722302F5-B3E1-47F0-A2B4-C68907903D2A}"/>
            </a:ext>
          </a:extLst>
        </xdr:cNvPr>
        <xdr:cNvSpPr txBox="1"/>
      </xdr:nvSpPr>
      <xdr:spPr>
        <a:xfrm>
          <a:off x="18764380" y="15174850"/>
          <a:ext cx="1908126" cy="8860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997837F-0DB8-4C59-A937-A95ADA4F818D}" type="TxLink">
            <a:rPr lang="en-US" sz="2500" b="0" i="0" u="none" strike="noStrike">
              <a:solidFill>
                <a:schemeClr val="tx1"/>
              </a:solidFill>
              <a:latin typeface="Calibri"/>
              <a:ea typeface="Calibri"/>
              <a:cs typeface="Calibri"/>
            </a:rPr>
            <a:pPr algn="ctr"/>
            <a:t> 1,036 </a:t>
          </a:fld>
          <a:endParaRPr lang="en-US" sz="2500" b="0" u="none">
            <a:solidFill>
              <a:schemeClr val="tx1"/>
            </a:solidFill>
          </a:endParaRPr>
        </a:p>
      </xdr:txBody>
    </xdr:sp>
    <xdr:clientData/>
  </xdr:twoCellAnchor>
  <xdr:twoCellAnchor>
    <xdr:from>
      <xdr:col>27</xdr:col>
      <xdr:colOff>67237</xdr:colOff>
      <xdr:row>91</xdr:row>
      <xdr:rowOff>112059</xdr:rowOff>
    </xdr:from>
    <xdr:to>
      <xdr:col>31</xdr:col>
      <xdr:colOff>89648</xdr:colOff>
      <xdr:row>100</xdr:row>
      <xdr:rowOff>44823</xdr:rowOff>
    </xdr:to>
    <xdr:sp macro="" textlink="Task_PT!C21">
      <xdr:nvSpPr>
        <xdr:cNvPr id="51" name="TextBox 50">
          <a:extLst>
            <a:ext uri="{FF2B5EF4-FFF2-40B4-BE49-F238E27FC236}">
              <a16:creationId xmlns:a16="http://schemas.microsoft.com/office/drawing/2014/main" id="{0ECBD146-CFDB-4E4E-AB71-271A6E200ADE}"/>
            </a:ext>
          </a:extLst>
        </xdr:cNvPr>
        <xdr:cNvSpPr txBox="1"/>
      </xdr:nvSpPr>
      <xdr:spPr>
        <a:xfrm>
          <a:off x="18248911" y="16238106"/>
          <a:ext cx="2715993" cy="1527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4C88A53-C495-4FDC-9645-400B9159623F}" type="TxLink">
            <a:rPr lang="en-US" sz="2500" b="0" i="0" u="none" strike="noStrike">
              <a:solidFill>
                <a:schemeClr val="tx1"/>
              </a:solidFill>
              <a:latin typeface="Calibri"/>
              <a:ea typeface="Calibri"/>
              <a:cs typeface="Calibri"/>
            </a:rPr>
            <a:pPr algn="ctr"/>
            <a:t> 10 </a:t>
          </a:fld>
          <a:endParaRPr lang="en-US" sz="2500" b="0" i="0" u="none" strike="noStrike">
            <a:solidFill>
              <a:schemeClr val="tx1"/>
            </a:solidFill>
            <a:latin typeface="Calibri"/>
            <a:ea typeface="Calibri"/>
            <a:cs typeface="Calibri"/>
          </a:endParaRPr>
        </a:p>
      </xdr:txBody>
    </xdr:sp>
    <xdr:clientData/>
  </xdr:twoCellAnchor>
  <xdr:twoCellAnchor>
    <xdr:from>
      <xdr:col>27</xdr:col>
      <xdr:colOff>156884</xdr:colOff>
      <xdr:row>92</xdr:row>
      <xdr:rowOff>89647</xdr:rowOff>
    </xdr:from>
    <xdr:to>
      <xdr:col>31</xdr:col>
      <xdr:colOff>48899</xdr:colOff>
      <xdr:row>95</xdr:row>
      <xdr:rowOff>22412</xdr:rowOff>
    </xdr:to>
    <xdr:sp macro="" textlink="">
      <xdr:nvSpPr>
        <xdr:cNvPr id="50" name="TextBox 49">
          <a:extLst>
            <a:ext uri="{FF2B5EF4-FFF2-40B4-BE49-F238E27FC236}">
              <a16:creationId xmlns:a16="http://schemas.microsoft.com/office/drawing/2014/main" id="{8E24928E-48B3-4780-BF0F-976AE402B409}"/>
            </a:ext>
          </a:extLst>
        </xdr:cNvPr>
        <xdr:cNvSpPr txBox="1"/>
      </xdr:nvSpPr>
      <xdr:spPr>
        <a:xfrm>
          <a:off x="18338558" y="16392903"/>
          <a:ext cx="2585597" cy="4643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3000" b="0" i="0" u="sng" strike="noStrike" kern="0" cap="none" spc="0" normalizeH="0" baseline="0" noProof="0">
              <a:ln>
                <a:noFill/>
              </a:ln>
              <a:solidFill>
                <a:schemeClr val="tx1"/>
              </a:solidFill>
              <a:effectLst/>
              <a:uLnTx/>
              <a:uFillTx/>
              <a:latin typeface="+mn-lt"/>
              <a:ea typeface="+mn-ea"/>
              <a:cs typeface="+mn-cs"/>
            </a:rPr>
            <a:t>No. Products</a:t>
          </a:r>
        </a:p>
      </xdr:txBody>
    </xdr:sp>
    <xdr:clientData/>
  </xdr:twoCellAnchor>
  <xdr:twoCellAnchor>
    <xdr:from>
      <xdr:col>26</xdr:col>
      <xdr:colOff>403413</xdr:colOff>
      <xdr:row>101</xdr:row>
      <xdr:rowOff>115256</xdr:rowOff>
    </xdr:from>
    <xdr:to>
      <xdr:col>31</xdr:col>
      <xdr:colOff>255905</xdr:colOff>
      <xdr:row>104</xdr:row>
      <xdr:rowOff>44824</xdr:rowOff>
    </xdr:to>
    <xdr:sp macro="" textlink="">
      <xdr:nvSpPr>
        <xdr:cNvPr id="22" name="TextBox 21">
          <a:extLst>
            <a:ext uri="{FF2B5EF4-FFF2-40B4-BE49-F238E27FC236}">
              <a16:creationId xmlns:a16="http://schemas.microsoft.com/office/drawing/2014/main" id="{99E1C9C8-4A0F-4803-A703-AD9B8A5ED49F}"/>
            </a:ext>
          </a:extLst>
        </xdr:cNvPr>
        <xdr:cNvSpPr txBox="1"/>
      </xdr:nvSpPr>
      <xdr:spPr>
        <a:xfrm>
          <a:off x="17911692" y="18013396"/>
          <a:ext cx="3219469" cy="4611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3000" b="0" i="0" u="sng" strike="noStrike" kern="0" cap="none" spc="0" normalizeH="0" baseline="0" noProof="0">
              <a:ln>
                <a:noFill/>
              </a:ln>
              <a:solidFill>
                <a:schemeClr val="tx1"/>
              </a:solidFill>
              <a:effectLst/>
              <a:uLnTx/>
              <a:uFillTx/>
              <a:latin typeface="+mn-lt"/>
              <a:ea typeface="+mn-ea"/>
              <a:cs typeface="+mn-cs"/>
            </a:rPr>
            <a:t>AVG. of Sales</a:t>
          </a:r>
        </a:p>
      </xdr:txBody>
    </xdr:sp>
    <xdr:clientData/>
  </xdr:twoCellAnchor>
  <xdr:twoCellAnchor>
    <xdr:from>
      <xdr:col>28</xdr:col>
      <xdr:colOff>27710</xdr:colOff>
      <xdr:row>105</xdr:row>
      <xdr:rowOff>35573</xdr:rowOff>
    </xdr:from>
    <xdr:to>
      <xdr:col>30</xdr:col>
      <xdr:colOff>166256</xdr:colOff>
      <xdr:row>106</xdr:row>
      <xdr:rowOff>170943</xdr:rowOff>
    </xdr:to>
    <xdr:sp macro="" textlink="Task_PT!$B$25">
      <xdr:nvSpPr>
        <xdr:cNvPr id="23" name="TextBox 22">
          <a:extLst>
            <a:ext uri="{FF2B5EF4-FFF2-40B4-BE49-F238E27FC236}">
              <a16:creationId xmlns:a16="http://schemas.microsoft.com/office/drawing/2014/main" id="{22C3C6B3-AE77-46D3-B2DE-F1FA05141D44}"/>
            </a:ext>
          </a:extLst>
        </xdr:cNvPr>
        <xdr:cNvSpPr txBox="1"/>
      </xdr:nvSpPr>
      <xdr:spPr>
        <a:xfrm>
          <a:off x="18882780" y="18642550"/>
          <a:ext cx="1485336" cy="3125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4A9EBF6-28C3-4846-9E1B-5FA9785B6D5C}" type="TxLink">
            <a:rPr lang="en-US" sz="2500" b="0" i="0" u="none" strike="noStrike">
              <a:solidFill>
                <a:schemeClr val="tx1"/>
              </a:solidFill>
              <a:latin typeface="Calibri"/>
              <a:ea typeface="Calibri"/>
              <a:cs typeface="Calibri"/>
            </a:rPr>
            <a:pPr algn="ctr"/>
            <a:t> 1 </a:t>
          </a:fld>
          <a:endParaRPr lang="en-US" sz="2500" b="0" i="0" u="none" strike="noStrike">
            <a:solidFill>
              <a:schemeClr val="tx1"/>
            </a:solidFill>
            <a:latin typeface="Calibri"/>
            <a:ea typeface="Calibri"/>
            <a:cs typeface="Calibri"/>
          </a:endParaRPr>
        </a:p>
      </xdr:txBody>
    </xdr:sp>
    <xdr:clientData/>
  </xdr:twoCellAnchor>
  <xdr:twoCellAnchor editAs="oneCell">
    <xdr:from>
      <xdr:col>27</xdr:col>
      <xdr:colOff>156885</xdr:colOff>
      <xdr:row>79</xdr:row>
      <xdr:rowOff>92609</xdr:rowOff>
    </xdr:from>
    <xdr:to>
      <xdr:col>28</xdr:col>
      <xdr:colOff>156883</xdr:colOff>
      <xdr:row>82</xdr:row>
      <xdr:rowOff>0</xdr:rowOff>
    </xdr:to>
    <xdr:pic>
      <xdr:nvPicPr>
        <xdr:cNvPr id="61" name="Picture 60">
          <a:extLst>
            <a:ext uri="{FF2B5EF4-FFF2-40B4-BE49-F238E27FC236}">
              <a16:creationId xmlns:a16="http://schemas.microsoft.com/office/drawing/2014/main" id="{6C3E06E8-4291-8559-56F2-3562EB1D99DA}"/>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22760" t="30844" r="22413" b="31168"/>
        <a:stretch>
          <a:fillRect/>
        </a:stretch>
      </xdr:blipFill>
      <xdr:spPr>
        <a:xfrm>
          <a:off x="18338559" y="14092144"/>
          <a:ext cx="673394" cy="439019"/>
        </a:xfrm>
        <a:prstGeom prst="rect">
          <a:avLst/>
        </a:prstGeom>
      </xdr:spPr>
    </xdr:pic>
    <xdr:clientData/>
  </xdr:twoCellAnchor>
  <xdr:twoCellAnchor editAs="oneCell">
    <xdr:from>
      <xdr:col>27</xdr:col>
      <xdr:colOff>44825</xdr:colOff>
      <xdr:row>96</xdr:row>
      <xdr:rowOff>0</xdr:rowOff>
    </xdr:from>
    <xdr:to>
      <xdr:col>28</xdr:col>
      <xdr:colOff>246530</xdr:colOff>
      <xdr:row>100</xdr:row>
      <xdr:rowOff>44823</xdr:rowOff>
    </xdr:to>
    <xdr:pic>
      <xdr:nvPicPr>
        <xdr:cNvPr id="63" name="Picture 62">
          <a:extLst>
            <a:ext uri="{FF2B5EF4-FFF2-40B4-BE49-F238E27FC236}">
              <a16:creationId xmlns:a16="http://schemas.microsoft.com/office/drawing/2014/main" id="{7A8D7398-743A-F2DB-817F-74A01763D972}"/>
            </a:ext>
          </a:extLst>
        </xdr:cNvPr>
        <xdr:cNvPicPr>
          <a:picLocks noChangeAspect="1"/>
        </xdr:cNvPicPr>
      </xdr:nvPicPr>
      <xdr:blipFill rotWithShape="1">
        <a:blip xmlns:r="http://schemas.openxmlformats.org/officeDocument/2006/relationships" r:embed="rId5" cstate="print">
          <a:extLst>
            <a:ext uri="{BEBA8EAE-BF5A-486C-A8C5-ECC9F3942E4B}">
              <a14:imgProps xmlns:a14="http://schemas.microsoft.com/office/drawing/2010/main">
                <a14:imgLayer r:embed="rId6">
                  <a14:imgEffect>
                    <a14:sharpenSoften amount="-8000"/>
                  </a14:imgEffect>
                  <a14:imgEffect>
                    <a14:brightnessContrast bright="20000" contrast="40000"/>
                  </a14:imgEffect>
                </a14:imgLayer>
              </a14:imgProps>
            </a:ext>
            <a:ext uri="{28A0092B-C50C-407E-A947-70E740481C1C}">
              <a14:useLocalDpi xmlns:a14="http://schemas.microsoft.com/office/drawing/2010/main" val="0"/>
            </a:ext>
          </a:extLst>
        </a:blip>
        <a:srcRect l="27574" t="12255" r="31066" b="18301"/>
        <a:stretch>
          <a:fillRect/>
        </a:stretch>
      </xdr:blipFill>
      <xdr:spPr>
        <a:xfrm>
          <a:off x="18226499" y="17012093"/>
          <a:ext cx="875101" cy="753660"/>
        </a:xfrm>
        <a:prstGeom prst="rect">
          <a:avLst/>
        </a:prstGeom>
      </xdr:spPr>
    </xdr:pic>
    <xdr:clientData/>
  </xdr:twoCellAnchor>
  <xdr:twoCellAnchor editAs="oneCell">
    <xdr:from>
      <xdr:col>27</xdr:col>
      <xdr:colOff>67236</xdr:colOff>
      <xdr:row>105</xdr:row>
      <xdr:rowOff>176494</xdr:rowOff>
    </xdr:from>
    <xdr:to>
      <xdr:col>28</xdr:col>
      <xdr:colOff>470647</xdr:colOff>
      <xdr:row>109</xdr:row>
      <xdr:rowOff>22413</xdr:rowOff>
    </xdr:to>
    <xdr:pic>
      <xdr:nvPicPr>
        <xdr:cNvPr id="65" name="Picture 64">
          <a:extLst>
            <a:ext uri="{FF2B5EF4-FFF2-40B4-BE49-F238E27FC236}">
              <a16:creationId xmlns:a16="http://schemas.microsoft.com/office/drawing/2014/main" id="{6A6C8ECB-2678-50E5-E038-819B4C43DB93}"/>
            </a:ext>
          </a:extLst>
        </xdr:cNvPr>
        <xdr:cNvPicPr>
          <a:picLocks noChangeAspect="1"/>
        </xdr:cNvPicPr>
      </xdr:nvPicPr>
      <xdr:blipFill rotWithShape="1">
        <a:blip xmlns:r="http://schemas.openxmlformats.org/officeDocument/2006/relationships" r:embed="rId7" cstate="print">
          <a:extLst>
            <a:ext uri="{BEBA8EAE-BF5A-486C-A8C5-ECC9F3942E4B}">
              <a14:imgProps xmlns:a14="http://schemas.microsoft.com/office/drawing/2010/main">
                <a14:imgLayer r:embed="rId8">
                  <a14:imgEffect>
                    <a14:sharpenSoften amount="50000"/>
                  </a14:imgEffect>
                  <a14:imgEffect>
                    <a14:saturation sat="400000"/>
                  </a14:imgEffect>
                  <a14:imgEffect>
                    <a14:brightnessContrast bright="20000" contrast="40000"/>
                  </a14:imgEffect>
                </a14:imgLayer>
              </a14:imgProps>
            </a:ext>
            <a:ext uri="{28A0092B-C50C-407E-A947-70E740481C1C}">
              <a14:useLocalDpi xmlns:a14="http://schemas.microsoft.com/office/drawing/2010/main" val="0"/>
            </a:ext>
          </a:extLst>
        </a:blip>
        <a:srcRect l="14996" t="26643" r="14432" b="26990"/>
        <a:stretch>
          <a:fillRect/>
        </a:stretch>
      </xdr:blipFill>
      <xdr:spPr>
        <a:xfrm>
          <a:off x="18248910" y="18783471"/>
          <a:ext cx="1076807" cy="554756"/>
        </a:xfrm>
        <a:prstGeom prst="rect">
          <a:avLst/>
        </a:prstGeom>
      </xdr:spPr>
    </xdr:pic>
    <xdr:clientData/>
  </xdr:twoCellAnchor>
  <xdr:twoCellAnchor editAs="oneCell">
    <xdr:from>
      <xdr:col>27</xdr:col>
      <xdr:colOff>134472</xdr:colOff>
      <xdr:row>87</xdr:row>
      <xdr:rowOff>1730</xdr:rowOff>
    </xdr:from>
    <xdr:to>
      <xdr:col>28</xdr:col>
      <xdr:colOff>201706</xdr:colOff>
      <xdr:row>91</xdr:row>
      <xdr:rowOff>22411</xdr:rowOff>
    </xdr:to>
    <xdr:pic>
      <xdr:nvPicPr>
        <xdr:cNvPr id="67" name="Picture 66">
          <a:extLst>
            <a:ext uri="{FF2B5EF4-FFF2-40B4-BE49-F238E27FC236}">
              <a16:creationId xmlns:a16="http://schemas.microsoft.com/office/drawing/2014/main" id="{317950A6-4428-9991-1EAA-917CF739005B}"/>
            </a:ext>
          </a:extLst>
        </xdr:cNvPr>
        <xdr:cNvPicPr>
          <a:picLocks noChangeAspect="1"/>
        </xdr:cNvPicPr>
      </xdr:nvPicPr>
      <xdr:blipFill rotWithShape="1">
        <a:blip xmlns:r="http://schemas.openxmlformats.org/officeDocument/2006/relationships" r:embed="rId9" cstate="print">
          <a:extLst>
            <a:ext uri="{BEBA8EAE-BF5A-486C-A8C5-ECC9F3942E4B}">
              <a14:imgProps xmlns:a14="http://schemas.microsoft.com/office/drawing/2010/main">
                <a14:imgLayer r:embed="rId10">
                  <a14:imgEffect>
                    <a14:sharpenSoften amount="-25000"/>
                  </a14:imgEffect>
                </a14:imgLayer>
              </a14:imgProps>
            </a:ext>
            <a:ext uri="{28A0092B-C50C-407E-A947-70E740481C1C}">
              <a14:useLocalDpi xmlns:a14="http://schemas.microsoft.com/office/drawing/2010/main" val="0"/>
            </a:ext>
          </a:extLst>
        </a:blip>
        <a:srcRect l="20032" t="17170" r="19872" b="16693"/>
        <a:stretch>
          <a:fillRect/>
        </a:stretch>
      </xdr:blipFill>
      <xdr:spPr>
        <a:xfrm>
          <a:off x="18316146" y="15418939"/>
          <a:ext cx="740630" cy="729519"/>
        </a:xfrm>
        <a:prstGeom prst="rect">
          <a:avLst/>
        </a:prstGeom>
        <a:effectLst>
          <a:softEdge rad="12700"/>
        </a:effectLst>
      </xdr:spPr>
    </xdr:pic>
    <xdr:clientData/>
  </xdr:twoCellAnchor>
  <xdr:twoCellAnchor>
    <xdr:from>
      <xdr:col>7</xdr:col>
      <xdr:colOff>134470</xdr:colOff>
      <xdr:row>53</xdr:row>
      <xdr:rowOff>156883</xdr:rowOff>
    </xdr:from>
    <xdr:to>
      <xdr:col>20</xdr:col>
      <xdr:colOff>230372</xdr:colOff>
      <xdr:row>72</xdr:row>
      <xdr:rowOff>0</xdr:rowOff>
    </xdr:to>
    <xdr:graphicFrame macro="">
      <xdr:nvGraphicFramePr>
        <xdr:cNvPr id="68" name="Chart 67">
          <a:extLst>
            <a:ext uri="{FF2B5EF4-FFF2-40B4-BE49-F238E27FC236}">
              <a16:creationId xmlns:a16="http://schemas.microsoft.com/office/drawing/2014/main" id="{514D2ABE-A49C-4F59-9078-03AF0D87FC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20</xdr:col>
      <xdr:colOff>230372</xdr:colOff>
      <xdr:row>53</xdr:row>
      <xdr:rowOff>157976</xdr:rowOff>
    </xdr:from>
    <xdr:to>
      <xdr:col>26</xdr:col>
      <xdr:colOff>620233</xdr:colOff>
      <xdr:row>71</xdr:row>
      <xdr:rowOff>177141</xdr:rowOff>
    </xdr:to>
    <xdr:graphicFrame macro="">
      <xdr:nvGraphicFramePr>
        <xdr:cNvPr id="69" name="Chart 68">
          <a:extLst>
            <a:ext uri="{FF2B5EF4-FFF2-40B4-BE49-F238E27FC236}">
              <a16:creationId xmlns:a16="http://schemas.microsoft.com/office/drawing/2014/main" id="{CAE22B54-CC3D-4BC8-BED0-35088D96BD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298938</xdr:colOff>
      <xdr:row>65</xdr:row>
      <xdr:rowOff>56109</xdr:rowOff>
    </xdr:from>
    <xdr:to>
      <xdr:col>11</xdr:col>
      <xdr:colOff>584556</xdr:colOff>
      <xdr:row>78</xdr:row>
      <xdr:rowOff>17584</xdr:rowOff>
    </xdr:to>
    <mc:AlternateContent xmlns:mc="http://schemas.openxmlformats.org/markup-compatibility/2006" xmlns:a14="http://schemas.microsoft.com/office/drawing/2010/main">
      <mc:Choice Requires="a14">
        <xdr:graphicFrame macro="">
          <xdr:nvGraphicFramePr>
            <xdr:cNvPr id="20" name="year 2">
              <a:extLst>
                <a:ext uri="{FF2B5EF4-FFF2-40B4-BE49-F238E27FC236}">
                  <a16:creationId xmlns:a16="http://schemas.microsoft.com/office/drawing/2014/main" id="{2DE7DE57-C393-6ED0-EB90-88D37E4A2678}"/>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9401907" y="11867109"/>
              <a:ext cx="766264" cy="2323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20514</xdr:colOff>
      <xdr:row>65</xdr:row>
      <xdr:rowOff>73268</xdr:rowOff>
    </xdr:from>
    <xdr:to>
      <xdr:col>10</xdr:col>
      <xdr:colOff>205153</xdr:colOff>
      <xdr:row>80</xdr:row>
      <xdr:rowOff>90853</xdr:rowOff>
    </xdr:to>
    <xdr:graphicFrame macro="">
      <xdr:nvGraphicFramePr>
        <xdr:cNvPr id="22" name="Chart 21">
          <a:extLst>
            <a:ext uri="{FF2B5EF4-FFF2-40B4-BE49-F238E27FC236}">
              <a16:creationId xmlns:a16="http://schemas.microsoft.com/office/drawing/2014/main" id="{B5139F07-6B1D-746B-87E2-7EB75B17A3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118259</xdr:colOff>
      <xdr:row>4</xdr:row>
      <xdr:rowOff>78922</xdr:rowOff>
    </xdr:from>
    <xdr:to>
      <xdr:col>31</xdr:col>
      <xdr:colOff>512618</xdr:colOff>
      <xdr:row>49</xdr:row>
      <xdr:rowOff>0</xdr:rowOff>
    </xdr:to>
    <xdr:sp macro="" textlink="">
      <xdr:nvSpPr>
        <xdr:cNvPr id="3" name="Rectangle: Rounded Corners 2">
          <a:extLst>
            <a:ext uri="{FF2B5EF4-FFF2-40B4-BE49-F238E27FC236}">
              <a16:creationId xmlns:a16="http://schemas.microsoft.com/office/drawing/2014/main" id="{53FE3F05-F65A-2C41-C34E-5FE3D0F84670}"/>
            </a:ext>
          </a:extLst>
        </xdr:cNvPr>
        <xdr:cNvSpPr/>
      </xdr:nvSpPr>
      <xdr:spPr>
        <a:xfrm>
          <a:off x="2556659" y="799358"/>
          <a:ext cx="16853559" cy="8025987"/>
        </a:xfrm>
        <a:prstGeom prst="roundRect">
          <a:avLst/>
        </a:prstGeom>
        <a:solidFill>
          <a:srgbClr val="36306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318098</xdr:colOff>
      <xdr:row>4</xdr:row>
      <xdr:rowOff>9404</xdr:rowOff>
    </xdr:from>
    <xdr:to>
      <xdr:col>24</xdr:col>
      <xdr:colOff>312779</xdr:colOff>
      <xdr:row>10</xdr:row>
      <xdr:rowOff>147702</xdr:rowOff>
    </xdr:to>
    <xdr:sp macro="" textlink="">
      <xdr:nvSpPr>
        <xdr:cNvPr id="4" name="TextBox 3">
          <a:extLst>
            <a:ext uri="{FF2B5EF4-FFF2-40B4-BE49-F238E27FC236}">
              <a16:creationId xmlns:a16="http://schemas.microsoft.com/office/drawing/2014/main" id="{27B68DBA-E484-8AA4-02BA-53A4562AA5D5}"/>
            </a:ext>
          </a:extLst>
        </xdr:cNvPr>
        <xdr:cNvSpPr txBox="1"/>
      </xdr:nvSpPr>
      <xdr:spPr>
        <a:xfrm>
          <a:off x="7023698" y="729840"/>
          <a:ext cx="7919481" cy="1218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400">
              <a:solidFill>
                <a:srgbClr val="F5E8C7"/>
              </a:solidFill>
            </a:rPr>
            <a:t>Town</a:t>
          </a:r>
          <a:r>
            <a:rPr lang="en-US" sz="4400" baseline="0">
              <a:solidFill>
                <a:srgbClr val="F5E8C7"/>
              </a:solidFill>
            </a:rPr>
            <a:t> Team sales dashboard</a:t>
          </a:r>
          <a:endParaRPr lang="en-US" sz="4400">
            <a:solidFill>
              <a:srgbClr val="F5E8C7"/>
            </a:solidFill>
          </a:endParaRPr>
        </a:p>
      </xdr:txBody>
    </xdr:sp>
    <xdr:clientData/>
  </xdr:twoCellAnchor>
  <xdr:twoCellAnchor>
    <xdr:from>
      <xdr:col>4</xdr:col>
      <xdr:colOff>392440</xdr:colOff>
      <xdr:row>11</xdr:row>
      <xdr:rowOff>124690</xdr:rowOff>
    </xdr:from>
    <xdr:to>
      <xdr:col>11</xdr:col>
      <xdr:colOff>152399</xdr:colOff>
      <xdr:row>17</xdr:row>
      <xdr:rowOff>126282</xdr:rowOff>
    </xdr:to>
    <xdr:sp macro="" textlink="">
      <xdr:nvSpPr>
        <xdr:cNvPr id="5" name="TextBox 4">
          <a:extLst>
            <a:ext uri="{FF2B5EF4-FFF2-40B4-BE49-F238E27FC236}">
              <a16:creationId xmlns:a16="http://schemas.microsoft.com/office/drawing/2014/main" id="{FD8D62E3-BAA7-B4BB-2B43-13AC636EC1D5}"/>
            </a:ext>
          </a:extLst>
        </xdr:cNvPr>
        <xdr:cNvSpPr txBox="1"/>
      </xdr:nvSpPr>
      <xdr:spPr>
        <a:xfrm>
          <a:off x="2830840" y="2105890"/>
          <a:ext cx="4027159" cy="1082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500">
              <a:solidFill>
                <a:srgbClr val="F5E8C7"/>
              </a:solidFill>
            </a:rPr>
            <a:t>Total</a:t>
          </a:r>
          <a:r>
            <a:rPr lang="en-US" sz="3500" baseline="0">
              <a:solidFill>
                <a:srgbClr val="F5E8C7"/>
              </a:solidFill>
            </a:rPr>
            <a:t> sales</a:t>
          </a:r>
          <a:endParaRPr lang="en-US" sz="3500">
            <a:solidFill>
              <a:srgbClr val="F5E8C7"/>
            </a:solidFill>
          </a:endParaRPr>
        </a:p>
      </xdr:txBody>
    </xdr:sp>
    <xdr:clientData/>
  </xdr:twoCellAnchor>
  <xdr:twoCellAnchor>
    <xdr:from>
      <xdr:col>4</xdr:col>
      <xdr:colOff>392440</xdr:colOff>
      <xdr:row>15</xdr:row>
      <xdr:rowOff>56310</xdr:rowOff>
    </xdr:from>
    <xdr:to>
      <xdr:col>11</xdr:col>
      <xdr:colOff>152399</xdr:colOff>
      <xdr:row>21</xdr:row>
      <xdr:rowOff>59407</xdr:rowOff>
    </xdr:to>
    <xdr:sp macro="" textlink="#REF!">
      <xdr:nvSpPr>
        <xdr:cNvPr id="6" name="TextBox 5">
          <a:extLst>
            <a:ext uri="{FF2B5EF4-FFF2-40B4-BE49-F238E27FC236}">
              <a16:creationId xmlns:a16="http://schemas.microsoft.com/office/drawing/2014/main" id="{15550745-3161-6D18-74EC-B1D0A59B9F74}"/>
            </a:ext>
          </a:extLst>
        </xdr:cNvPr>
        <xdr:cNvSpPr txBox="1"/>
      </xdr:nvSpPr>
      <xdr:spPr>
        <a:xfrm>
          <a:off x="2830840" y="2757946"/>
          <a:ext cx="4027159" cy="1083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16D62A1-FE52-45F0-BB19-033B3DD086BF}" type="TxLink">
            <a:rPr lang="en-US" sz="3000" b="0" i="0" u="none" strike="noStrike">
              <a:solidFill>
                <a:srgbClr val="F5E8C7"/>
              </a:solidFill>
              <a:latin typeface="Calibri"/>
              <a:ea typeface="Calibri"/>
              <a:cs typeface="Calibri"/>
            </a:rPr>
            <a:pPr algn="ctr"/>
            <a:t>EGP 988,000</a:t>
          </a:fld>
          <a:endParaRPr lang="en-US" sz="3000">
            <a:solidFill>
              <a:srgbClr val="F5E8C7"/>
            </a:solidFill>
          </a:endParaRPr>
        </a:p>
      </xdr:txBody>
    </xdr:sp>
    <xdr:clientData/>
  </xdr:twoCellAnchor>
  <xdr:twoCellAnchor>
    <xdr:from>
      <xdr:col>4</xdr:col>
      <xdr:colOff>392440</xdr:colOff>
      <xdr:row>18</xdr:row>
      <xdr:rowOff>169543</xdr:rowOff>
    </xdr:from>
    <xdr:to>
      <xdr:col>11</xdr:col>
      <xdr:colOff>152399</xdr:colOff>
      <xdr:row>24</xdr:row>
      <xdr:rowOff>171134</xdr:rowOff>
    </xdr:to>
    <xdr:sp macro="" textlink="">
      <xdr:nvSpPr>
        <xdr:cNvPr id="7" name="TextBox 6">
          <a:extLst>
            <a:ext uri="{FF2B5EF4-FFF2-40B4-BE49-F238E27FC236}">
              <a16:creationId xmlns:a16="http://schemas.microsoft.com/office/drawing/2014/main" id="{9123343B-1A82-2BAD-4F7F-00031E0FE8C7}"/>
            </a:ext>
          </a:extLst>
        </xdr:cNvPr>
        <xdr:cNvSpPr txBox="1"/>
      </xdr:nvSpPr>
      <xdr:spPr>
        <a:xfrm>
          <a:off x="2830840" y="3411507"/>
          <a:ext cx="4027159" cy="10822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500">
              <a:solidFill>
                <a:srgbClr val="F5E8C7"/>
              </a:solidFill>
            </a:rPr>
            <a:t># of producs </a:t>
          </a:r>
        </a:p>
      </xdr:txBody>
    </xdr:sp>
    <xdr:clientData/>
  </xdr:twoCellAnchor>
  <xdr:twoCellAnchor>
    <xdr:from>
      <xdr:col>4</xdr:col>
      <xdr:colOff>392440</xdr:colOff>
      <xdr:row>22</xdr:row>
      <xdr:rowOff>101161</xdr:rowOff>
    </xdr:from>
    <xdr:to>
      <xdr:col>11</xdr:col>
      <xdr:colOff>152399</xdr:colOff>
      <xdr:row>28</xdr:row>
      <xdr:rowOff>104256</xdr:rowOff>
    </xdr:to>
    <xdr:sp macro="" textlink="#REF!">
      <xdr:nvSpPr>
        <xdr:cNvPr id="8" name="TextBox 7">
          <a:extLst>
            <a:ext uri="{FF2B5EF4-FFF2-40B4-BE49-F238E27FC236}">
              <a16:creationId xmlns:a16="http://schemas.microsoft.com/office/drawing/2014/main" id="{CCE992F8-9675-9060-2B15-BF1F6AAB7E17}"/>
            </a:ext>
          </a:extLst>
        </xdr:cNvPr>
        <xdr:cNvSpPr txBox="1"/>
      </xdr:nvSpPr>
      <xdr:spPr>
        <a:xfrm>
          <a:off x="2830840" y="4063561"/>
          <a:ext cx="4027159" cy="1083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4D62CC9-DDD8-44F3-B706-C6093D22D930}" type="TxLink">
            <a:rPr lang="en-US" sz="3000" b="0" i="0" u="none" strike="noStrike">
              <a:solidFill>
                <a:srgbClr val="F5E8C7"/>
              </a:solidFill>
              <a:latin typeface="Calibri"/>
              <a:ea typeface="Calibri"/>
              <a:cs typeface="Calibri"/>
            </a:rPr>
            <a:pPr marL="0" indent="0" algn="ctr"/>
            <a:t>10</a:t>
          </a:fld>
          <a:endParaRPr lang="en-US" sz="3000" b="0" i="0" u="none" strike="noStrike">
            <a:solidFill>
              <a:srgbClr val="F5E8C7"/>
            </a:solidFill>
            <a:latin typeface="Calibri"/>
            <a:ea typeface="Calibri"/>
            <a:cs typeface="Calibri"/>
          </a:endParaRPr>
        </a:p>
      </xdr:txBody>
    </xdr:sp>
    <xdr:clientData/>
  </xdr:twoCellAnchor>
  <xdr:twoCellAnchor>
    <xdr:from>
      <xdr:col>4</xdr:col>
      <xdr:colOff>392440</xdr:colOff>
      <xdr:row>26</xdr:row>
      <xdr:rowOff>34284</xdr:rowOff>
    </xdr:from>
    <xdr:to>
      <xdr:col>11</xdr:col>
      <xdr:colOff>152399</xdr:colOff>
      <xdr:row>32</xdr:row>
      <xdr:rowOff>38652</xdr:rowOff>
    </xdr:to>
    <xdr:sp macro="" textlink="">
      <xdr:nvSpPr>
        <xdr:cNvPr id="9" name="TextBox 8">
          <a:extLst>
            <a:ext uri="{FF2B5EF4-FFF2-40B4-BE49-F238E27FC236}">
              <a16:creationId xmlns:a16="http://schemas.microsoft.com/office/drawing/2014/main" id="{486AB848-46FB-1734-DA19-B02B39345D43}"/>
            </a:ext>
          </a:extLst>
        </xdr:cNvPr>
        <xdr:cNvSpPr txBox="1"/>
      </xdr:nvSpPr>
      <xdr:spPr>
        <a:xfrm>
          <a:off x="2830840" y="4717120"/>
          <a:ext cx="4027159" cy="1085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500">
              <a:solidFill>
                <a:srgbClr val="F5E8C7"/>
              </a:solidFill>
            </a:rPr>
            <a:t>Avg of quantity </a:t>
          </a:r>
        </a:p>
      </xdr:txBody>
    </xdr:sp>
    <xdr:clientData/>
  </xdr:twoCellAnchor>
  <xdr:twoCellAnchor>
    <xdr:from>
      <xdr:col>4</xdr:col>
      <xdr:colOff>392440</xdr:colOff>
      <xdr:row>29</xdr:row>
      <xdr:rowOff>148788</xdr:rowOff>
    </xdr:from>
    <xdr:to>
      <xdr:col>11</xdr:col>
      <xdr:colOff>152399</xdr:colOff>
      <xdr:row>35</xdr:row>
      <xdr:rowOff>149109</xdr:rowOff>
    </xdr:to>
    <xdr:sp macro="" textlink="#REF!">
      <xdr:nvSpPr>
        <xdr:cNvPr id="10" name="TextBox 9">
          <a:extLst>
            <a:ext uri="{FF2B5EF4-FFF2-40B4-BE49-F238E27FC236}">
              <a16:creationId xmlns:a16="http://schemas.microsoft.com/office/drawing/2014/main" id="{925122E5-F7D4-1D88-DAF8-DF8AF151200B}"/>
            </a:ext>
          </a:extLst>
        </xdr:cNvPr>
        <xdr:cNvSpPr txBox="1"/>
      </xdr:nvSpPr>
      <xdr:spPr>
        <a:xfrm>
          <a:off x="2830840" y="5371952"/>
          <a:ext cx="4027159" cy="1080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4CCB83C-1227-4E53-9605-036D3B2B53DF}" type="TxLink">
            <a:rPr lang="en-US" sz="3000" b="0" i="0" u="none" strike="noStrike">
              <a:solidFill>
                <a:srgbClr val="F5E8C7"/>
              </a:solidFill>
              <a:latin typeface="Calibri"/>
              <a:ea typeface="Calibri"/>
              <a:cs typeface="Calibri"/>
            </a:rPr>
            <a:pPr marL="0" indent="0" algn="ctr"/>
            <a:t>1</a:t>
          </a:fld>
          <a:endParaRPr lang="en-US" sz="3000" b="0" i="0" u="none" strike="noStrike">
            <a:solidFill>
              <a:srgbClr val="F5E8C7"/>
            </a:solidFill>
            <a:latin typeface="Calibri"/>
            <a:ea typeface="Calibri"/>
            <a:cs typeface="Calibri"/>
          </a:endParaRPr>
        </a:p>
      </xdr:txBody>
    </xdr:sp>
    <xdr:clientData/>
  </xdr:twoCellAnchor>
  <xdr:twoCellAnchor>
    <xdr:from>
      <xdr:col>4</xdr:col>
      <xdr:colOff>392440</xdr:colOff>
      <xdr:row>33</xdr:row>
      <xdr:rowOff>79136</xdr:rowOff>
    </xdr:from>
    <xdr:to>
      <xdr:col>11</xdr:col>
      <xdr:colOff>152399</xdr:colOff>
      <xdr:row>39</xdr:row>
      <xdr:rowOff>80726</xdr:rowOff>
    </xdr:to>
    <xdr:sp macro="" textlink="">
      <xdr:nvSpPr>
        <xdr:cNvPr id="11" name="TextBox 10">
          <a:extLst>
            <a:ext uri="{FF2B5EF4-FFF2-40B4-BE49-F238E27FC236}">
              <a16:creationId xmlns:a16="http://schemas.microsoft.com/office/drawing/2014/main" id="{45349A09-C6E9-9258-C70A-D4CBC2D163E9}"/>
            </a:ext>
          </a:extLst>
        </xdr:cNvPr>
        <xdr:cNvSpPr txBox="1"/>
      </xdr:nvSpPr>
      <xdr:spPr>
        <a:xfrm>
          <a:off x="2830840" y="6022736"/>
          <a:ext cx="4027159" cy="10822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500">
              <a:solidFill>
                <a:srgbClr val="F5E8C7"/>
              </a:solidFill>
            </a:rPr>
            <a:t># of transaction </a:t>
          </a:r>
        </a:p>
      </xdr:txBody>
    </xdr:sp>
    <xdr:clientData/>
  </xdr:twoCellAnchor>
  <xdr:twoCellAnchor>
    <xdr:from>
      <xdr:col>4</xdr:col>
      <xdr:colOff>392440</xdr:colOff>
      <xdr:row>37</xdr:row>
      <xdr:rowOff>10757</xdr:rowOff>
    </xdr:from>
    <xdr:to>
      <xdr:col>11</xdr:col>
      <xdr:colOff>152399</xdr:colOff>
      <xdr:row>43</xdr:row>
      <xdr:rowOff>13854</xdr:rowOff>
    </xdr:to>
    <xdr:sp macro="" textlink="#REF!">
      <xdr:nvSpPr>
        <xdr:cNvPr id="12" name="TextBox 11">
          <a:extLst>
            <a:ext uri="{FF2B5EF4-FFF2-40B4-BE49-F238E27FC236}">
              <a16:creationId xmlns:a16="http://schemas.microsoft.com/office/drawing/2014/main" id="{20A204D0-1FB9-7648-D62A-A6C2AFF9DC45}"/>
            </a:ext>
          </a:extLst>
        </xdr:cNvPr>
        <xdr:cNvSpPr txBox="1"/>
      </xdr:nvSpPr>
      <xdr:spPr>
        <a:xfrm>
          <a:off x="2830840" y="6674793"/>
          <a:ext cx="4027159" cy="1083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7781DBE-8153-48D3-AB7E-3AA67A715906}" type="TxLink">
            <a:rPr lang="en-US" sz="3000" b="0" i="0" u="none" strike="noStrike">
              <a:solidFill>
                <a:srgbClr val="F5E8C7"/>
              </a:solidFill>
              <a:latin typeface="Calibri"/>
              <a:ea typeface="Calibri"/>
              <a:cs typeface="Calibri"/>
            </a:rPr>
            <a:pPr marL="0" indent="0" algn="ctr"/>
            <a:t>1038</a:t>
          </a:fld>
          <a:endParaRPr lang="en-US" sz="3000" b="0" i="0" u="none" strike="noStrike">
            <a:solidFill>
              <a:srgbClr val="F5E8C7"/>
            </a:solidFill>
            <a:latin typeface="Calibri"/>
            <a:ea typeface="Calibri"/>
            <a:cs typeface="Calibri"/>
          </a:endParaRPr>
        </a:p>
      </xdr:txBody>
    </xdr:sp>
    <xdr:clientData/>
  </xdr:twoCellAnchor>
  <xdr:twoCellAnchor>
    <xdr:from>
      <xdr:col>11</xdr:col>
      <xdr:colOff>541068</xdr:colOff>
      <xdr:row>12</xdr:row>
      <xdr:rowOff>105131</xdr:rowOff>
    </xdr:from>
    <xdr:to>
      <xdr:col>31</xdr:col>
      <xdr:colOff>65314</xdr:colOff>
      <xdr:row>30</xdr:row>
      <xdr:rowOff>69273</xdr:rowOff>
    </xdr:to>
    <xdr:graphicFrame macro="">
      <xdr:nvGraphicFramePr>
        <xdr:cNvPr id="13" name="Chart 12">
          <a:extLst>
            <a:ext uri="{FF2B5EF4-FFF2-40B4-BE49-F238E27FC236}">
              <a16:creationId xmlns:a16="http://schemas.microsoft.com/office/drawing/2014/main" id="{B3655FDA-7397-4DE2-A4A1-D1A412FCA7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287031</xdr:colOff>
      <xdr:row>32</xdr:row>
      <xdr:rowOff>71296</xdr:rowOff>
    </xdr:from>
    <xdr:to>
      <xdr:col>20</xdr:col>
      <xdr:colOff>400544</xdr:colOff>
      <xdr:row>47</xdr:row>
      <xdr:rowOff>109319</xdr:rowOff>
    </xdr:to>
    <xdr:graphicFrame macro="">
      <xdr:nvGraphicFramePr>
        <xdr:cNvPr id="14" name="Chart 13">
          <a:extLst>
            <a:ext uri="{FF2B5EF4-FFF2-40B4-BE49-F238E27FC236}">
              <a16:creationId xmlns:a16="http://schemas.microsoft.com/office/drawing/2014/main" id="{B4A07462-77BB-468C-81EC-1BF12660C2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180035</xdr:colOff>
      <xdr:row>32</xdr:row>
      <xdr:rowOff>26894</xdr:rowOff>
    </xdr:from>
    <xdr:to>
      <xdr:col>28</xdr:col>
      <xdr:colOff>591671</xdr:colOff>
      <xdr:row>47</xdr:row>
      <xdr:rowOff>123465</xdr:rowOff>
    </xdr:to>
    <xdr:graphicFrame macro="">
      <xdr:nvGraphicFramePr>
        <xdr:cNvPr id="15" name="Chart 14">
          <a:extLst>
            <a:ext uri="{FF2B5EF4-FFF2-40B4-BE49-F238E27FC236}">
              <a16:creationId xmlns:a16="http://schemas.microsoft.com/office/drawing/2014/main" id="{AA6ED497-A64B-4F6D-B851-60A7B8B606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180474</xdr:colOff>
      <xdr:row>0</xdr:row>
      <xdr:rowOff>100263</xdr:rowOff>
    </xdr:from>
    <xdr:to>
      <xdr:col>17</xdr:col>
      <xdr:colOff>435543</xdr:colOff>
      <xdr:row>31</xdr:row>
      <xdr:rowOff>103070</xdr:rowOff>
    </xdr:to>
    <xdr:sp macro="" textlink="">
      <xdr:nvSpPr>
        <xdr:cNvPr id="2" name="TextBox 1">
          <a:extLst>
            <a:ext uri="{FF2B5EF4-FFF2-40B4-BE49-F238E27FC236}">
              <a16:creationId xmlns:a16="http://schemas.microsoft.com/office/drawing/2014/main" id="{7E121920-ED04-E724-7350-DC69A2A81C9A}"/>
            </a:ext>
          </a:extLst>
        </xdr:cNvPr>
        <xdr:cNvSpPr txBox="1"/>
      </xdr:nvSpPr>
      <xdr:spPr>
        <a:xfrm>
          <a:off x="180474" y="100263"/>
          <a:ext cx="10618269" cy="572181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a:solidFill>
                <a:schemeClr val="dk1"/>
              </a:solidFill>
              <a:effectLst/>
              <a:latin typeface="+mn-lt"/>
              <a:ea typeface="+mn-ea"/>
              <a:cs typeface="+mn-cs"/>
            </a:rPr>
            <a:t>Total Sales:</a:t>
          </a:r>
          <a:endParaRPr lang="en-US" sz="1100" b="0" i="0">
            <a:solidFill>
              <a:schemeClr val="dk1"/>
            </a:solidFill>
            <a:effectLst/>
            <a:latin typeface="+mn-lt"/>
            <a:ea typeface="+mn-ea"/>
            <a:cs typeface="+mn-cs"/>
          </a:endParaRPr>
        </a:p>
        <a:p>
          <a:pPr lvl="1"/>
          <a:r>
            <a:rPr lang="en-US" sz="1100" b="0" i="0">
              <a:solidFill>
                <a:schemeClr val="dk1"/>
              </a:solidFill>
              <a:effectLst/>
              <a:latin typeface="+mn-lt"/>
              <a:ea typeface="+mn-ea"/>
              <a:cs typeface="+mn-cs"/>
            </a:rPr>
            <a:t>What is the total sales amount for the entire period?</a:t>
          </a:r>
        </a:p>
        <a:p>
          <a:r>
            <a:rPr lang="en-US" sz="1100" b="1" i="0">
              <a:solidFill>
                <a:schemeClr val="dk1"/>
              </a:solidFill>
              <a:effectLst/>
              <a:latin typeface="+mn-lt"/>
              <a:ea typeface="+mn-ea"/>
              <a:cs typeface="+mn-cs"/>
            </a:rPr>
            <a:t>Sales by Item:</a:t>
          </a:r>
          <a:endParaRPr lang="en-US" sz="1100" b="0" i="0">
            <a:solidFill>
              <a:schemeClr val="dk1"/>
            </a:solidFill>
            <a:effectLst/>
            <a:latin typeface="+mn-lt"/>
            <a:ea typeface="+mn-ea"/>
            <a:cs typeface="+mn-cs"/>
          </a:endParaRPr>
        </a:p>
        <a:p>
          <a:pPr lvl="1"/>
          <a:r>
            <a:rPr lang="en-US" sz="1100" b="0" i="0">
              <a:solidFill>
                <a:schemeClr val="dk1"/>
              </a:solidFill>
              <a:effectLst/>
              <a:latin typeface="+mn-lt"/>
              <a:ea typeface="+mn-ea"/>
              <a:cs typeface="+mn-cs"/>
            </a:rPr>
            <a:t>What is the total quantity sold and total</a:t>
          </a:r>
          <a:r>
            <a:rPr lang="en-US" sz="1100" b="0" i="0" baseline="0">
              <a:solidFill>
                <a:schemeClr val="dk1"/>
              </a:solidFill>
              <a:effectLst/>
              <a:latin typeface="+mn-lt"/>
              <a:ea typeface="+mn-ea"/>
              <a:cs typeface="+mn-cs"/>
            </a:rPr>
            <a:t> sales</a:t>
          </a:r>
          <a:r>
            <a:rPr lang="en-US" sz="1100" b="0" i="0">
              <a:solidFill>
                <a:schemeClr val="dk1"/>
              </a:solidFill>
              <a:effectLst/>
              <a:latin typeface="+mn-lt"/>
              <a:ea typeface="+mn-ea"/>
              <a:cs typeface="+mn-cs"/>
            </a:rPr>
            <a:t> generated for each item?</a:t>
          </a:r>
        </a:p>
        <a:p>
          <a:pPr lvl="1"/>
          <a:r>
            <a:rPr lang="en-US" sz="1100" b="0" i="0">
              <a:solidFill>
                <a:schemeClr val="dk1"/>
              </a:solidFill>
              <a:effectLst/>
              <a:latin typeface="+mn-lt"/>
              <a:ea typeface="+mn-ea"/>
              <a:cs typeface="+mn-cs"/>
            </a:rPr>
            <a:t>Which item has the highest sales quantity?</a:t>
          </a:r>
        </a:p>
        <a:p>
          <a:r>
            <a:rPr lang="en-US" sz="1100" b="1" i="0">
              <a:solidFill>
                <a:schemeClr val="dk1"/>
              </a:solidFill>
              <a:effectLst/>
              <a:latin typeface="+mn-lt"/>
              <a:ea typeface="+mn-ea"/>
              <a:cs typeface="+mn-cs"/>
            </a:rPr>
            <a:t>Sales by Category:</a:t>
          </a:r>
          <a:endParaRPr lang="en-US" sz="1100" b="0" i="0">
            <a:solidFill>
              <a:schemeClr val="dk1"/>
            </a:solidFill>
            <a:effectLst/>
            <a:latin typeface="+mn-lt"/>
            <a:ea typeface="+mn-ea"/>
            <a:cs typeface="+mn-cs"/>
          </a:endParaRPr>
        </a:p>
        <a:p>
          <a:pPr lvl="1"/>
          <a:r>
            <a:rPr lang="en-US" sz="1100" b="0" i="0">
              <a:solidFill>
                <a:schemeClr val="dk1"/>
              </a:solidFill>
              <a:effectLst/>
              <a:latin typeface="+mn-lt"/>
              <a:ea typeface="+mn-ea"/>
              <a:cs typeface="+mn-cs"/>
            </a:rPr>
            <a:t>How much revenue is generated from each category?</a:t>
          </a:r>
        </a:p>
        <a:p>
          <a:pPr lvl="1"/>
          <a:r>
            <a:rPr lang="en-US" sz="1100" b="0" i="0">
              <a:solidFill>
                <a:schemeClr val="dk1"/>
              </a:solidFill>
              <a:effectLst/>
              <a:latin typeface="+mn-lt"/>
              <a:ea typeface="+mn-ea"/>
              <a:cs typeface="+mn-cs"/>
            </a:rPr>
            <a:t>Which category contributes the most to total sales?</a:t>
          </a:r>
        </a:p>
        <a:p>
          <a:r>
            <a:rPr lang="en-US" sz="1100" b="1" i="0">
              <a:solidFill>
                <a:schemeClr val="dk1"/>
              </a:solidFill>
              <a:effectLst/>
              <a:latin typeface="+mn-lt"/>
              <a:ea typeface="+mn-ea"/>
              <a:cs typeface="+mn-cs"/>
            </a:rPr>
            <a:t>Order Types Analysis:</a:t>
          </a:r>
          <a:endParaRPr lang="en-US" sz="1100" b="0" i="0">
            <a:solidFill>
              <a:schemeClr val="dk1"/>
            </a:solidFill>
            <a:effectLst/>
            <a:latin typeface="+mn-lt"/>
            <a:ea typeface="+mn-ea"/>
            <a:cs typeface="+mn-cs"/>
          </a:endParaRPr>
        </a:p>
        <a:p>
          <a:pPr lvl="1"/>
          <a:r>
            <a:rPr lang="en-US" sz="1100" b="0" i="0">
              <a:solidFill>
                <a:schemeClr val="dk1"/>
              </a:solidFill>
              <a:effectLst/>
              <a:latin typeface="+mn-lt"/>
              <a:ea typeface="+mn-ea"/>
              <a:cs typeface="+mn-cs"/>
            </a:rPr>
            <a:t>What is the distribution of sales between "On Shop" and "Online Order"?</a:t>
          </a:r>
        </a:p>
        <a:p>
          <a:pPr lvl="1"/>
          <a:r>
            <a:rPr lang="en-US" sz="1100" b="0" i="0">
              <a:solidFill>
                <a:schemeClr val="dk1"/>
              </a:solidFill>
              <a:effectLst/>
              <a:latin typeface="+mn-lt"/>
              <a:ea typeface="+mn-ea"/>
              <a:cs typeface="+mn-cs"/>
            </a:rPr>
            <a:t>Is there a significant difference in sales between the two order types?</a:t>
          </a:r>
        </a:p>
        <a:p>
          <a:r>
            <a:rPr lang="en-US" sz="1100" b="1" i="0">
              <a:solidFill>
                <a:schemeClr val="dk1"/>
              </a:solidFill>
              <a:effectLst/>
              <a:latin typeface="+mn-lt"/>
              <a:ea typeface="+mn-ea"/>
              <a:cs typeface="+mn-cs"/>
            </a:rPr>
            <a:t>Monthly Sales:</a:t>
          </a:r>
          <a:endParaRPr lang="en-US" sz="1100" b="0" i="0">
            <a:solidFill>
              <a:schemeClr val="dk1"/>
            </a:solidFill>
            <a:effectLst/>
            <a:latin typeface="+mn-lt"/>
            <a:ea typeface="+mn-ea"/>
            <a:cs typeface="+mn-cs"/>
          </a:endParaRPr>
        </a:p>
        <a:p>
          <a:pPr lvl="1"/>
          <a:r>
            <a:rPr lang="en-US" sz="1100" b="0" i="0">
              <a:solidFill>
                <a:schemeClr val="dk1"/>
              </a:solidFill>
              <a:effectLst/>
              <a:latin typeface="+mn-lt"/>
              <a:ea typeface="+mn-ea"/>
              <a:cs typeface="+mn-cs"/>
            </a:rPr>
            <a:t>What is the monthly trend in sales for the given period?</a:t>
          </a:r>
        </a:p>
        <a:p>
          <a:pPr lvl="1"/>
          <a:r>
            <a:rPr lang="en-US" sz="1100" b="0" i="0">
              <a:solidFill>
                <a:schemeClr val="dk1"/>
              </a:solidFill>
              <a:effectLst/>
              <a:latin typeface="+mn-lt"/>
              <a:ea typeface="+mn-ea"/>
              <a:cs typeface="+mn-cs"/>
            </a:rPr>
            <a:t>Are there any seasonal patterns or fluctuations in sales?</a:t>
          </a:r>
        </a:p>
        <a:p>
          <a:r>
            <a:rPr lang="en-US" sz="1100" b="1" i="0">
              <a:solidFill>
                <a:schemeClr val="dk1"/>
              </a:solidFill>
              <a:effectLst/>
              <a:latin typeface="+mn-lt"/>
              <a:ea typeface="+mn-ea"/>
              <a:cs typeface="+mn-cs"/>
            </a:rPr>
            <a:t>Top Selling Items:</a:t>
          </a:r>
          <a:endParaRPr lang="en-US" sz="1100" b="0" i="0">
            <a:solidFill>
              <a:schemeClr val="dk1"/>
            </a:solidFill>
            <a:effectLst/>
            <a:latin typeface="+mn-lt"/>
            <a:ea typeface="+mn-ea"/>
            <a:cs typeface="+mn-cs"/>
          </a:endParaRPr>
        </a:p>
        <a:p>
          <a:pPr lvl="1"/>
          <a:r>
            <a:rPr lang="en-US" sz="1100" b="0" i="0">
              <a:solidFill>
                <a:schemeClr val="dk1"/>
              </a:solidFill>
              <a:effectLst/>
              <a:latin typeface="+mn-lt"/>
              <a:ea typeface="+mn-ea"/>
              <a:cs typeface="+mn-cs"/>
            </a:rPr>
            <a:t>Identify the top 5 best-selling items based on quantity sold and revenue generated.</a:t>
          </a:r>
        </a:p>
        <a:p>
          <a:r>
            <a:rPr lang="en-US" sz="1100" b="1" i="0">
              <a:solidFill>
                <a:schemeClr val="dk1"/>
              </a:solidFill>
              <a:effectLst/>
              <a:latin typeface="+mn-lt"/>
              <a:ea typeface="+mn-ea"/>
              <a:cs typeface="+mn-cs"/>
            </a:rPr>
            <a:t>Average Selling Price:</a:t>
          </a:r>
          <a:endParaRPr lang="en-US" sz="1100" b="0" i="0">
            <a:solidFill>
              <a:schemeClr val="dk1"/>
            </a:solidFill>
            <a:effectLst/>
            <a:latin typeface="+mn-lt"/>
            <a:ea typeface="+mn-ea"/>
            <a:cs typeface="+mn-cs"/>
          </a:endParaRPr>
        </a:p>
        <a:p>
          <a:pPr lvl="1"/>
          <a:r>
            <a:rPr lang="en-US" sz="1100" b="0" i="0">
              <a:solidFill>
                <a:schemeClr val="dk1"/>
              </a:solidFill>
              <a:effectLst/>
              <a:latin typeface="+mn-lt"/>
              <a:ea typeface="+mn-ea"/>
              <a:cs typeface="+mn-cs"/>
            </a:rPr>
            <a:t>What is the average selling price for each item and category?</a:t>
          </a:r>
        </a:p>
        <a:p>
          <a:r>
            <a:rPr lang="en-US" sz="1100" b="1" i="0">
              <a:solidFill>
                <a:schemeClr val="dk1"/>
              </a:solidFill>
              <a:effectLst/>
              <a:latin typeface="+mn-lt"/>
              <a:ea typeface="+mn-ea"/>
              <a:cs typeface="+mn-cs"/>
            </a:rPr>
            <a:t>Sales by Date:</a:t>
          </a:r>
          <a:endParaRPr lang="en-US" sz="1100" b="0" i="0">
            <a:solidFill>
              <a:schemeClr val="dk1"/>
            </a:solidFill>
            <a:effectLst/>
            <a:latin typeface="+mn-lt"/>
            <a:ea typeface="+mn-ea"/>
            <a:cs typeface="+mn-cs"/>
          </a:endParaRPr>
        </a:p>
        <a:p>
          <a:pPr lvl="1"/>
          <a:r>
            <a:rPr lang="en-US" sz="1100" b="0" i="0">
              <a:solidFill>
                <a:schemeClr val="dk1"/>
              </a:solidFill>
              <a:effectLst/>
              <a:latin typeface="+mn-lt"/>
              <a:ea typeface="+mn-ea"/>
              <a:cs typeface="+mn-cs"/>
            </a:rPr>
            <a:t>How do sales vary on different days of the month?</a:t>
          </a:r>
        </a:p>
        <a:p>
          <a:r>
            <a:rPr lang="en-US" sz="1100" b="1" i="0">
              <a:solidFill>
                <a:schemeClr val="dk1"/>
              </a:solidFill>
              <a:effectLst/>
              <a:latin typeface="+mn-lt"/>
              <a:ea typeface="+mn-ea"/>
              <a:cs typeface="+mn-cs"/>
            </a:rPr>
            <a:t>Customer Behavior:</a:t>
          </a:r>
          <a:endParaRPr lang="en-US" sz="1100" b="0" i="0">
            <a:solidFill>
              <a:schemeClr val="dk1"/>
            </a:solidFill>
            <a:effectLst/>
            <a:latin typeface="+mn-lt"/>
            <a:ea typeface="+mn-ea"/>
            <a:cs typeface="+mn-cs"/>
          </a:endParaRPr>
        </a:p>
        <a:p>
          <a:pPr lvl="1"/>
          <a:r>
            <a:rPr lang="en-US" sz="1100" b="0" i="0">
              <a:solidFill>
                <a:schemeClr val="dk1"/>
              </a:solidFill>
              <a:effectLst/>
              <a:latin typeface="+mn-lt"/>
              <a:ea typeface="+mn-ea"/>
              <a:cs typeface="+mn-cs"/>
            </a:rPr>
            <a:t>What is the average quantity of items purchased per order?</a:t>
          </a:r>
        </a:p>
        <a:p>
          <a:pPr lvl="1"/>
          <a:r>
            <a:rPr lang="en-US" sz="1100" b="0" i="0">
              <a:solidFill>
                <a:schemeClr val="dk1"/>
              </a:solidFill>
              <a:effectLst/>
              <a:latin typeface="+mn-lt"/>
              <a:ea typeface="+mn-ea"/>
              <a:cs typeface="+mn-cs"/>
            </a:rPr>
            <a:t>Are there any trends in customer buying behavior?</a:t>
          </a:r>
        </a:p>
        <a:p>
          <a:r>
            <a:rPr lang="en-US" sz="1100" b="1" i="0">
              <a:solidFill>
                <a:schemeClr val="dk1"/>
              </a:solidFill>
              <a:effectLst/>
              <a:latin typeface="+mn-lt"/>
              <a:ea typeface="+mn-ea"/>
              <a:cs typeface="+mn-cs"/>
            </a:rPr>
            <a:t>Popular Brands:</a:t>
          </a:r>
          <a:endParaRPr lang="en-US" sz="1100" b="0" i="0">
            <a:solidFill>
              <a:schemeClr val="dk1"/>
            </a:solidFill>
            <a:effectLst/>
            <a:latin typeface="+mn-lt"/>
            <a:ea typeface="+mn-ea"/>
            <a:cs typeface="+mn-cs"/>
          </a:endParaRPr>
        </a:p>
        <a:p>
          <a:pPr lvl="1"/>
          <a:r>
            <a:rPr lang="en-US" sz="1100" b="0" i="0">
              <a:solidFill>
                <a:schemeClr val="dk1"/>
              </a:solidFill>
              <a:effectLst/>
              <a:latin typeface="+mn-lt"/>
              <a:ea typeface="+mn-ea"/>
              <a:cs typeface="+mn-cs"/>
            </a:rPr>
            <a:t>Identify the most popular brand based on sales quantity and revenue.</a:t>
          </a:r>
        </a:p>
        <a:p>
          <a:r>
            <a:rPr lang="en-US" sz="1100" b="1" i="0">
              <a:solidFill>
                <a:schemeClr val="dk1"/>
              </a:solidFill>
              <a:effectLst/>
              <a:latin typeface="+mn-lt"/>
              <a:ea typeface="+mn-ea"/>
              <a:cs typeface="+mn-cs"/>
            </a:rPr>
            <a:t>Semi Formal vs. Casual Wear:</a:t>
          </a:r>
          <a:endParaRPr lang="en-US" sz="1100" b="0" i="0">
            <a:solidFill>
              <a:schemeClr val="dk1"/>
            </a:solidFill>
            <a:effectLst/>
            <a:latin typeface="+mn-lt"/>
            <a:ea typeface="+mn-ea"/>
            <a:cs typeface="+mn-cs"/>
          </a:endParaRPr>
        </a:p>
        <a:p>
          <a:pPr lvl="1"/>
          <a:r>
            <a:rPr lang="en-US" sz="1100" b="0" i="0">
              <a:solidFill>
                <a:schemeClr val="dk1"/>
              </a:solidFill>
              <a:effectLst/>
              <a:latin typeface="+mn-lt"/>
              <a:ea typeface="+mn-ea"/>
              <a:cs typeface="+mn-cs"/>
            </a:rPr>
            <a:t>Compare the sales performance of Semi Formal and Casual Wear items.</a:t>
          </a:r>
        </a:p>
        <a:p>
          <a:pPr lvl="1"/>
          <a:r>
            <a:rPr lang="en-US" sz="1100" b="0" i="0">
              <a:solidFill>
                <a:schemeClr val="dk1"/>
              </a:solidFill>
              <a:effectLst/>
              <a:latin typeface="+mn-lt"/>
              <a:ea typeface="+mn-ea"/>
              <a:cs typeface="+mn-cs"/>
            </a:rPr>
            <a:t>Identify the top-selling item in each category.</a:t>
          </a:r>
        </a:p>
        <a:p>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190500</xdr:colOff>
      <xdr:row>44</xdr:row>
      <xdr:rowOff>15241</xdr:rowOff>
    </xdr:from>
    <xdr:to>
      <xdr:col>3</xdr:col>
      <xdr:colOff>670560</xdr:colOff>
      <xdr:row>50</xdr:row>
      <xdr:rowOff>83821</xdr:rowOff>
    </xdr:to>
    <mc:AlternateContent xmlns:mc="http://schemas.openxmlformats.org/markup-compatibility/2006" xmlns:a14="http://schemas.microsoft.com/office/drawing/2010/main">
      <mc:Choice Requires="a14">
        <xdr:graphicFrame macro="">
          <xdr:nvGraphicFramePr>
            <xdr:cNvPr id="22" name="Year">
              <a:extLst>
                <a:ext uri="{FF2B5EF4-FFF2-40B4-BE49-F238E27FC236}">
                  <a16:creationId xmlns:a16="http://schemas.microsoft.com/office/drawing/2014/main" id="{1BB69834-C86F-FE01-81A6-E82EDE0AC9C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331720" y="8061961"/>
              <a:ext cx="1828800" cy="11658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182880</xdr:colOff>
      <xdr:row>8</xdr:row>
      <xdr:rowOff>167640</xdr:rowOff>
    </xdr:from>
    <xdr:to>
      <xdr:col>10</xdr:col>
      <xdr:colOff>30480</xdr:colOff>
      <xdr:row>24</xdr:row>
      <xdr:rowOff>45720</xdr:rowOff>
    </xdr:to>
    <xdr:graphicFrame macro="">
      <xdr:nvGraphicFramePr>
        <xdr:cNvPr id="24" name="Chart 23">
          <a:extLst>
            <a:ext uri="{FF2B5EF4-FFF2-40B4-BE49-F238E27FC236}">
              <a16:creationId xmlns:a16="http://schemas.microsoft.com/office/drawing/2014/main" id="{6A22B84C-8CEF-6CDF-A1AA-0F36238CAD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167640</xdr:colOff>
      <xdr:row>25</xdr:row>
      <xdr:rowOff>22860</xdr:rowOff>
    </xdr:from>
    <xdr:to>
      <xdr:col>10</xdr:col>
      <xdr:colOff>30480</xdr:colOff>
      <xdr:row>40</xdr:row>
      <xdr:rowOff>22860</xdr:rowOff>
    </xdr:to>
    <xdr:graphicFrame macro="">
      <xdr:nvGraphicFramePr>
        <xdr:cNvPr id="25" name="Chart 24">
          <a:extLst>
            <a:ext uri="{FF2B5EF4-FFF2-40B4-BE49-F238E27FC236}">
              <a16:creationId xmlns:a16="http://schemas.microsoft.com/office/drawing/2014/main" id="{969AB76D-9F75-15EB-9D0D-AAC6854829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990600</xdr:colOff>
      <xdr:row>40</xdr:row>
      <xdr:rowOff>121920</xdr:rowOff>
    </xdr:from>
    <xdr:to>
      <xdr:col>8</xdr:col>
      <xdr:colOff>228600</xdr:colOff>
      <xdr:row>55</xdr:row>
      <xdr:rowOff>121920</xdr:rowOff>
    </xdr:to>
    <xdr:graphicFrame macro="">
      <xdr:nvGraphicFramePr>
        <xdr:cNvPr id="26" name="Chart 25">
          <a:extLst>
            <a:ext uri="{FF2B5EF4-FFF2-40B4-BE49-F238E27FC236}">
              <a16:creationId xmlns:a16="http://schemas.microsoft.com/office/drawing/2014/main" id="{34D19F5F-09B9-E671-2891-74C4FC5D97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861060</xdr:colOff>
      <xdr:row>56</xdr:row>
      <xdr:rowOff>68580</xdr:rowOff>
    </xdr:from>
    <xdr:to>
      <xdr:col>9</xdr:col>
      <xdr:colOff>701040</xdr:colOff>
      <xdr:row>71</xdr:row>
      <xdr:rowOff>68580</xdr:rowOff>
    </xdr:to>
    <xdr:graphicFrame macro="">
      <xdr:nvGraphicFramePr>
        <xdr:cNvPr id="27" name="Chart 26">
          <a:extLst>
            <a:ext uri="{FF2B5EF4-FFF2-40B4-BE49-F238E27FC236}">
              <a16:creationId xmlns:a16="http://schemas.microsoft.com/office/drawing/2014/main" id="{314EE370-3222-BD26-3116-DC107A9137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249382</xdr:colOff>
      <xdr:row>0</xdr:row>
      <xdr:rowOff>15240</xdr:rowOff>
    </xdr:from>
    <xdr:to>
      <xdr:col>44</xdr:col>
      <xdr:colOff>60960</xdr:colOff>
      <xdr:row>57</xdr:row>
      <xdr:rowOff>91439</xdr:rowOff>
    </xdr:to>
    <xdr:sp macro="" textlink="">
      <xdr:nvSpPr>
        <xdr:cNvPr id="2" name="Rectangle: Rounded Corners 1">
          <a:extLst>
            <a:ext uri="{FF2B5EF4-FFF2-40B4-BE49-F238E27FC236}">
              <a16:creationId xmlns:a16="http://schemas.microsoft.com/office/drawing/2014/main" id="{8C6FC846-C894-B2DE-E648-32D2571438E3}"/>
            </a:ext>
          </a:extLst>
        </xdr:cNvPr>
        <xdr:cNvSpPr/>
      </xdr:nvSpPr>
      <xdr:spPr>
        <a:xfrm>
          <a:off x="249382" y="15240"/>
          <a:ext cx="26633978" cy="10500359"/>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AF6F0"/>
            </a:solidFill>
          </a:endParaRPr>
        </a:p>
      </xdr:txBody>
    </xdr:sp>
    <xdr:clientData/>
  </xdr:twoCellAnchor>
  <xdr:twoCellAnchor>
    <xdr:from>
      <xdr:col>14</xdr:col>
      <xdr:colOff>338991</xdr:colOff>
      <xdr:row>2</xdr:row>
      <xdr:rowOff>110836</xdr:rowOff>
    </xdr:from>
    <xdr:to>
      <xdr:col>27</xdr:col>
      <xdr:colOff>255864</xdr:colOff>
      <xdr:row>6</xdr:row>
      <xdr:rowOff>152399</xdr:rowOff>
    </xdr:to>
    <xdr:sp macro="" textlink="">
      <xdr:nvSpPr>
        <xdr:cNvPr id="3" name="TextBox 2">
          <a:extLst>
            <a:ext uri="{FF2B5EF4-FFF2-40B4-BE49-F238E27FC236}">
              <a16:creationId xmlns:a16="http://schemas.microsoft.com/office/drawing/2014/main" id="{5AD5AF35-4AAE-0260-844D-39BFB1CFDF0C}"/>
            </a:ext>
          </a:extLst>
        </xdr:cNvPr>
        <xdr:cNvSpPr txBox="1"/>
      </xdr:nvSpPr>
      <xdr:spPr>
        <a:xfrm>
          <a:off x="8873391" y="471054"/>
          <a:ext cx="7841673" cy="76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5400" b="1">
              <a:solidFill>
                <a:srgbClr val="F4DFC8"/>
              </a:solidFill>
            </a:rPr>
            <a:t>Town Team Sales</a:t>
          </a:r>
          <a:r>
            <a:rPr lang="en-US" sz="5400" b="1" baseline="0">
              <a:solidFill>
                <a:srgbClr val="F4DFC8"/>
              </a:solidFill>
            </a:rPr>
            <a:t> Analysis</a:t>
          </a:r>
          <a:endParaRPr lang="en-US" sz="5400" b="1">
            <a:solidFill>
              <a:srgbClr val="F4DFC8"/>
            </a:solidFill>
          </a:endParaRPr>
        </a:p>
      </xdr:txBody>
    </xdr:sp>
    <xdr:clientData/>
  </xdr:twoCellAnchor>
  <xdr:twoCellAnchor>
    <xdr:from>
      <xdr:col>3</xdr:col>
      <xdr:colOff>256310</xdr:colOff>
      <xdr:row>5</xdr:row>
      <xdr:rowOff>55419</xdr:rowOff>
    </xdr:from>
    <xdr:to>
      <xdr:col>8</xdr:col>
      <xdr:colOff>228601</xdr:colOff>
      <xdr:row>8</xdr:row>
      <xdr:rowOff>83126</xdr:rowOff>
    </xdr:to>
    <xdr:sp macro="" textlink="">
      <xdr:nvSpPr>
        <xdr:cNvPr id="4" name="TextBox 3">
          <a:extLst>
            <a:ext uri="{FF2B5EF4-FFF2-40B4-BE49-F238E27FC236}">
              <a16:creationId xmlns:a16="http://schemas.microsoft.com/office/drawing/2014/main" id="{6C43B303-9ABC-EC3D-7B12-FB053D41F5DB}"/>
            </a:ext>
          </a:extLst>
        </xdr:cNvPr>
        <xdr:cNvSpPr txBox="1"/>
      </xdr:nvSpPr>
      <xdr:spPr>
        <a:xfrm>
          <a:off x="2085110" y="955964"/>
          <a:ext cx="3020291" cy="5680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000" b="1">
              <a:solidFill>
                <a:srgbClr val="F4DFC8"/>
              </a:solidFill>
            </a:rPr>
            <a:t>Total</a:t>
          </a:r>
          <a:r>
            <a:rPr lang="en-US" sz="3000" b="1" baseline="0">
              <a:solidFill>
                <a:srgbClr val="F4DFC8"/>
              </a:solidFill>
            </a:rPr>
            <a:t> Sales</a:t>
          </a:r>
          <a:endParaRPr lang="en-US" sz="3000" b="1">
            <a:solidFill>
              <a:srgbClr val="F4DFC8"/>
            </a:solidFill>
          </a:endParaRPr>
        </a:p>
      </xdr:txBody>
    </xdr:sp>
    <xdr:clientData/>
  </xdr:twoCellAnchor>
  <xdr:twoCellAnchor>
    <xdr:from>
      <xdr:col>3</xdr:col>
      <xdr:colOff>256310</xdr:colOff>
      <xdr:row>8</xdr:row>
      <xdr:rowOff>41564</xdr:rowOff>
    </xdr:from>
    <xdr:to>
      <xdr:col>8</xdr:col>
      <xdr:colOff>228601</xdr:colOff>
      <xdr:row>11</xdr:row>
      <xdr:rowOff>69272</xdr:rowOff>
    </xdr:to>
    <xdr:sp macro="" textlink="'Pivot tables'!A4">
      <xdr:nvSpPr>
        <xdr:cNvPr id="6" name="TextBox 5">
          <a:extLst>
            <a:ext uri="{FF2B5EF4-FFF2-40B4-BE49-F238E27FC236}">
              <a16:creationId xmlns:a16="http://schemas.microsoft.com/office/drawing/2014/main" id="{2FE93F03-7B1F-8D40-4D6C-92B08A834963}"/>
            </a:ext>
          </a:extLst>
        </xdr:cNvPr>
        <xdr:cNvSpPr txBox="1"/>
      </xdr:nvSpPr>
      <xdr:spPr>
        <a:xfrm>
          <a:off x="2085110" y="1482437"/>
          <a:ext cx="3020291" cy="5680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3E79B1-67FC-4DB3-97D3-D38244BE5511}" type="TxLink">
            <a:rPr lang="en-US" sz="2400" b="1" i="0" u="none" strike="noStrike">
              <a:ln>
                <a:solidFill>
                  <a:sysClr val="windowText" lastClr="000000"/>
                </a:solidFill>
              </a:ln>
              <a:solidFill>
                <a:srgbClr val="F4EAE0"/>
              </a:solidFill>
              <a:latin typeface="Calibri"/>
              <a:ea typeface="Calibri"/>
              <a:cs typeface="Calibri"/>
            </a:rPr>
            <a:pPr algn="ctr"/>
            <a:t>EGP 986,650</a:t>
          </a:fld>
          <a:endParaRPr lang="en-US" sz="5400" b="1">
            <a:ln>
              <a:solidFill>
                <a:sysClr val="windowText" lastClr="000000"/>
              </a:solidFill>
            </a:ln>
            <a:solidFill>
              <a:srgbClr val="F4EAE0"/>
            </a:solidFill>
          </a:endParaRPr>
        </a:p>
      </xdr:txBody>
    </xdr:sp>
    <xdr:clientData/>
  </xdr:twoCellAnchor>
  <xdr:twoCellAnchor>
    <xdr:from>
      <xdr:col>3</xdr:col>
      <xdr:colOff>247345</xdr:colOff>
      <xdr:row>12</xdr:row>
      <xdr:rowOff>83131</xdr:rowOff>
    </xdr:from>
    <xdr:to>
      <xdr:col>8</xdr:col>
      <xdr:colOff>219636</xdr:colOff>
      <xdr:row>15</xdr:row>
      <xdr:rowOff>110837</xdr:rowOff>
    </xdr:to>
    <xdr:sp macro="" textlink="">
      <xdr:nvSpPr>
        <xdr:cNvPr id="9" name="TextBox 8">
          <a:extLst>
            <a:ext uri="{FF2B5EF4-FFF2-40B4-BE49-F238E27FC236}">
              <a16:creationId xmlns:a16="http://schemas.microsoft.com/office/drawing/2014/main" id="{15748441-42C3-A1CF-DB5A-981BDBCC2D68}"/>
            </a:ext>
          </a:extLst>
        </xdr:cNvPr>
        <xdr:cNvSpPr txBox="1"/>
      </xdr:nvSpPr>
      <xdr:spPr>
        <a:xfrm>
          <a:off x="2076145" y="2244440"/>
          <a:ext cx="3020291" cy="5680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000" b="1">
              <a:solidFill>
                <a:srgbClr val="F4DFC8"/>
              </a:solidFill>
            </a:rPr>
            <a:t>Number of orders</a:t>
          </a:r>
        </a:p>
      </xdr:txBody>
    </xdr:sp>
    <xdr:clientData/>
  </xdr:twoCellAnchor>
  <xdr:twoCellAnchor>
    <xdr:from>
      <xdr:col>3</xdr:col>
      <xdr:colOff>247345</xdr:colOff>
      <xdr:row>15</xdr:row>
      <xdr:rowOff>69275</xdr:rowOff>
    </xdr:from>
    <xdr:to>
      <xdr:col>8</xdr:col>
      <xdr:colOff>219636</xdr:colOff>
      <xdr:row>18</xdr:row>
      <xdr:rowOff>96983</xdr:rowOff>
    </xdr:to>
    <xdr:sp macro="" textlink="'Pivot tables'!E78">
      <xdr:nvSpPr>
        <xdr:cNvPr id="10" name="TextBox 9">
          <a:extLst>
            <a:ext uri="{FF2B5EF4-FFF2-40B4-BE49-F238E27FC236}">
              <a16:creationId xmlns:a16="http://schemas.microsoft.com/office/drawing/2014/main" id="{15645102-4DF7-223C-0341-6551C649D9D4}"/>
            </a:ext>
          </a:extLst>
        </xdr:cNvPr>
        <xdr:cNvSpPr txBox="1"/>
      </xdr:nvSpPr>
      <xdr:spPr>
        <a:xfrm>
          <a:off x="2076145" y="2770911"/>
          <a:ext cx="3020291" cy="5680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8375559-E748-470E-9083-7292513F2505}" type="TxLink">
            <a:rPr lang="en-US" sz="2400" b="1" i="0" u="none" strike="noStrike">
              <a:ln>
                <a:solidFill>
                  <a:sysClr val="windowText" lastClr="000000"/>
                </a:solidFill>
              </a:ln>
              <a:solidFill>
                <a:srgbClr val="F4EAE0"/>
              </a:solidFill>
              <a:latin typeface="Calibri"/>
              <a:ea typeface="Calibri"/>
              <a:cs typeface="Calibri"/>
            </a:rPr>
            <a:pPr marL="0" indent="0" algn="ctr"/>
            <a:t>1036</a:t>
          </a:fld>
          <a:endParaRPr lang="en-US" sz="2400" b="1" i="0" u="none" strike="noStrike">
            <a:ln>
              <a:solidFill>
                <a:sysClr val="windowText" lastClr="000000"/>
              </a:solidFill>
            </a:ln>
            <a:solidFill>
              <a:srgbClr val="F4EAE0"/>
            </a:solidFill>
            <a:latin typeface="Calibri"/>
            <a:ea typeface="Calibri"/>
            <a:cs typeface="Calibri"/>
          </a:endParaRPr>
        </a:p>
      </xdr:txBody>
    </xdr:sp>
    <xdr:clientData/>
  </xdr:twoCellAnchor>
  <xdr:twoCellAnchor>
    <xdr:from>
      <xdr:col>3</xdr:col>
      <xdr:colOff>238380</xdr:colOff>
      <xdr:row>19</xdr:row>
      <xdr:rowOff>41572</xdr:rowOff>
    </xdr:from>
    <xdr:to>
      <xdr:col>8</xdr:col>
      <xdr:colOff>210671</xdr:colOff>
      <xdr:row>22</xdr:row>
      <xdr:rowOff>69279</xdr:rowOff>
    </xdr:to>
    <xdr:sp macro="" textlink="">
      <xdr:nvSpPr>
        <xdr:cNvPr id="11" name="TextBox 10">
          <a:extLst>
            <a:ext uri="{FF2B5EF4-FFF2-40B4-BE49-F238E27FC236}">
              <a16:creationId xmlns:a16="http://schemas.microsoft.com/office/drawing/2014/main" id="{C9158D8D-C25D-F780-DF80-2BBC3265DFFD}"/>
            </a:ext>
          </a:extLst>
        </xdr:cNvPr>
        <xdr:cNvSpPr txBox="1"/>
      </xdr:nvSpPr>
      <xdr:spPr>
        <a:xfrm>
          <a:off x="2067180" y="3463645"/>
          <a:ext cx="3020291" cy="5680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000" b="1">
              <a:solidFill>
                <a:srgbClr val="F4DFC8"/>
              </a:solidFill>
            </a:rPr>
            <a:t>Avg</a:t>
          </a:r>
          <a:r>
            <a:rPr lang="en-US" sz="3000" b="1" baseline="0">
              <a:solidFill>
                <a:srgbClr val="F4DFC8"/>
              </a:solidFill>
            </a:rPr>
            <a:t> Sales</a:t>
          </a:r>
          <a:endParaRPr lang="en-US" sz="3000" b="1">
            <a:solidFill>
              <a:srgbClr val="F4DFC8"/>
            </a:solidFill>
          </a:endParaRPr>
        </a:p>
      </xdr:txBody>
    </xdr:sp>
    <xdr:clientData/>
  </xdr:twoCellAnchor>
  <xdr:twoCellAnchor>
    <xdr:from>
      <xdr:col>3</xdr:col>
      <xdr:colOff>238380</xdr:colOff>
      <xdr:row>22</xdr:row>
      <xdr:rowOff>27717</xdr:rowOff>
    </xdr:from>
    <xdr:to>
      <xdr:col>8</xdr:col>
      <xdr:colOff>210671</xdr:colOff>
      <xdr:row>25</xdr:row>
      <xdr:rowOff>55424</xdr:rowOff>
    </xdr:to>
    <xdr:sp macro="" textlink="'Pivot tables'!E85">
      <xdr:nvSpPr>
        <xdr:cNvPr id="12" name="TextBox 11">
          <a:extLst>
            <a:ext uri="{FF2B5EF4-FFF2-40B4-BE49-F238E27FC236}">
              <a16:creationId xmlns:a16="http://schemas.microsoft.com/office/drawing/2014/main" id="{1DB4123E-770D-A4AB-AAF6-EC9812785758}"/>
            </a:ext>
          </a:extLst>
        </xdr:cNvPr>
        <xdr:cNvSpPr txBox="1"/>
      </xdr:nvSpPr>
      <xdr:spPr>
        <a:xfrm>
          <a:off x="2067180" y="3990117"/>
          <a:ext cx="3020291" cy="5680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35BE50A-65B7-41DA-A250-B6D2A8397DB1}" type="TxLink">
            <a:rPr lang="en-US" sz="2400" b="1" i="0" u="none" strike="noStrike">
              <a:ln>
                <a:solidFill>
                  <a:sysClr val="windowText" lastClr="000000"/>
                </a:solidFill>
              </a:ln>
              <a:solidFill>
                <a:srgbClr val="F4EAE0"/>
              </a:solidFill>
              <a:latin typeface="Calibri"/>
              <a:ea typeface="Calibri"/>
              <a:cs typeface="Calibri"/>
            </a:rPr>
            <a:pPr marL="0" indent="0" algn="ctr"/>
            <a:t>EGP 952</a:t>
          </a:fld>
          <a:endParaRPr lang="en-US" sz="2400" b="1" i="0" u="none" strike="noStrike">
            <a:ln>
              <a:solidFill>
                <a:sysClr val="windowText" lastClr="000000"/>
              </a:solidFill>
            </a:ln>
            <a:solidFill>
              <a:srgbClr val="F4EAE0"/>
            </a:solidFill>
            <a:latin typeface="Calibri"/>
            <a:ea typeface="Calibri"/>
            <a:cs typeface="Calibri"/>
          </a:endParaRPr>
        </a:p>
      </xdr:txBody>
    </xdr:sp>
    <xdr:clientData/>
  </xdr:twoCellAnchor>
  <xdr:twoCellAnchor>
    <xdr:from>
      <xdr:col>3</xdr:col>
      <xdr:colOff>229415</xdr:colOff>
      <xdr:row>27</xdr:row>
      <xdr:rowOff>13862</xdr:rowOff>
    </xdr:from>
    <xdr:to>
      <xdr:col>8</xdr:col>
      <xdr:colOff>286871</xdr:colOff>
      <xdr:row>30</xdr:row>
      <xdr:rowOff>41568</xdr:rowOff>
    </xdr:to>
    <xdr:sp macro="" textlink="">
      <xdr:nvSpPr>
        <xdr:cNvPr id="13" name="TextBox 12">
          <a:extLst>
            <a:ext uri="{FF2B5EF4-FFF2-40B4-BE49-F238E27FC236}">
              <a16:creationId xmlns:a16="http://schemas.microsoft.com/office/drawing/2014/main" id="{8700F570-1808-22DC-4312-6A78057CCA80}"/>
            </a:ext>
          </a:extLst>
        </xdr:cNvPr>
        <xdr:cNvSpPr txBox="1"/>
      </xdr:nvSpPr>
      <xdr:spPr>
        <a:xfrm>
          <a:off x="2058215" y="4876807"/>
          <a:ext cx="3105456" cy="5680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000" b="1">
              <a:solidFill>
                <a:srgbClr val="F4DFC8"/>
              </a:solidFill>
            </a:rPr>
            <a:t>Count of Products</a:t>
          </a:r>
        </a:p>
      </xdr:txBody>
    </xdr:sp>
    <xdr:clientData/>
  </xdr:twoCellAnchor>
  <xdr:twoCellAnchor>
    <xdr:from>
      <xdr:col>3</xdr:col>
      <xdr:colOff>229415</xdr:colOff>
      <xdr:row>30</xdr:row>
      <xdr:rowOff>6</xdr:rowOff>
    </xdr:from>
    <xdr:to>
      <xdr:col>8</xdr:col>
      <xdr:colOff>201706</xdr:colOff>
      <xdr:row>33</xdr:row>
      <xdr:rowOff>27715</xdr:rowOff>
    </xdr:to>
    <xdr:sp macro="" textlink="'Pivot tables'!G91">
      <xdr:nvSpPr>
        <xdr:cNvPr id="14" name="TextBox 13">
          <a:extLst>
            <a:ext uri="{FF2B5EF4-FFF2-40B4-BE49-F238E27FC236}">
              <a16:creationId xmlns:a16="http://schemas.microsoft.com/office/drawing/2014/main" id="{4C8FBDE5-839B-1A30-6E69-84AA4ADEFA57}"/>
            </a:ext>
          </a:extLst>
        </xdr:cNvPr>
        <xdr:cNvSpPr txBox="1"/>
      </xdr:nvSpPr>
      <xdr:spPr>
        <a:xfrm>
          <a:off x="2058215" y="5403279"/>
          <a:ext cx="3020291" cy="5680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454A4EA-ECDE-4361-B375-932EA7DB10B4}" type="TxLink">
            <a:rPr lang="en-US" sz="2400" b="1" i="0" u="none" strike="noStrike">
              <a:ln>
                <a:solidFill>
                  <a:sysClr val="windowText" lastClr="000000"/>
                </a:solidFill>
              </a:ln>
              <a:solidFill>
                <a:srgbClr val="F4EAE0"/>
              </a:solidFill>
              <a:latin typeface="Calibri"/>
              <a:ea typeface="Calibri"/>
              <a:cs typeface="Calibri"/>
            </a:rPr>
            <a:pPr marL="0" indent="0" algn="ctr"/>
            <a:t>10</a:t>
          </a:fld>
          <a:endParaRPr lang="en-US" sz="2400" b="1" i="0" u="none" strike="noStrike">
            <a:ln>
              <a:solidFill>
                <a:sysClr val="windowText" lastClr="000000"/>
              </a:solidFill>
            </a:ln>
            <a:solidFill>
              <a:srgbClr val="F4EAE0"/>
            </a:solidFill>
            <a:latin typeface="Calibri"/>
            <a:ea typeface="Calibri"/>
            <a:cs typeface="Calibri"/>
          </a:endParaRPr>
        </a:p>
      </xdr:txBody>
    </xdr:sp>
    <xdr:clientData/>
  </xdr:twoCellAnchor>
  <xdr:twoCellAnchor>
    <xdr:from>
      <xdr:col>9</xdr:col>
      <xdr:colOff>387928</xdr:colOff>
      <xdr:row>8</xdr:row>
      <xdr:rowOff>41562</xdr:rowOff>
    </xdr:from>
    <xdr:to>
      <xdr:col>28</xdr:col>
      <xdr:colOff>360218</xdr:colOff>
      <xdr:row>29</xdr:row>
      <xdr:rowOff>110836</xdr:rowOff>
    </xdr:to>
    <xdr:graphicFrame macro="">
      <xdr:nvGraphicFramePr>
        <xdr:cNvPr id="17" name="Chart 16">
          <a:extLst>
            <a:ext uri="{FF2B5EF4-FFF2-40B4-BE49-F238E27FC236}">
              <a16:creationId xmlns:a16="http://schemas.microsoft.com/office/drawing/2014/main" id="{4C0A2063-EDDE-4143-90C0-36B5CB75B0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498764</xdr:colOff>
      <xdr:row>8</xdr:row>
      <xdr:rowOff>166255</xdr:rowOff>
    </xdr:from>
    <xdr:to>
      <xdr:col>24</xdr:col>
      <xdr:colOff>235528</xdr:colOff>
      <xdr:row>13</xdr:row>
      <xdr:rowOff>83128</xdr:rowOff>
    </xdr:to>
    <xdr:sp macro="" textlink="">
      <xdr:nvSpPr>
        <xdr:cNvPr id="18" name="TextBox 17">
          <a:extLst>
            <a:ext uri="{FF2B5EF4-FFF2-40B4-BE49-F238E27FC236}">
              <a16:creationId xmlns:a16="http://schemas.microsoft.com/office/drawing/2014/main" id="{16AB08FB-3FD7-BEF6-2FA6-98F883FD4C27}"/>
            </a:ext>
          </a:extLst>
        </xdr:cNvPr>
        <xdr:cNvSpPr txBox="1"/>
      </xdr:nvSpPr>
      <xdr:spPr>
        <a:xfrm>
          <a:off x="10252364" y="1607128"/>
          <a:ext cx="4613564" cy="8174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3600" b="1">
              <a:solidFill>
                <a:srgbClr val="F4DFC8"/>
              </a:solidFill>
              <a:latin typeface="+mn-lt"/>
              <a:ea typeface="+mn-ea"/>
              <a:cs typeface="+mn-cs"/>
            </a:rPr>
            <a:t>Sales by Item</a:t>
          </a:r>
        </a:p>
      </xdr:txBody>
    </xdr:sp>
    <xdr:clientData/>
  </xdr:twoCellAnchor>
  <xdr:twoCellAnchor>
    <xdr:from>
      <xdr:col>28</xdr:col>
      <xdr:colOff>497872</xdr:colOff>
      <xdr:row>8</xdr:row>
      <xdr:rowOff>43842</xdr:rowOff>
    </xdr:from>
    <xdr:to>
      <xdr:col>42</xdr:col>
      <xdr:colOff>397565</xdr:colOff>
      <xdr:row>29</xdr:row>
      <xdr:rowOff>83126</xdr:rowOff>
    </xdr:to>
    <xdr:graphicFrame macro="">
      <xdr:nvGraphicFramePr>
        <xdr:cNvPr id="19" name="Chart 18">
          <a:extLst>
            <a:ext uri="{FF2B5EF4-FFF2-40B4-BE49-F238E27FC236}">
              <a16:creationId xmlns:a16="http://schemas.microsoft.com/office/drawing/2014/main" id="{945F06AA-AED1-459A-A6D0-36DA07CC20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331618</xdr:colOff>
      <xdr:row>30</xdr:row>
      <xdr:rowOff>83126</xdr:rowOff>
    </xdr:from>
    <xdr:to>
      <xdr:col>17</xdr:col>
      <xdr:colOff>110836</xdr:colOff>
      <xdr:row>55</xdr:row>
      <xdr:rowOff>0</xdr:rowOff>
    </xdr:to>
    <xdr:graphicFrame macro="">
      <xdr:nvGraphicFramePr>
        <xdr:cNvPr id="20" name="Chart 19">
          <a:extLst>
            <a:ext uri="{FF2B5EF4-FFF2-40B4-BE49-F238E27FC236}">
              <a16:creationId xmlns:a16="http://schemas.microsoft.com/office/drawing/2014/main" id="{511D7542-D04D-4263-8D9D-11C6168DF0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276199</xdr:colOff>
      <xdr:row>30</xdr:row>
      <xdr:rowOff>85408</xdr:rowOff>
    </xdr:from>
    <xdr:to>
      <xdr:col>42</xdr:col>
      <xdr:colOff>430694</xdr:colOff>
      <xdr:row>54</xdr:row>
      <xdr:rowOff>33131</xdr:rowOff>
    </xdr:to>
    <xdr:graphicFrame macro="">
      <xdr:nvGraphicFramePr>
        <xdr:cNvPr id="21" name="Chart 20">
          <a:extLst>
            <a:ext uri="{FF2B5EF4-FFF2-40B4-BE49-F238E27FC236}">
              <a16:creationId xmlns:a16="http://schemas.microsoft.com/office/drawing/2014/main" id="{003238AA-1334-4CA8-A1A0-6558256EEC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30</xdr:col>
      <xdr:colOff>55418</xdr:colOff>
      <xdr:row>8</xdr:row>
      <xdr:rowOff>41564</xdr:rowOff>
    </xdr:from>
    <xdr:to>
      <xdr:col>37</xdr:col>
      <xdr:colOff>512619</xdr:colOff>
      <xdr:row>11</xdr:row>
      <xdr:rowOff>27709</xdr:rowOff>
    </xdr:to>
    <xdr:sp macro="" textlink="">
      <xdr:nvSpPr>
        <xdr:cNvPr id="22" name="TextBox 21">
          <a:extLst>
            <a:ext uri="{FF2B5EF4-FFF2-40B4-BE49-F238E27FC236}">
              <a16:creationId xmlns:a16="http://schemas.microsoft.com/office/drawing/2014/main" id="{7C005B13-4A91-ACED-6861-05B1BAEF098C}"/>
            </a:ext>
          </a:extLst>
        </xdr:cNvPr>
        <xdr:cNvSpPr txBox="1"/>
      </xdr:nvSpPr>
      <xdr:spPr>
        <a:xfrm>
          <a:off x="18343418" y="1482437"/>
          <a:ext cx="4724401" cy="5264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2400" b="1">
              <a:solidFill>
                <a:srgbClr val="F4DFC8"/>
              </a:solidFill>
              <a:latin typeface="+mn-lt"/>
              <a:ea typeface="+mn-ea"/>
              <a:cs typeface="+mn-cs"/>
            </a:rPr>
            <a:t>Sales by Category</a:t>
          </a:r>
        </a:p>
      </xdr:txBody>
    </xdr:sp>
    <xdr:clientData/>
  </xdr:twoCellAnchor>
  <xdr:twoCellAnchor editAs="oneCell">
    <xdr:from>
      <xdr:col>3</xdr:col>
      <xdr:colOff>0</xdr:colOff>
      <xdr:row>33</xdr:row>
      <xdr:rowOff>108858</xdr:rowOff>
    </xdr:from>
    <xdr:to>
      <xdr:col>8</xdr:col>
      <xdr:colOff>87085</xdr:colOff>
      <xdr:row>37</xdr:row>
      <xdr:rowOff>119743</xdr:rowOff>
    </xdr:to>
    <mc:AlternateContent xmlns:mc="http://schemas.openxmlformats.org/markup-compatibility/2006" xmlns:a14="http://schemas.microsoft.com/office/drawing/2010/main">
      <mc:Choice Requires="a14">
        <xdr:graphicFrame macro="">
          <xdr:nvGraphicFramePr>
            <xdr:cNvPr id="23" name="Year 1">
              <a:extLst>
                <a:ext uri="{FF2B5EF4-FFF2-40B4-BE49-F238E27FC236}">
                  <a16:creationId xmlns:a16="http://schemas.microsoft.com/office/drawing/2014/main" id="{A285BAEF-FCF2-4D6D-A7A9-65F18FE3091E}"/>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828800" y="6143898"/>
              <a:ext cx="3135085" cy="7424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Project%201.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I-TECH" refreshedDate="45266.839217592591" createdVersion="8" refreshedVersion="8" minRefreshableVersion="3" recordCount="1036" xr:uid="{00000000-000A-0000-FFFF-FFFF00000000}">
  <cacheSource type="worksheet">
    <worksheetSource ref="B4:H1042" sheet="Raw-data" r:id="rId2"/>
  </cacheSource>
  <cacheFields count="10">
    <cacheField name="Reciept no " numFmtId="0">
      <sharedItems containsSemiMixedTypes="0" containsString="0" containsNumber="1" containsInteger="1" minValue="1" maxValue="1036"/>
    </cacheField>
    <cacheField name="Order date " numFmtId="14">
      <sharedItems containsSemiMixedTypes="0" containsNonDate="0" containsDate="1" containsString="0" minDate="2019-01-01T00:00:00" maxDate="2021-11-02T00:00:00"/>
    </cacheField>
    <cacheField name="Ordertype name" numFmtId="0">
      <sharedItems count="2">
        <s v="On Shop"/>
        <s v="Online Order"/>
      </sharedItems>
    </cacheField>
    <cacheField name="Item name" numFmtId="0">
      <sharedItems count="10">
        <s v=" Jeans - Levis"/>
        <s v=" Jeans - Denim"/>
        <s v=" Jeans - Zara"/>
        <s v=" Jeans - Lega"/>
        <s v=" Shirt - PE"/>
        <s v=" T-shirt"/>
        <s v=" shirt"/>
        <s v=" Shirt - Arrow"/>
        <s v=" Wallet"/>
        <s v=" Chain"/>
      </sharedItems>
    </cacheField>
    <cacheField name="Category name" numFmtId="0">
      <sharedItems count="4">
        <s v="Casual Wear"/>
        <s v="Semi Formal"/>
        <s v="Formal"/>
        <s v="Accessories"/>
      </sharedItems>
    </cacheField>
    <cacheField name="Selling price" numFmtId="0">
      <sharedItems containsSemiMixedTypes="0" containsString="0" containsNumber="1" containsInteger="1" minValue="300" maxValue="1200"/>
    </cacheField>
    <cacheField name="Item quantity" numFmtId="0">
      <sharedItems containsSemiMixedTypes="0" containsString="0" containsNumber="1" containsInteger="1" minValue="1" maxValue="3"/>
    </cacheField>
    <cacheField name="Item amount" numFmtId="0">
      <sharedItems containsSemiMixedTypes="0" containsString="0" containsNumber="1" containsInteger="1" minValue="300" maxValue="3300"/>
    </cacheField>
    <cacheField name="Month" numFmtId="0">
      <sharedItems containsSemiMixedTypes="0" containsString="0" containsNumber="1" containsInteger="1" minValue="1" maxValue="12" count="12">
        <n v="1"/>
        <n v="2"/>
        <n v="3"/>
        <n v="4"/>
        <n v="5"/>
        <n v="6"/>
        <n v="7"/>
        <n v="8"/>
        <n v="9"/>
        <n v="10"/>
        <n v="11"/>
        <n v="12"/>
      </sharedItems>
    </cacheField>
    <cacheField name="Year" numFmtId="0">
      <sharedItems containsSemiMixedTypes="0" containsString="0" containsNumber="1" containsInteger="1" minValue="2019" maxValue="2021" count="3">
        <n v="2019"/>
        <n v="2020"/>
        <n v="2021"/>
      </sharedItems>
    </cacheField>
  </cacheFields>
  <extLst>
    <ext xmlns:x14="http://schemas.microsoft.com/office/spreadsheetml/2009/9/main" uri="{725AE2AE-9491-48be-B2B4-4EB974FC3084}">
      <x14:pivotCacheDefinition pivotCacheId="103054872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I-TECH" refreshedDate="45303.679525925923" createdVersion="8" refreshedVersion="8" minRefreshableVersion="3" recordCount="1038" xr:uid="{00000000-000A-0000-FFFF-FFFF01000000}">
  <cacheSource type="worksheet">
    <worksheetSource name="sales_data"/>
  </cacheSource>
  <cacheFields count="14">
    <cacheField name="Reciept no " numFmtId="0">
      <sharedItems containsSemiMixedTypes="0" containsString="0" containsNumber="1" containsInteger="1" minValue="1" maxValue="1036"/>
    </cacheField>
    <cacheField name="Order date " numFmtId="14">
      <sharedItems containsSemiMixedTypes="0" containsNonDate="0" containsDate="1" containsString="0" minDate="2019-01-01T00:00:00" maxDate="2021-11-02T00:00:00" count="1036">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sharedItems>
      <fieldGroup par="13"/>
    </cacheField>
    <cacheField name="Ordertype name" numFmtId="0">
      <sharedItems count="2">
        <s v="On Shop"/>
        <s v="Online Order"/>
      </sharedItems>
    </cacheField>
    <cacheField name="Item name" numFmtId="0">
      <sharedItems count="10">
        <s v=" Jeans - Levis"/>
        <s v=" Jeans - Denim"/>
        <s v=" Jeans - Zara"/>
        <s v=" Jeans - Lega"/>
        <s v=" Shirt - PE"/>
        <s v=" T-shirt"/>
        <s v=" shirt"/>
        <s v=" Shirt - Arrow"/>
        <s v=" Wallet"/>
        <s v=" Chain"/>
      </sharedItems>
    </cacheField>
    <cacheField name="Category name" numFmtId="0">
      <sharedItems count="4">
        <s v="Casual Wear"/>
        <s v="Semi Formal"/>
        <s v="Formal"/>
        <s v="Accessories"/>
      </sharedItems>
    </cacheField>
    <cacheField name="Selling price" numFmtId="0">
      <sharedItems containsSemiMixedTypes="0" containsString="0" containsNumber="1" containsInteger="1" minValue="300" maxValue="1200"/>
    </cacheField>
    <cacheField name="Item quantity" numFmtId="0">
      <sharedItems containsSemiMixedTypes="0" containsString="0" containsNumber="1" containsInteger="1" minValue="1" maxValue="3"/>
    </cacheField>
    <cacheField name="Total Sales" numFmtId="0">
      <sharedItems containsSemiMixedTypes="0" containsString="0" containsNumber="1" containsInteger="1" minValue="300" maxValue="3300"/>
    </cacheField>
    <cacheField name="Total Sales2" numFmtId="0">
      <sharedItems containsSemiMixedTypes="0" containsString="0" containsNumber="1" containsInteger="1" minValue="300" maxValue="3300"/>
    </cacheField>
    <cacheField name="year" numFmtId="0">
      <sharedItems containsSemiMixedTypes="0" containsString="0" containsNumber="1" containsInteger="1" minValue="2019" maxValue="2021" count="3">
        <n v="2019"/>
        <n v="2020"/>
        <n v="2021"/>
      </sharedItems>
    </cacheField>
    <cacheField name="Day" numFmtId="0">
      <sharedItems containsSemiMixedTypes="0" containsString="0" containsNumber="1" containsInteger="1" minValue="1" maxValue="31" count="31">
        <n v="1"/>
        <n v="2"/>
        <n v="3"/>
        <n v="4"/>
        <n v="5"/>
        <n v="6"/>
        <n v="7"/>
        <n v="8"/>
        <n v="9"/>
        <n v="10"/>
        <n v="11"/>
        <n v="12"/>
        <n v="13"/>
        <n v="14"/>
        <n v="15"/>
        <n v="16"/>
        <n v="17"/>
        <n v="18"/>
        <n v="19"/>
        <n v="20"/>
        <n v="21"/>
        <n v="22"/>
        <n v="23"/>
        <n v="24"/>
        <n v="25"/>
        <n v="26"/>
        <n v="27"/>
        <n v="28"/>
        <n v="29"/>
        <n v="30"/>
        <n v="31"/>
      </sharedItems>
    </cacheField>
    <cacheField name="Months (Order date )" numFmtId="0" databaseField="0">
      <fieldGroup base="1">
        <rangePr groupBy="months" startDate="2019-01-01T00:00:00" endDate="2021-11-02T00:00:00"/>
        <groupItems count="14">
          <s v="&lt;1/1/2019"/>
          <s v="Jan"/>
          <s v="Feb"/>
          <s v="Mar"/>
          <s v="Apr"/>
          <s v="May"/>
          <s v="Jun"/>
          <s v="Jul"/>
          <s v="Aug"/>
          <s v="Sep"/>
          <s v="Oct"/>
          <s v="Nov"/>
          <s v="Dec"/>
          <s v="&gt;11/2/2021"/>
        </groupItems>
      </fieldGroup>
    </cacheField>
    <cacheField name="Quarters (Order date )" numFmtId="0" databaseField="0">
      <fieldGroup base="1">
        <rangePr groupBy="quarters" startDate="2019-01-01T00:00:00" endDate="2021-11-02T00:00:00"/>
        <groupItems count="6">
          <s v="&lt;1/1/2019"/>
          <s v="Qtr1"/>
          <s v="Qtr2"/>
          <s v="Qtr3"/>
          <s v="Qtr4"/>
          <s v="&gt;11/2/2021"/>
        </groupItems>
      </fieldGroup>
    </cacheField>
    <cacheField name="Years (Order date )" numFmtId="0" databaseField="0">
      <fieldGroup base="1">
        <rangePr groupBy="years" startDate="2019-01-01T00:00:00" endDate="2021-11-02T00:00:00"/>
        <groupItems count="5">
          <s v="&lt;1/1/2019"/>
          <s v="2019"/>
          <s v="2020"/>
          <s v="2021"/>
          <s v="&gt;11/2/2021"/>
        </groupItems>
      </fieldGroup>
    </cacheField>
  </cacheFields>
  <extLst>
    <ext xmlns:x14="http://schemas.microsoft.com/office/spreadsheetml/2009/9/main" uri="{725AE2AE-9491-48be-B2B4-4EB974FC3084}">
      <x14:pivotCacheDefinition pivotCacheId="2119621697"/>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DELL" refreshedDate="46181.806278703705" createdVersion="8" refreshedVersion="8" minRefreshableVersion="3" recordCount="1036" xr:uid="{D69AFF8C-006A-40A5-A2CB-B496A785DDDA}">
  <cacheSource type="worksheet">
    <worksheetSource name="TownTeam1"/>
  </cacheSource>
  <cacheFields count="12">
    <cacheField name="Reciept no " numFmtId="1">
      <sharedItems containsSemiMixedTypes="0" containsString="0" containsNumber="1" containsInteger="1" minValue="1" maxValue="1036"/>
    </cacheField>
    <cacheField name="Order date " numFmtId="167">
      <sharedItems containsSemiMixedTypes="0" containsNonDate="0" containsDate="1" containsString="0" minDate="2019-01-01T00:00:00" maxDate="2021-11-02T00:00:00" count="1036">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sharedItems>
      <fieldGroup par="11"/>
    </cacheField>
    <cacheField name="Ordertype name" numFmtId="49">
      <sharedItems count="2">
        <s v="On Shop"/>
        <s v="Online Order"/>
      </sharedItems>
    </cacheField>
    <cacheField name="Item name" numFmtId="49">
      <sharedItems count="10">
        <s v=" Jeans - Levis"/>
        <s v=" Jeans - Denim"/>
        <s v=" Jeans - Zara"/>
        <s v=" Jeans - Lega"/>
        <s v=" Shirt - PE"/>
        <s v=" T-shirt"/>
        <s v=" shirt"/>
        <s v=" Shirt - Arrow"/>
        <s v=" Wallet"/>
        <s v=" Chain"/>
      </sharedItems>
    </cacheField>
    <cacheField name="Category name" numFmtId="49">
      <sharedItems count="4">
        <s v="Casual Wear"/>
        <s v="Semi Formal"/>
        <s v="Formal"/>
        <s v="Accessories"/>
      </sharedItems>
    </cacheField>
    <cacheField name="Selling price" numFmtId="1">
      <sharedItems containsSemiMixedTypes="0" containsString="0" containsNumber="1" containsInteger="1" minValue="300" maxValue="1200"/>
    </cacheField>
    <cacheField name="Item quantity" numFmtId="1">
      <sharedItems containsSemiMixedTypes="0" containsString="0" containsNumber="1" containsInteger="1" minValue="1" maxValue="3"/>
    </cacheField>
    <cacheField name="Total sales" numFmtId="1">
      <sharedItems containsSemiMixedTypes="0" containsString="0" containsNumber="1" containsInteger="1" minValue="300" maxValue="3300"/>
    </cacheField>
    <cacheField name="Total sales after 15% discount" numFmtId="1">
      <sharedItems containsSemiMixedTypes="0" containsString="0" containsNumber="1" minValue="300" maxValue="3300"/>
    </cacheField>
    <cacheField name="Months (Order date )" numFmtId="0" databaseField="0">
      <fieldGroup base="1">
        <rangePr groupBy="months" startDate="2019-01-01T00:00:00" endDate="2021-11-02T00:00:00"/>
        <groupItems count="14">
          <s v="&lt;01/01/2019"/>
          <s v="Jan"/>
          <s v="Feb"/>
          <s v="Mar"/>
          <s v="Apr"/>
          <s v="May"/>
          <s v="Jun"/>
          <s v="Jul"/>
          <s v="Aug"/>
          <s v="Sep"/>
          <s v="Oct"/>
          <s v="Nov"/>
          <s v="Dec"/>
          <s v="&gt;02/11/2021"/>
        </groupItems>
      </fieldGroup>
    </cacheField>
    <cacheField name="Quarters (Order date )" numFmtId="0" databaseField="0">
      <fieldGroup base="1">
        <rangePr groupBy="quarters" startDate="2019-01-01T00:00:00" endDate="2021-11-02T00:00:00"/>
        <groupItems count="6">
          <s v="&lt;01/01/2019"/>
          <s v="Qtr1"/>
          <s v="Qtr2"/>
          <s v="Qtr3"/>
          <s v="Qtr4"/>
          <s v="&gt;02/11/2021"/>
        </groupItems>
      </fieldGroup>
    </cacheField>
    <cacheField name="Years (Order date )" numFmtId="0" databaseField="0">
      <fieldGroup base="1">
        <rangePr groupBy="years" startDate="2019-01-01T00:00:00" endDate="2021-11-02T00:00:00"/>
        <groupItems count="5">
          <s v="&lt;01/01/2019"/>
          <s v="2019"/>
          <s v="2020"/>
          <s v="2021"/>
          <s v="&gt;02/11/2021"/>
        </groupItems>
      </fieldGroup>
    </cacheField>
  </cacheFields>
  <extLst>
    <ext xmlns:x14="http://schemas.microsoft.com/office/spreadsheetml/2009/9/main" uri="{725AE2AE-9491-48be-B2B4-4EB974FC3084}">
      <x14:pivotCacheDefinition pivotCacheId="7815039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36">
  <r>
    <n v="1"/>
    <d v="2019-01-01T00:00:00"/>
    <x v="0"/>
    <x v="0"/>
    <x v="0"/>
    <n v="1100"/>
    <n v="1"/>
    <n v="1100"/>
    <x v="0"/>
    <x v="0"/>
  </r>
  <r>
    <n v="2"/>
    <d v="2019-01-02T00:00:00"/>
    <x v="0"/>
    <x v="0"/>
    <x v="0"/>
    <n v="1100"/>
    <n v="1"/>
    <n v="1100"/>
    <x v="0"/>
    <x v="0"/>
  </r>
  <r>
    <n v="3"/>
    <d v="2019-01-03T00:00:00"/>
    <x v="0"/>
    <x v="0"/>
    <x v="0"/>
    <n v="1100"/>
    <n v="1"/>
    <n v="1100"/>
    <x v="0"/>
    <x v="0"/>
  </r>
  <r>
    <n v="4"/>
    <d v="2019-01-04T00:00:00"/>
    <x v="0"/>
    <x v="0"/>
    <x v="0"/>
    <n v="1100"/>
    <n v="1"/>
    <n v="1100"/>
    <x v="0"/>
    <x v="0"/>
  </r>
  <r>
    <n v="5"/>
    <d v="2019-01-05T00:00:00"/>
    <x v="0"/>
    <x v="0"/>
    <x v="0"/>
    <n v="1100"/>
    <n v="1"/>
    <n v="1100"/>
    <x v="0"/>
    <x v="0"/>
  </r>
  <r>
    <n v="6"/>
    <d v="2019-01-06T00:00:00"/>
    <x v="0"/>
    <x v="0"/>
    <x v="0"/>
    <n v="1100"/>
    <n v="1"/>
    <n v="1100"/>
    <x v="0"/>
    <x v="0"/>
  </r>
  <r>
    <n v="7"/>
    <d v="2019-01-07T00:00:00"/>
    <x v="0"/>
    <x v="0"/>
    <x v="0"/>
    <n v="1100"/>
    <n v="2"/>
    <n v="2200"/>
    <x v="0"/>
    <x v="0"/>
  </r>
  <r>
    <n v="8"/>
    <d v="2019-01-08T00:00:00"/>
    <x v="0"/>
    <x v="0"/>
    <x v="0"/>
    <n v="1100"/>
    <n v="1"/>
    <n v="1100"/>
    <x v="0"/>
    <x v="0"/>
  </r>
  <r>
    <n v="9"/>
    <d v="2019-01-09T00:00:00"/>
    <x v="0"/>
    <x v="0"/>
    <x v="0"/>
    <n v="1100"/>
    <n v="1"/>
    <n v="1100"/>
    <x v="0"/>
    <x v="0"/>
  </r>
  <r>
    <n v="10"/>
    <d v="2019-01-10T00:00:00"/>
    <x v="0"/>
    <x v="1"/>
    <x v="0"/>
    <n v="900"/>
    <n v="1"/>
    <n v="900"/>
    <x v="0"/>
    <x v="0"/>
  </r>
  <r>
    <n v="11"/>
    <d v="2019-01-11T00:00:00"/>
    <x v="1"/>
    <x v="1"/>
    <x v="0"/>
    <n v="900"/>
    <n v="1"/>
    <n v="900"/>
    <x v="0"/>
    <x v="0"/>
  </r>
  <r>
    <n v="12"/>
    <d v="2019-01-12T00:00:00"/>
    <x v="1"/>
    <x v="1"/>
    <x v="0"/>
    <n v="900"/>
    <n v="1"/>
    <n v="900"/>
    <x v="0"/>
    <x v="0"/>
  </r>
  <r>
    <n v="13"/>
    <d v="2019-01-13T00:00:00"/>
    <x v="1"/>
    <x v="1"/>
    <x v="0"/>
    <n v="900"/>
    <n v="2"/>
    <n v="1800"/>
    <x v="0"/>
    <x v="0"/>
  </r>
  <r>
    <n v="14"/>
    <d v="2019-01-14T00:00:00"/>
    <x v="1"/>
    <x v="1"/>
    <x v="0"/>
    <n v="900"/>
    <n v="1"/>
    <n v="900"/>
    <x v="0"/>
    <x v="0"/>
  </r>
  <r>
    <n v="15"/>
    <d v="2019-01-15T00:00:00"/>
    <x v="1"/>
    <x v="1"/>
    <x v="0"/>
    <n v="900"/>
    <n v="1"/>
    <n v="900"/>
    <x v="0"/>
    <x v="0"/>
  </r>
  <r>
    <n v="16"/>
    <d v="2019-01-16T00:00:00"/>
    <x v="1"/>
    <x v="0"/>
    <x v="0"/>
    <n v="1100"/>
    <n v="1"/>
    <n v="1100"/>
    <x v="0"/>
    <x v="0"/>
  </r>
  <r>
    <n v="17"/>
    <d v="2019-01-17T00:00:00"/>
    <x v="1"/>
    <x v="1"/>
    <x v="0"/>
    <n v="900"/>
    <n v="1"/>
    <n v="900"/>
    <x v="0"/>
    <x v="0"/>
  </r>
  <r>
    <n v="18"/>
    <d v="2019-01-18T00:00:00"/>
    <x v="1"/>
    <x v="0"/>
    <x v="0"/>
    <n v="1100"/>
    <n v="2"/>
    <n v="2200"/>
    <x v="0"/>
    <x v="0"/>
  </r>
  <r>
    <n v="19"/>
    <d v="2019-01-19T00:00:00"/>
    <x v="1"/>
    <x v="0"/>
    <x v="0"/>
    <n v="1100"/>
    <n v="1"/>
    <n v="1100"/>
    <x v="0"/>
    <x v="0"/>
  </r>
  <r>
    <n v="20"/>
    <d v="2019-01-20T00:00:00"/>
    <x v="0"/>
    <x v="1"/>
    <x v="0"/>
    <n v="900"/>
    <n v="1"/>
    <n v="900"/>
    <x v="0"/>
    <x v="0"/>
  </r>
  <r>
    <n v="21"/>
    <d v="2019-01-21T00:00:00"/>
    <x v="0"/>
    <x v="1"/>
    <x v="0"/>
    <n v="900"/>
    <n v="1"/>
    <n v="900"/>
    <x v="0"/>
    <x v="0"/>
  </r>
  <r>
    <n v="22"/>
    <d v="2019-01-22T00:00:00"/>
    <x v="0"/>
    <x v="2"/>
    <x v="0"/>
    <n v="900"/>
    <n v="1"/>
    <n v="900"/>
    <x v="0"/>
    <x v="0"/>
  </r>
  <r>
    <n v="23"/>
    <d v="2019-01-23T00:00:00"/>
    <x v="0"/>
    <x v="0"/>
    <x v="0"/>
    <n v="1100"/>
    <n v="1"/>
    <n v="1100"/>
    <x v="0"/>
    <x v="0"/>
  </r>
  <r>
    <n v="24"/>
    <d v="2019-01-24T00:00:00"/>
    <x v="0"/>
    <x v="0"/>
    <x v="0"/>
    <n v="1100"/>
    <n v="1"/>
    <n v="1100"/>
    <x v="0"/>
    <x v="0"/>
  </r>
  <r>
    <n v="25"/>
    <d v="2019-01-25T00:00:00"/>
    <x v="0"/>
    <x v="2"/>
    <x v="0"/>
    <n v="900"/>
    <n v="1"/>
    <n v="900"/>
    <x v="0"/>
    <x v="0"/>
  </r>
  <r>
    <n v="26"/>
    <d v="2019-01-26T00:00:00"/>
    <x v="0"/>
    <x v="1"/>
    <x v="0"/>
    <n v="900"/>
    <n v="1"/>
    <n v="900"/>
    <x v="0"/>
    <x v="0"/>
  </r>
  <r>
    <n v="27"/>
    <d v="2019-01-27T00:00:00"/>
    <x v="0"/>
    <x v="2"/>
    <x v="0"/>
    <n v="900"/>
    <n v="1"/>
    <n v="900"/>
    <x v="0"/>
    <x v="0"/>
  </r>
  <r>
    <n v="28"/>
    <d v="2019-01-28T00:00:00"/>
    <x v="0"/>
    <x v="0"/>
    <x v="0"/>
    <n v="1100"/>
    <n v="1"/>
    <n v="1100"/>
    <x v="0"/>
    <x v="0"/>
  </r>
  <r>
    <n v="29"/>
    <d v="2019-01-29T00:00:00"/>
    <x v="0"/>
    <x v="0"/>
    <x v="0"/>
    <n v="1100"/>
    <n v="1"/>
    <n v="1100"/>
    <x v="0"/>
    <x v="0"/>
  </r>
  <r>
    <n v="30"/>
    <d v="2019-01-30T00:00:00"/>
    <x v="0"/>
    <x v="2"/>
    <x v="0"/>
    <n v="900"/>
    <n v="1"/>
    <n v="900"/>
    <x v="0"/>
    <x v="0"/>
  </r>
  <r>
    <n v="31"/>
    <d v="2019-01-31T00:00:00"/>
    <x v="0"/>
    <x v="2"/>
    <x v="0"/>
    <n v="900"/>
    <n v="1"/>
    <n v="900"/>
    <x v="0"/>
    <x v="0"/>
  </r>
  <r>
    <n v="32"/>
    <d v="2019-02-01T00:00:00"/>
    <x v="0"/>
    <x v="2"/>
    <x v="0"/>
    <n v="900"/>
    <n v="1"/>
    <n v="900"/>
    <x v="1"/>
    <x v="0"/>
  </r>
  <r>
    <n v="33"/>
    <d v="2019-02-02T00:00:00"/>
    <x v="0"/>
    <x v="2"/>
    <x v="0"/>
    <n v="900"/>
    <n v="1"/>
    <n v="900"/>
    <x v="1"/>
    <x v="0"/>
  </r>
  <r>
    <n v="34"/>
    <d v="2019-02-03T00:00:00"/>
    <x v="0"/>
    <x v="2"/>
    <x v="0"/>
    <n v="900"/>
    <n v="1"/>
    <n v="900"/>
    <x v="1"/>
    <x v="0"/>
  </r>
  <r>
    <n v="35"/>
    <d v="2019-02-04T00:00:00"/>
    <x v="0"/>
    <x v="1"/>
    <x v="0"/>
    <n v="900"/>
    <n v="1"/>
    <n v="900"/>
    <x v="1"/>
    <x v="0"/>
  </r>
  <r>
    <n v="36"/>
    <d v="2019-02-05T00:00:00"/>
    <x v="0"/>
    <x v="1"/>
    <x v="0"/>
    <n v="900"/>
    <n v="1"/>
    <n v="900"/>
    <x v="1"/>
    <x v="0"/>
  </r>
  <r>
    <n v="37"/>
    <d v="2019-02-06T00:00:00"/>
    <x v="0"/>
    <x v="1"/>
    <x v="0"/>
    <n v="900"/>
    <n v="1"/>
    <n v="900"/>
    <x v="1"/>
    <x v="0"/>
  </r>
  <r>
    <n v="38"/>
    <d v="2019-02-07T00:00:00"/>
    <x v="0"/>
    <x v="0"/>
    <x v="0"/>
    <n v="1100"/>
    <n v="1"/>
    <n v="1100"/>
    <x v="1"/>
    <x v="0"/>
  </r>
  <r>
    <n v="39"/>
    <d v="2019-02-08T00:00:00"/>
    <x v="0"/>
    <x v="0"/>
    <x v="0"/>
    <n v="1100"/>
    <n v="1"/>
    <n v="1100"/>
    <x v="1"/>
    <x v="0"/>
  </r>
  <r>
    <n v="40"/>
    <d v="2019-02-09T00:00:00"/>
    <x v="0"/>
    <x v="3"/>
    <x v="0"/>
    <n v="1000"/>
    <n v="1"/>
    <n v="1000"/>
    <x v="1"/>
    <x v="0"/>
  </r>
  <r>
    <n v="41"/>
    <d v="2019-02-10T00:00:00"/>
    <x v="0"/>
    <x v="3"/>
    <x v="0"/>
    <n v="1000"/>
    <n v="1"/>
    <n v="1000"/>
    <x v="1"/>
    <x v="0"/>
  </r>
  <r>
    <n v="42"/>
    <d v="2019-02-11T00:00:00"/>
    <x v="0"/>
    <x v="0"/>
    <x v="0"/>
    <n v="1100"/>
    <n v="1"/>
    <n v="1100"/>
    <x v="1"/>
    <x v="0"/>
  </r>
  <r>
    <n v="43"/>
    <d v="2019-02-12T00:00:00"/>
    <x v="0"/>
    <x v="3"/>
    <x v="0"/>
    <n v="1000"/>
    <n v="1"/>
    <n v="1000"/>
    <x v="1"/>
    <x v="0"/>
  </r>
  <r>
    <n v="44"/>
    <d v="2019-02-13T00:00:00"/>
    <x v="0"/>
    <x v="1"/>
    <x v="0"/>
    <n v="900"/>
    <n v="1"/>
    <n v="900"/>
    <x v="1"/>
    <x v="0"/>
  </r>
  <r>
    <n v="45"/>
    <d v="2019-02-14T00:00:00"/>
    <x v="0"/>
    <x v="1"/>
    <x v="0"/>
    <n v="900"/>
    <n v="2"/>
    <n v="1800"/>
    <x v="1"/>
    <x v="0"/>
  </r>
  <r>
    <n v="46"/>
    <d v="2019-02-15T00:00:00"/>
    <x v="0"/>
    <x v="0"/>
    <x v="0"/>
    <n v="1100"/>
    <n v="1"/>
    <n v="1100"/>
    <x v="1"/>
    <x v="0"/>
  </r>
  <r>
    <n v="47"/>
    <d v="2019-02-16T00:00:00"/>
    <x v="0"/>
    <x v="1"/>
    <x v="0"/>
    <n v="900"/>
    <n v="1"/>
    <n v="900"/>
    <x v="1"/>
    <x v="0"/>
  </r>
  <r>
    <n v="48"/>
    <d v="2019-02-17T00:00:00"/>
    <x v="0"/>
    <x v="0"/>
    <x v="0"/>
    <n v="1100"/>
    <n v="1"/>
    <n v="1100"/>
    <x v="1"/>
    <x v="0"/>
  </r>
  <r>
    <n v="49"/>
    <d v="2019-02-18T00:00:00"/>
    <x v="0"/>
    <x v="4"/>
    <x v="1"/>
    <n v="800"/>
    <n v="1"/>
    <n v="800"/>
    <x v="1"/>
    <x v="0"/>
  </r>
  <r>
    <n v="50"/>
    <d v="2019-02-19T00:00:00"/>
    <x v="0"/>
    <x v="4"/>
    <x v="1"/>
    <n v="800"/>
    <n v="2"/>
    <n v="1600"/>
    <x v="1"/>
    <x v="0"/>
  </r>
  <r>
    <n v="51"/>
    <d v="2019-02-20T00:00:00"/>
    <x v="0"/>
    <x v="2"/>
    <x v="0"/>
    <n v="900"/>
    <n v="1"/>
    <n v="900"/>
    <x v="1"/>
    <x v="0"/>
  </r>
  <r>
    <n v="52"/>
    <d v="2019-02-21T00:00:00"/>
    <x v="0"/>
    <x v="0"/>
    <x v="0"/>
    <n v="1100"/>
    <n v="1"/>
    <n v="1100"/>
    <x v="1"/>
    <x v="0"/>
  </r>
  <r>
    <n v="53"/>
    <d v="2019-02-22T00:00:00"/>
    <x v="0"/>
    <x v="4"/>
    <x v="1"/>
    <n v="800"/>
    <n v="1"/>
    <n v="800"/>
    <x v="1"/>
    <x v="0"/>
  </r>
  <r>
    <n v="54"/>
    <d v="2019-02-23T00:00:00"/>
    <x v="0"/>
    <x v="3"/>
    <x v="0"/>
    <n v="1000"/>
    <n v="1"/>
    <n v="1000"/>
    <x v="1"/>
    <x v="0"/>
  </r>
  <r>
    <n v="55"/>
    <d v="2019-02-24T00:00:00"/>
    <x v="0"/>
    <x v="4"/>
    <x v="1"/>
    <n v="800"/>
    <n v="1"/>
    <n v="800"/>
    <x v="1"/>
    <x v="0"/>
  </r>
  <r>
    <n v="56"/>
    <d v="2019-02-25T00:00:00"/>
    <x v="0"/>
    <x v="5"/>
    <x v="1"/>
    <n v="600"/>
    <n v="1"/>
    <n v="600"/>
    <x v="1"/>
    <x v="0"/>
  </r>
  <r>
    <n v="57"/>
    <d v="2019-02-26T00:00:00"/>
    <x v="0"/>
    <x v="1"/>
    <x v="0"/>
    <n v="900"/>
    <n v="1"/>
    <n v="900"/>
    <x v="1"/>
    <x v="0"/>
  </r>
  <r>
    <n v="58"/>
    <d v="2019-02-27T00:00:00"/>
    <x v="0"/>
    <x v="0"/>
    <x v="0"/>
    <n v="1100"/>
    <n v="1"/>
    <n v="1100"/>
    <x v="1"/>
    <x v="0"/>
  </r>
  <r>
    <n v="59"/>
    <d v="2019-02-28T00:00:00"/>
    <x v="0"/>
    <x v="3"/>
    <x v="0"/>
    <n v="1000"/>
    <n v="1"/>
    <n v="1000"/>
    <x v="1"/>
    <x v="0"/>
  </r>
  <r>
    <n v="60"/>
    <d v="2019-03-01T00:00:00"/>
    <x v="0"/>
    <x v="1"/>
    <x v="0"/>
    <n v="900"/>
    <n v="1"/>
    <n v="900"/>
    <x v="2"/>
    <x v="0"/>
  </r>
  <r>
    <n v="61"/>
    <d v="2019-03-02T00:00:00"/>
    <x v="0"/>
    <x v="0"/>
    <x v="0"/>
    <n v="1100"/>
    <n v="2"/>
    <n v="2200"/>
    <x v="2"/>
    <x v="0"/>
  </r>
  <r>
    <n v="62"/>
    <d v="2019-03-03T00:00:00"/>
    <x v="0"/>
    <x v="5"/>
    <x v="1"/>
    <n v="600"/>
    <n v="1"/>
    <n v="600"/>
    <x v="2"/>
    <x v="0"/>
  </r>
  <r>
    <n v="63"/>
    <d v="2019-03-04T00:00:00"/>
    <x v="0"/>
    <x v="5"/>
    <x v="1"/>
    <n v="600"/>
    <n v="1"/>
    <n v="600"/>
    <x v="2"/>
    <x v="0"/>
  </r>
  <r>
    <n v="64"/>
    <d v="2019-03-05T00:00:00"/>
    <x v="0"/>
    <x v="5"/>
    <x v="1"/>
    <n v="600"/>
    <n v="1"/>
    <n v="600"/>
    <x v="2"/>
    <x v="0"/>
  </r>
  <r>
    <n v="65"/>
    <d v="2019-03-06T00:00:00"/>
    <x v="0"/>
    <x v="1"/>
    <x v="0"/>
    <n v="900"/>
    <n v="1"/>
    <n v="900"/>
    <x v="2"/>
    <x v="0"/>
  </r>
  <r>
    <n v="66"/>
    <d v="2019-03-07T00:00:00"/>
    <x v="0"/>
    <x v="5"/>
    <x v="1"/>
    <n v="600"/>
    <n v="1"/>
    <n v="600"/>
    <x v="2"/>
    <x v="0"/>
  </r>
  <r>
    <n v="67"/>
    <d v="2019-03-08T00:00:00"/>
    <x v="0"/>
    <x v="5"/>
    <x v="1"/>
    <n v="600"/>
    <n v="1"/>
    <n v="600"/>
    <x v="2"/>
    <x v="0"/>
  </r>
  <r>
    <n v="68"/>
    <d v="2019-03-09T00:00:00"/>
    <x v="0"/>
    <x v="0"/>
    <x v="0"/>
    <n v="1100"/>
    <n v="1"/>
    <n v="1100"/>
    <x v="2"/>
    <x v="0"/>
  </r>
  <r>
    <n v="69"/>
    <d v="2019-03-10T00:00:00"/>
    <x v="0"/>
    <x v="2"/>
    <x v="0"/>
    <n v="900"/>
    <n v="3"/>
    <n v="2700"/>
    <x v="2"/>
    <x v="0"/>
  </r>
  <r>
    <n v="70"/>
    <d v="2019-03-11T00:00:00"/>
    <x v="0"/>
    <x v="0"/>
    <x v="0"/>
    <n v="1100"/>
    <n v="2"/>
    <n v="2200"/>
    <x v="2"/>
    <x v="0"/>
  </r>
  <r>
    <n v="71"/>
    <d v="2019-03-12T00:00:00"/>
    <x v="0"/>
    <x v="0"/>
    <x v="0"/>
    <n v="1100"/>
    <n v="1"/>
    <n v="1100"/>
    <x v="2"/>
    <x v="0"/>
  </r>
  <r>
    <n v="72"/>
    <d v="2019-03-13T00:00:00"/>
    <x v="0"/>
    <x v="5"/>
    <x v="1"/>
    <n v="600"/>
    <n v="1"/>
    <n v="600"/>
    <x v="2"/>
    <x v="0"/>
  </r>
  <r>
    <n v="73"/>
    <d v="2019-03-14T00:00:00"/>
    <x v="0"/>
    <x v="1"/>
    <x v="0"/>
    <n v="900"/>
    <n v="1"/>
    <n v="900"/>
    <x v="2"/>
    <x v="0"/>
  </r>
  <r>
    <n v="74"/>
    <d v="2019-03-15T00:00:00"/>
    <x v="0"/>
    <x v="5"/>
    <x v="1"/>
    <n v="600"/>
    <n v="1"/>
    <n v="600"/>
    <x v="2"/>
    <x v="0"/>
  </r>
  <r>
    <n v="75"/>
    <d v="2019-03-16T00:00:00"/>
    <x v="0"/>
    <x v="5"/>
    <x v="1"/>
    <n v="600"/>
    <n v="1"/>
    <n v="600"/>
    <x v="2"/>
    <x v="0"/>
  </r>
  <r>
    <n v="76"/>
    <d v="2019-03-17T00:00:00"/>
    <x v="0"/>
    <x v="1"/>
    <x v="0"/>
    <n v="900"/>
    <n v="3"/>
    <n v="2700"/>
    <x v="2"/>
    <x v="0"/>
  </r>
  <r>
    <n v="77"/>
    <d v="2019-03-18T00:00:00"/>
    <x v="0"/>
    <x v="5"/>
    <x v="1"/>
    <n v="600"/>
    <n v="1"/>
    <n v="600"/>
    <x v="2"/>
    <x v="0"/>
  </r>
  <r>
    <n v="78"/>
    <d v="2019-03-19T00:00:00"/>
    <x v="0"/>
    <x v="4"/>
    <x v="1"/>
    <n v="800"/>
    <n v="1"/>
    <n v="800"/>
    <x v="2"/>
    <x v="0"/>
  </r>
  <r>
    <n v="79"/>
    <d v="2019-03-20T00:00:00"/>
    <x v="0"/>
    <x v="5"/>
    <x v="1"/>
    <n v="600"/>
    <n v="1"/>
    <n v="600"/>
    <x v="2"/>
    <x v="0"/>
  </r>
  <r>
    <n v="80"/>
    <d v="2019-03-21T00:00:00"/>
    <x v="0"/>
    <x v="0"/>
    <x v="0"/>
    <n v="1100"/>
    <n v="1"/>
    <n v="1100"/>
    <x v="2"/>
    <x v="0"/>
  </r>
  <r>
    <n v="81"/>
    <d v="2019-03-22T00:00:00"/>
    <x v="0"/>
    <x v="2"/>
    <x v="0"/>
    <n v="900"/>
    <n v="1"/>
    <n v="900"/>
    <x v="2"/>
    <x v="0"/>
  </r>
  <r>
    <n v="82"/>
    <d v="2019-03-23T00:00:00"/>
    <x v="0"/>
    <x v="0"/>
    <x v="0"/>
    <n v="1100"/>
    <n v="1"/>
    <n v="1100"/>
    <x v="2"/>
    <x v="0"/>
  </r>
  <r>
    <n v="83"/>
    <d v="2019-03-24T00:00:00"/>
    <x v="0"/>
    <x v="0"/>
    <x v="0"/>
    <n v="1100"/>
    <n v="1"/>
    <n v="1100"/>
    <x v="2"/>
    <x v="0"/>
  </r>
  <r>
    <n v="84"/>
    <d v="2019-03-25T00:00:00"/>
    <x v="0"/>
    <x v="0"/>
    <x v="0"/>
    <n v="1100"/>
    <n v="1"/>
    <n v="1100"/>
    <x v="2"/>
    <x v="0"/>
  </r>
  <r>
    <n v="85"/>
    <d v="2019-03-26T00:00:00"/>
    <x v="0"/>
    <x v="3"/>
    <x v="0"/>
    <n v="1000"/>
    <n v="1"/>
    <n v="1000"/>
    <x v="2"/>
    <x v="0"/>
  </r>
  <r>
    <n v="86"/>
    <d v="2019-03-27T00:00:00"/>
    <x v="0"/>
    <x v="5"/>
    <x v="1"/>
    <n v="600"/>
    <n v="1"/>
    <n v="600"/>
    <x v="2"/>
    <x v="0"/>
  </r>
  <r>
    <n v="87"/>
    <d v="2019-03-28T00:00:00"/>
    <x v="0"/>
    <x v="4"/>
    <x v="1"/>
    <n v="800"/>
    <n v="1"/>
    <n v="800"/>
    <x v="2"/>
    <x v="0"/>
  </r>
  <r>
    <n v="88"/>
    <d v="2019-03-29T00:00:00"/>
    <x v="0"/>
    <x v="0"/>
    <x v="0"/>
    <n v="1100"/>
    <n v="1"/>
    <n v="1100"/>
    <x v="2"/>
    <x v="0"/>
  </r>
  <r>
    <n v="89"/>
    <d v="2019-03-30T00:00:00"/>
    <x v="0"/>
    <x v="5"/>
    <x v="1"/>
    <n v="600"/>
    <n v="1"/>
    <n v="600"/>
    <x v="2"/>
    <x v="0"/>
  </r>
  <r>
    <n v="90"/>
    <d v="2019-03-31T00:00:00"/>
    <x v="0"/>
    <x v="6"/>
    <x v="2"/>
    <n v="850"/>
    <n v="1"/>
    <n v="850"/>
    <x v="2"/>
    <x v="0"/>
  </r>
  <r>
    <n v="91"/>
    <d v="2019-04-01T00:00:00"/>
    <x v="0"/>
    <x v="2"/>
    <x v="0"/>
    <n v="900"/>
    <n v="1"/>
    <n v="900"/>
    <x v="3"/>
    <x v="0"/>
  </r>
  <r>
    <n v="92"/>
    <d v="2019-04-02T00:00:00"/>
    <x v="0"/>
    <x v="3"/>
    <x v="0"/>
    <n v="1000"/>
    <n v="1"/>
    <n v="1000"/>
    <x v="3"/>
    <x v="0"/>
  </r>
  <r>
    <n v="93"/>
    <d v="2019-04-03T00:00:00"/>
    <x v="0"/>
    <x v="6"/>
    <x v="2"/>
    <n v="850"/>
    <n v="1"/>
    <n v="850"/>
    <x v="3"/>
    <x v="0"/>
  </r>
  <r>
    <n v="94"/>
    <d v="2019-04-04T00:00:00"/>
    <x v="0"/>
    <x v="6"/>
    <x v="2"/>
    <n v="850"/>
    <n v="1"/>
    <n v="850"/>
    <x v="3"/>
    <x v="0"/>
  </r>
  <r>
    <n v="95"/>
    <d v="2019-04-05T00:00:00"/>
    <x v="0"/>
    <x v="3"/>
    <x v="0"/>
    <n v="1000"/>
    <n v="1"/>
    <n v="1000"/>
    <x v="3"/>
    <x v="0"/>
  </r>
  <r>
    <n v="96"/>
    <d v="2019-04-06T00:00:00"/>
    <x v="0"/>
    <x v="4"/>
    <x v="1"/>
    <n v="800"/>
    <n v="1"/>
    <n v="800"/>
    <x v="3"/>
    <x v="0"/>
  </r>
  <r>
    <n v="97"/>
    <d v="2019-04-07T00:00:00"/>
    <x v="0"/>
    <x v="5"/>
    <x v="1"/>
    <n v="600"/>
    <n v="1"/>
    <n v="600"/>
    <x v="3"/>
    <x v="0"/>
  </r>
  <r>
    <n v="98"/>
    <d v="2019-04-08T00:00:00"/>
    <x v="0"/>
    <x v="4"/>
    <x v="1"/>
    <n v="800"/>
    <n v="1"/>
    <n v="800"/>
    <x v="3"/>
    <x v="0"/>
  </r>
  <r>
    <n v="99"/>
    <d v="2019-04-09T00:00:00"/>
    <x v="0"/>
    <x v="0"/>
    <x v="0"/>
    <n v="1100"/>
    <n v="1"/>
    <n v="1100"/>
    <x v="3"/>
    <x v="0"/>
  </r>
  <r>
    <n v="100"/>
    <d v="2019-04-10T00:00:00"/>
    <x v="0"/>
    <x v="6"/>
    <x v="2"/>
    <n v="850"/>
    <n v="1"/>
    <n v="850"/>
    <x v="3"/>
    <x v="0"/>
  </r>
  <r>
    <n v="101"/>
    <d v="2019-04-11T00:00:00"/>
    <x v="0"/>
    <x v="6"/>
    <x v="2"/>
    <n v="850"/>
    <n v="1"/>
    <n v="850"/>
    <x v="3"/>
    <x v="0"/>
  </r>
  <r>
    <n v="102"/>
    <d v="2019-04-12T00:00:00"/>
    <x v="0"/>
    <x v="6"/>
    <x v="2"/>
    <n v="850"/>
    <n v="1"/>
    <n v="850"/>
    <x v="3"/>
    <x v="0"/>
  </r>
  <r>
    <n v="103"/>
    <d v="2019-04-13T00:00:00"/>
    <x v="0"/>
    <x v="5"/>
    <x v="1"/>
    <n v="600"/>
    <n v="1"/>
    <n v="600"/>
    <x v="3"/>
    <x v="0"/>
  </r>
  <r>
    <n v="104"/>
    <d v="2019-04-14T00:00:00"/>
    <x v="0"/>
    <x v="6"/>
    <x v="2"/>
    <n v="850"/>
    <n v="1"/>
    <n v="850"/>
    <x v="3"/>
    <x v="0"/>
  </r>
  <r>
    <n v="105"/>
    <d v="2019-04-15T00:00:00"/>
    <x v="0"/>
    <x v="6"/>
    <x v="2"/>
    <n v="850"/>
    <n v="1"/>
    <n v="850"/>
    <x v="3"/>
    <x v="0"/>
  </r>
  <r>
    <n v="106"/>
    <d v="2019-04-16T00:00:00"/>
    <x v="0"/>
    <x v="0"/>
    <x v="0"/>
    <n v="1100"/>
    <n v="1"/>
    <n v="1100"/>
    <x v="3"/>
    <x v="0"/>
  </r>
  <r>
    <n v="107"/>
    <d v="2019-04-17T00:00:00"/>
    <x v="0"/>
    <x v="3"/>
    <x v="0"/>
    <n v="1000"/>
    <n v="1"/>
    <n v="1000"/>
    <x v="3"/>
    <x v="0"/>
  </r>
  <r>
    <n v="108"/>
    <d v="2019-04-18T00:00:00"/>
    <x v="0"/>
    <x v="0"/>
    <x v="0"/>
    <n v="1100"/>
    <n v="1"/>
    <n v="1100"/>
    <x v="3"/>
    <x v="0"/>
  </r>
  <r>
    <n v="109"/>
    <d v="2019-04-19T00:00:00"/>
    <x v="0"/>
    <x v="5"/>
    <x v="1"/>
    <n v="600"/>
    <n v="1"/>
    <n v="600"/>
    <x v="3"/>
    <x v="0"/>
  </r>
  <r>
    <n v="110"/>
    <d v="2019-04-20T00:00:00"/>
    <x v="0"/>
    <x v="5"/>
    <x v="1"/>
    <n v="600"/>
    <n v="2"/>
    <n v="1200"/>
    <x v="3"/>
    <x v="0"/>
  </r>
  <r>
    <n v="111"/>
    <d v="2019-04-21T00:00:00"/>
    <x v="0"/>
    <x v="5"/>
    <x v="1"/>
    <n v="600"/>
    <n v="1"/>
    <n v="600"/>
    <x v="3"/>
    <x v="0"/>
  </r>
  <r>
    <n v="112"/>
    <d v="2019-04-22T00:00:00"/>
    <x v="0"/>
    <x v="5"/>
    <x v="1"/>
    <n v="600"/>
    <n v="1"/>
    <n v="600"/>
    <x v="3"/>
    <x v="0"/>
  </r>
  <r>
    <n v="113"/>
    <d v="2019-04-23T00:00:00"/>
    <x v="0"/>
    <x v="0"/>
    <x v="0"/>
    <n v="1100"/>
    <n v="1"/>
    <n v="1100"/>
    <x v="3"/>
    <x v="0"/>
  </r>
  <r>
    <n v="114"/>
    <d v="2019-04-24T00:00:00"/>
    <x v="0"/>
    <x v="2"/>
    <x v="0"/>
    <n v="900"/>
    <n v="1"/>
    <n v="900"/>
    <x v="3"/>
    <x v="0"/>
  </r>
  <r>
    <n v="115"/>
    <d v="2019-04-25T00:00:00"/>
    <x v="0"/>
    <x v="5"/>
    <x v="1"/>
    <n v="600"/>
    <n v="1"/>
    <n v="600"/>
    <x v="3"/>
    <x v="0"/>
  </r>
  <r>
    <n v="116"/>
    <d v="2019-04-26T00:00:00"/>
    <x v="0"/>
    <x v="2"/>
    <x v="0"/>
    <n v="900"/>
    <n v="1"/>
    <n v="900"/>
    <x v="3"/>
    <x v="0"/>
  </r>
  <r>
    <n v="117"/>
    <d v="2019-04-27T00:00:00"/>
    <x v="0"/>
    <x v="1"/>
    <x v="0"/>
    <n v="900"/>
    <n v="1"/>
    <n v="900"/>
    <x v="3"/>
    <x v="0"/>
  </r>
  <r>
    <n v="118"/>
    <d v="2019-04-28T00:00:00"/>
    <x v="0"/>
    <x v="5"/>
    <x v="1"/>
    <n v="600"/>
    <n v="1"/>
    <n v="600"/>
    <x v="3"/>
    <x v="0"/>
  </r>
  <r>
    <n v="119"/>
    <d v="2019-04-29T00:00:00"/>
    <x v="0"/>
    <x v="5"/>
    <x v="1"/>
    <n v="600"/>
    <n v="1"/>
    <n v="600"/>
    <x v="3"/>
    <x v="0"/>
  </r>
  <r>
    <n v="120"/>
    <d v="2019-04-30T00:00:00"/>
    <x v="0"/>
    <x v="5"/>
    <x v="1"/>
    <n v="600"/>
    <n v="1"/>
    <n v="600"/>
    <x v="3"/>
    <x v="0"/>
  </r>
  <r>
    <n v="121"/>
    <d v="2019-05-01T00:00:00"/>
    <x v="0"/>
    <x v="0"/>
    <x v="0"/>
    <n v="1100"/>
    <n v="1"/>
    <n v="1100"/>
    <x v="4"/>
    <x v="0"/>
  </r>
  <r>
    <n v="122"/>
    <d v="2019-05-02T00:00:00"/>
    <x v="0"/>
    <x v="5"/>
    <x v="1"/>
    <n v="600"/>
    <n v="1"/>
    <n v="600"/>
    <x v="4"/>
    <x v="0"/>
  </r>
  <r>
    <n v="123"/>
    <d v="2019-05-03T00:00:00"/>
    <x v="0"/>
    <x v="5"/>
    <x v="1"/>
    <n v="600"/>
    <n v="1"/>
    <n v="600"/>
    <x v="4"/>
    <x v="0"/>
  </r>
  <r>
    <n v="124"/>
    <d v="2019-05-04T00:00:00"/>
    <x v="0"/>
    <x v="5"/>
    <x v="1"/>
    <n v="600"/>
    <n v="1"/>
    <n v="600"/>
    <x v="4"/>
    <x v="0"/>
  </r>
  <r>
    <n v="125"/>
    <d v="2019-05-05T00:00:00"/>
    <x v="0"/>
    <x v="1"/>
    <x v="0"/>
    <n v="900"/>
    <n v="1"/>
    <n v="900"/>
    <x v="4"/>
    <x v="0"/>
  </r>
  <r>
    <n v="126"/>
    <d v="2019-05-06T00:00:00"/>
    <x v="0"/>
    <x v="5"/>
    <x v="1"/>
    <n v="600"/>
    <n v="1"/>
    <n v="600"/>
    <x v="4"/>
    <x v="0"/>
  </r>
  <r>
    <n v="127"/>
    <d v="2019-05-07T00:00:00"/>
    <x v="0"/>
    <x v="2"/>
    <x v="0"/>
    <n v="900"/>
    <n v="1"/>
    <n v="900"/>
    <x v="4"/>
    <x v="0"/>
  </r>
  <r>
    <n v="128"/>
    <d v="2019-05-08T00:00:00"/>
    <x v="0"/>
    <x v="7"/>
    <x v="2"/>
    <n v="1200"/>
    <n v="1"/>
    <n v="1200"/>
    <x v="4"/>
    <x v="0"/>
  </r>
  <r>
    <n v="129"/>
    <d v="2019-05-09T00:00:00"/>
    <x v="0"/>
    <x v="0"/>
    <x v="0"/>
    <n v="1100"/>
    <n v="1"/>
    <n v="1100"/>
    <x v="4"/>
    <x v="0"/>
  </r>
  <r>
    <n v="130"/>
    <d v="2019-05-10T00:00:00"/>
    <x v="0"/>
    <x v="0"/>
    <x v="0"/>
    <n v="1100"/>
    <n v="1"/>
    <n v="1100"/>
    <x v="4"/>
    <x v="0"/>
  </r>
  <r>
    <n v="131"/>
    <d v="2019-05-11T00:00:00"/>
    <x v="0"/>
    <x v="5"/>
    <x v="1"/>
    <n v="600"/>
    <n v="1"/>
    <n v="600"/>
    <x v="4"/>
    <x v="0"/>
  </r>
  <r>
    <n v="132"/>
    <d v="2019-05-12T00:00:00"/>
    <x v="0"/>
    <x v="5"/>
    <x v="1"/>
    <n v="600"/>
    <n v="2"/>
    <n v="1200"/>
    <x v="4"/>
    <x v="0"/>
  </r>
  <r>
    <n v="133"/>
    <d v="2019-05-13T00:00:00"/>
    <x v="0"/>
    <x v="7"/>
    <x v="2"/>
    <n v="1200"/>
    <n v="1"/>
    <n v="1200"/>
    <x v="4"/>
    <x v="0"/>
  </r>
  <r>
    <n v="134"/>
    <d v="2019-05-14T00:00:00"/>
    <x v="0"/>
    <x v="7"/>
    <x v="2"/>
    <n v="1200"/>
    <n v="1"/>
    <n v="1200"/>
    <x v="4"/>
    <x v="0"/>
  </r>
  <r>
    <n v="135"/>
    <d v="2019-05-15T00:00:00"/>
    <x v="0"/>
    <x v="3"/>
    <x v="0"/>
    <n v="1000"/>
    <n v="1"/>
    <n v="1000"/>
    <x v="4"/>
    <x v="0"/>
  </r>
  <r>
    <n v="136"/>
    <d v="2019-05-16T00:00:00"/>
    <x v="0"/>
    <x v="4"/>
    <x v="1"/>
    <n v="800"/>
    <n v="2"/>
    <n v="1600"/>
    <x v="4"/>
    <x v="0"/>
  </r>
  <r>
    <n v="137"/>
    <d v="2019-05-17T00:00:00"/>
    <x v="0"/>
    <x v="7"/>
    <x v="2"/>
    <n v="1200"/>
    <n v="1"/>
    <n v="1200"/>
    <x v="4"/>
    <x v="0"/>
  </r>
  <r>
    <n v="138"/>
    <d v="2019-05-18T00:00:00"/>
    <x v="0"/>
    <x v="2"/>
    <x v="0"/>
    <n v="900"/>
    <n v="1"/>
    <n v="900"/>
    <x v="4"/>
    <x v="0"/>
  </r>
  <r>
    <n v="139"/>
    <d v="2019-05-19T00:00:00"/>
    <x v="0"/>
    <x v="3"/>
    <x v="0"/>
    <n v="1000"/>
    <n v="1"/>
    <n v="1000"/>
    <x v="4"/>
    <x v="0"/>
  </r>
  <r>
    <n v="140"/>
    <d v="2019-05-20T00:00:00"/>
    <x v="0"/>
    <x v="4"/>
    <x v="1"/>
    <n v="800"/>
    <n v="1"/>
    <n v="800"/>
    <x v="4"/>
    <x v="0"/>
  </r>
  <r>
    <n v="141"/>
    <d v="2019-05-21T00:00:00"/>
    <x v="0"/>
    <x v="7"/>
    <x v="2"/>
    <n v="1200"/>
    <n v="1"/>
    <n v="1200"/>
    <x v="4"/>
    <x v="0"/>
  </r>
  <r>
    <n v="142"/>
    <d v="2019-05-22T00:00:00"/>
    <x v="0"/>
    <x v="7"/>
    <x v="2"/>
    <n v="1200"/>
    <n v="1"/>
    <n v="1200"/>
    <x v="4"/>
    <x v="0"/>
  </r>
  <r>
    <n v="143"/>
    <d v="2019-05-23T00:00:00"/>
    <x v="0"/>
    <x v="4"/>
    <x v="1"/>
    <n v="800"/>
    <n v="2"/>
    <n v="1600"/>
    <x v="4"/>
    <x v="0"/>
  </r>
  <r>
    <n v="144"/>
    <d v="2019-05-24T00:00:00"/>
    <x v="0"/>
    <x v="1"/>
    <x v="0"/>
    <n v="900"/>
    <n v="1"/>
    <n v="900"/>
    <x v="4"/>
    <x v="0"/>
  </r>
  <r>
    <n v="145"/>
    <d v="2019-05-25T00:00:00"/>
    <x v="0"/>
    <x v="3"/>
    <x v="0"/>
    <n v="1000"/>
    <n v="1"/>
    <n v="1000"/>
    <x v="4"/>
    <x v="0"/>
  </r>
  <r>
    <n v="146"/>
    <d v="2019-05-26T00:00:00"/>
    <x v="0"/>
    <x v="3"/>
    <x v="0"/>
    <n v="1000"/>
    <n v="1"/>
    <n v="1000"/>
    <x v="4"/>
    <x v="0"/>
  </r>
  <r>
    <n v="147"/>
    <d v="2019-05-27T00:00:00"/>
    <x v="0"/>
    <x v="5"/>
    <x v="1"/>
    <n v="600"/>
    <n v="1"/>
    <n v="600"/>
    <x v="4"/>
    <x v="0"/>
  </r>
  <r>
    <n v="148"/>
    <d v="2019-05-28T00:00:00"/>
    <x v="0"/>
    <x v="6"/>
    <x v="2"/>
    <n v="850"/>
    <n v="1"/>
    <n v="850"/>
    <x v="4"/>
    <x v="0"/>
  </r>
  <r>
    <n v="149"/>
    <d v="2019-05-29T00:00:00"/>
    <x v="0"/>
    <x v="5"/>
    <x v="1"/>
    <n v="600"/>
    <n v="1"/>
    <n v="600"/>
    <x v="4"/>
    <x v="0"/>
  </r>
  <r>
    <n v="150"/>
    <d v="2019-05-30T00:00:00"/>
    <x v="0"/>
    <x v="6"/>
    <x v="2"/>
    <n v="850"/>
    <n v="1"/>
    <n v="850"/>
    <x v="4"/>
    <x v="0"/>
  </r>
  <r>
    <n v="151"/>
    <d v="2019-05-31T00:00:00"/>
    <x v="0"/>
    <x v="6"/>
    <x v="2"/>
    <n v="850"/>
    <n v="1"/>
    <n v="850"/>
    <x v="4"/>
    <x v="0"/>
  </r>
  <r>
    <n v="152"/>
    <d v="2019-06-01T00:00:00"/>
    <x v="0"/>
    <x v="1"/>
    <x v="0"/>
    <n v="900"/>
    <n v="1"/>
    <n v="900"/>
    <x v="5"/>
    <x v="0"/>
  </r>
  <r>
    <n v="153"/>
    <d v="2019-06-02T00:00:00"/>
    <x v="0"/>
    <x v="7"/>
    <x v="2"/>
    <n v="1200"/>
    <n v="2"/>
    <n v="2400"/>
    <x v="5"/>
    <x v="0"/>
  </r>
  <r>
    <n v="154"/>
    <d v="2019-06-03T00:00:00"/>
    <x v="0"/>
    <x v="4"/>
    <x v="1"/>
    <n v="800"/>
    <n v="1"/>
    <n v="800"/>
    <x v="5"/>
    <x v="0"/>
  </r>
  <r>
    <n v="155"/>
    <d v="2019-06-04T00:00:00"/>
    <x v="0"/>
    <x v="4"/>
    <x v="1"/>
    <n v="800"/>
    <n v="1"/>
    <n v="800"/>
    <x v="5"/>
    <x v="0"/>
  </r>
  <r>
    <n v="156"/>
    <d v="2019-06-05T00:00:00"/>
    <x v="0"/>
    <x v="2"/>
    <x v="0"/>
    <n v="900"/>
    <n v="1"/>
    <n v="900"/>
    <x v="5"/>
    <x v="0"/>
  </r>
  <r>
    <n v="157"/>
    <d v="2019-06-06T00:00:00"/>
    <x v="0"/>
    <x v="4"/>
    <x v="1"/>
    <n v="800"/>
    <n v="1"/>
    <n v="800"/>
    <x v="5"/>
    <x v="0"/>
  </r>
  <r>
    <n v="158"/>
    <d v="2019-06-07T00:00:00"/>
    <x v="0"/>
    <x v="5"/>
    <x v="1"/>
    <n v="600"/>
    <n v="1"/>
    <n v="600"/>
    <x v="5"/>
    <x v="0"/>
  </r>
  <r>
    <n v="159"/>
    <d v="2019-06-08T00:00:00"/>
    <x v="0"/>
    <x v="1"/>
    <x v="0"/>
    <n v="900"/>
    <n v="3"/>
    <n v="2700"/>
    <x v="5"/>
    <x v="0"/>
  </r>
  <r>
    <n v="160"/>
    <d v="2019-06-09T00:00:00"/>
    <x v="0"/>
    <x v="5"/>
    <x v="1"/>
    <n v="600"/>
    <n v="1"/>
    <n v="600"/>
    <x v="5"/>
    <x v="0"/>
  </r>
  <r>
    <n v="161"/>
    <d v="2019-06-10T00:00:00"/>
    <x v="0"/>
    <x v="4"/>
    <x v="1"/>
    <n v="800"/>
    <n v="1"/>
    <n v="800"/>
    <x v="5"/>
    <x v="0"/>
  </r>
  <r>
    <n v="162"/>
    <d v="2019-06-11T00:00:00"/>
    <x v="0"/>
    <x v="5"/>
    <x v="1"/>
    <n v="600"/>
    <n v="1"/>
    <n v="600"/>
    <x v="5"/>
    <x v="0"/>
  </r>
  <r>
    <n v="163"/>
    <d v="2019-06-12T00:00:00"/>
    <x v="0"/>
    <x v="0"/>
    <x v="0"/>
    <n v="1100"/>
    <n v="1"/>
    <n v="1100"/>
    <x v="5"/>
    <x v="0"/>
  </r>
  <r>
    <n v="164"/>
    <d v="2019-06-13T00:00:00"/>
    <x v="0"/>
    <x v="2"/>
    <x v="0"/>
    <n v="900"/>
    <n v="1"/>
    <n v="900"/>
    <x v="5"/>
    <x v="0"/>
  </r>
  <r>
    <n v="165"/>
    <d v="2019-06-14T00:00:00"/>
    <x v="0"/>
    <x v="0"/>
    <x v="0"/>
    <n v="1100"/>
    <n v="1"/>
    <n v="1100"/>
    <x v="5"/>
    <x v="0"/>
  </r>
  <r>
    <n v="166"/>
    <d v="2019-06-15T00:00:00"/>
    <x v="0"/>
    <x v="0"/>
    <x v="0"/>
    <n v="1100"/>
    <n v="1"/>
    <n v="1100"/>
    <x v="5"/>
    <x v="0"/>
  </r>
  <r>
    <n v="167"/>
    <d v="2019-06-16T00:00:00"/>
    <x v="0"/>
    <x v="7"/>
    <x v="2"/>
    <n v="1200"/>
    <n v="1"/>
    <n v="1200"/>
    <x v="5"/>
    <x v="0"/>
  </r>
  <r>
    <n v="168"/>
    <d v="2019-06-17T00:00:00"/>
    <x v="0"/>
    <x v="7"/>
    <x v="2"/>
    <n v="1200"/>
    <n v="1"/>
    <n v="1200"/>
    <x v="5"/>
    <x v="0"/>
  </r>
  <r>
    <n v="169"/>
    <d v="2019-06-18T00:00:00"/>
    <x v="0"/>
    <x v="0"/>
    <x v="0"/>
    <n v="1100"/>
    <n v="1"/>
    <n v="1100"/>
    <x v="5"/>
    <x v="0"/>
  </r>
  <r>
    <n v="170"/>
    <d v="2019-06-19T00:00:00"/>
    <x v="0"/>
    <x v="0"/>
    <x v="0"/>
    <n v="1100"/>
    <n v="1"/>
    <n v="1100"/>
    <x v="5"/>
    <x v="0"/>
  </r>
  <r>
    <n v="171"/>
    <d v="2019-06-20T00:00:00"/>
    <x v="0"/>
    <x v="8"/>
    <x v="3"/>
    <n v="900"/>
    <n v="1"/>
    <n v="900"/>
    <x v="5"/>
    <x v="0"/>
  </r>
  <r>
    <n v="172"/>
    <d v="2019-06-21T00:00:00"/>
    <x v="0"/>
    <x v="2"/>
    <x v="0"/>
    <n v="900"/>
    <n v="1"/>
    <n v="900"/>
    <x v="5"/>
    <x v="0"/>
  </r>
  <r>
    <n v="173"/>
    <d v="2019-06-22T00:00:00"/>
    <x v="0"/>
    <x v="8"/>
    <x v="3"/>
    <n v="800"/>
    <n v="1"/>
    <n v="800"/>
    <x v="5"/>
    <x v="0"/>
  </r>
  <r>
    <n v="174"/>
    <d v="2019-06-23T00:00:00"/>
    <x v="0"/>
    <x v="5"/>
    <x v="1"/>
    <n v="600"/>
    <n v="1"/>
    <n v="600"/>
    <x v="5"/>
    <x v="0"/>
  </r>
  <r>
    <n v="175"/>
    <d v="2019-06-24T00:00:00"/>
    <x v="0"/>
    <x v="8"/>
    <x v="3"/>
    <n v="800"/>
    <n v="1"/>
    <n v="800"/>
    <x v="5"/>
    <x v="0"/>
  </r>
  <r>
    <n v="176"/>
    <d v="2019-06-25T00:00:00"/>
    <x v="0"/>
    <x v="2"/>
    <x v="0"/>
    <n v="900"/>
    <n v="1"/>
    <n v="900"/>
    <x v="5"/>
    <x v="0"/>
  </r>
  <r>
    <n v="177"/>
    <d v="2019-06-26T00:00:00"/>
    <x v="0"/>
    <x v="7"/>
    <x v="2"/>
    <n v="1200"/>
    <n v="1"/>
    <n v="1200"/>
    <x v="5"/>
    <x v="0"/>
  </r>
  <r>
    <n v="178"/>
    <d v="2019-06-27T00:00:00"/>
    <x v="0"/>
    <x v="8"/>
    <x v="3"/>
    <n v="800"/>
    <n v="1"/>
    <n v="800"/>
    <x v="5"/>
    <x v="0"/>
  </r>
  <r>
    <n v="179"/>
    <d v="2019-06-28T00:00:00"/>
    <x v="0"/>
    <x v="1"/>
    <x v="0"/>
    <n v="900"/>
    <n v="1"/>
    <n v="900"/>
    <x v="5"/>
    <x v="0"/>
  </r>
  <r>
    <n v="180"/>
    <d v="2019-06-29T00:00:00"/>
    <x v="0"/>
    <x v="7"/>
    <x v="2"/>
    <n v="1200"/>
    <n v="1"/>
    <n v="1200"/>
    <x v="5"/>
    <x v="0"/>
  </r>
  <r>
    <n v="181"/>
    <d v="2019-06-30T00:00:00"/>
    <x v="0"/>
    <x v="0"/>
    <x v="0"/>
    <n v="1100"/>
    <n v="1"/>
    <n v="1100"/>
    <x v="5"/>
    <x v="0"/>
  </r>
  <r>
    <n v="182"/>
    <d v="2019-07-01T00:00:00"/>
    <x v="0"/>
    <x v="7"/>
    <x v="2"/>
    <n v="1200"/>
    <n v="1"/>
    <n v="1200"/>
    <x v="6"/>
    <x v="0"/>
  </r>
  <r>
    <n v="183"/>
    <d v="2019-07-02T00:00:00"/>
    <x v="0"/>
    <x v="2"/>
    <x v="0"/>
    <n v="900"/>
    <n v="1"/>
    <n v="900"/>
    <x v="6"/>
    <x v="0"/>
  </r>
  <r>
    <n v="184"/>
    <d v="2019-07-03T00:00:00"/>
    <x v="0"/>
    <x v="0"/>
    <x v="0"/>
    <n v="1100"/>
    <n v="2"/>
    <n v="2200"/>
    <x v="6"/>
    <x v="0"/>
  </r>
  <r>
    <n v="185"/>
    <d v="2019-07-04T00:00:00"/>
    <x v="0"/>
    <x v="7"/>
    <x v="2"/>
    <n v="1200"/>
    <n v="1"/>
    <n v="1200"/>
    <x v="6"/>
    <x v="0"/>
  </r>
  <r>
    <n v="186"/>
    <d v="2019-07-05T00:00:00"/>
    <x v="0"/>
    <x v="0"/>
    <x v="0"/>
    <n v="1100"/>
    <n v="1"/>
    <n v="1100"/>
    <x v="6"/>
    <x v="0"/>
  </r>
  <r>
    <n v="187"/>
    <d v="2019-07-06T00:00:00"/>
    <x v="0"/>
    <x v="1"/>
    <x v="0"/>
    <n v="900"/>
    <n v="1"/>
    <n v="900"/>
    <x v="6"/>
    <x v="0"/>
  </r>
  <r>
    <n v="188"/>
    <d v="2019-07-07T00:00:00"/>
    <x v="0"/>
    <x v="5"/>
    <x v="1"/>
    <n v="600"/>
    <n v="1"/>
    <n v="600"/>
    <x v="6"/>
    <x v="0"/>
  </r>
  <r>
    <n v="189"/>
    <d v="2019-07-08T00:00:00"/>
    <x v="0"/>
    <x v="8"/>
    <x v="3"/>
    <n v="900"/>
    <n v="1"/>
    <n v="900"/>
    <x v="6"/>
    <x v="0"/>
  </r>
  <r>
    <n v="190"/>
    <d v="2019-07-09T00:00:00"/>
    <x v="0"/>
    <x v="4"/>
    <x v="1"/>
    <n v="800"/>
    <n v="1"/>
    <n v="800"/>
    <x v="6"/>
    <x v="0"/>
  </r>
  <r>
    <n v="191"/>
    <d v="2019-07-10T00:00:00"/>
    <x v="0"/>
    <x v="0"/>
    <x v="0"/>
    <n v="1100"/>
    <n v="1"/>
    <n v="1100"/>
    <x v="6"/>
    <x v="0"/>
  </r>
  <r>
    <n v="192"/>
    <d v="2019-07-11T00:00:00"/>
    <x v="0"/>
    <x v="2"/>
    <x v="0"/>
    <n v="900"/>
    <n v="1"/>
    <n v="900"/>
    <x v="6"/>
    <x v="0"/>
  </r>
  <r>
    <n v="193"/>
    <d v="2019-07-12T00:00:00"/>
    <x v="0"/>
    <x v="3"/>
    <x v="0"/>
    <n v="1000"/>
    <n v="1"/>
    <n v="1000"/>
    <x v="6"/>
    <x v="0"/>
  </r>
  <r>
    <n v="194"/>
    <d v="2019-07-13T00:00:00"/>
    <x v="0"/>
    <x v="6"/>
    <x v="2"/>
    <n v="850"/>
    <n v="1"/>
    <n v="850"/>
    <x v="6"/>
    <x v="0"/>
  </r>
  <r>
    <n v="195"/>
    <d v="2019-07-14T00:00:00"/>
    <x v="0"/>
    <x v="5"/>
    <x v="1"/>
    <n v="600"/>
    <n v="1"/>
    <n v="600"/>
    <x v="6"/>
    <x v="0"/>
  </r>
  <r>
    <n v="196"/>
    <d v="2019-07-15T00:00:00"/>
    <x v="0"/>
    <x v="2"/>
    <x v="0"/>
    <n v="900"/>
    <n v="1"/>
    <n v="900"/>
    <x v="6"/>
    <x v="0"/>
  </r>
  <r>
    <n v="197"/>
    <d v="2019-07-16T00:00:00"/>
    <x v="0"/>
    <x v="3"/>
    <x v="0"/>
    <n v="1000"/>
    <n v="1"/>
    <n v="1000"/>
    <x v="6"/>
    <x v="0"/>
  </r>
  <r>
    <n v="198"/>
    <d v="2019-07-17T00:00:00"/>
    <x v="0"/>
    <x v="2"/>
    <x v="0"/>
    <n v="900"/>
    <n v="1"/>
    <n v="900"/>
    <x v="6"/>
    <x v="0"/>
  </r>
  <r>
    <n v="199"/>
    <d v="2019-07-18T00:00:00"/>
    <x v="0"/>
    <x v="1"/>
    <x v="0"/>
    <n v="900"/>
    <n v="1"/>
    <n v="900"/>
    <x v="6"/>
    <x v="0"/>
  </r>
  <r>
    <n v="200"/>
    <d v="2019-07-19T00:00:00"/>
    <x v="0"/>
    <x v="5"/>
    <x v="1"/>
    <n v="600"/>
    <n v="1"/>
    <n v="600"/>
    <x v="6"/>
    <x v="0"/>
  </r>
  <r>
    <n v="201"/>
    <d v="2019-07-20T00:00:00"/>
    <x v="0"/>
    <x v="8"/>
    <x v="3"/>
    <n v="900"/>
    <n v="1"/>
    <n v="900"/>
    <x v="6"/>
    <x v="0"/>
  </r>
  <r>
    <n v="202"/>
    <d v="2019-07-21T00:00:00"/>
    <x v="0"/>
    <x v="8"/>
    <x v="3"/>
    <n v="800"/>
    <n v="1"/>
    <n v="800"/>
    <x v="6"/>
    <x v="0"/>
  </r>
  <r>
    <n v="203"/>
    <d v="2019-07-22T00:00:00"/>
    <x v="0"/>
    <x v="4"/>
    <x v="1"/>
    <n v="800"/>
    <n v="1"/>
    <n v="800"/>
    <x v="6"/>
    <x v="0"/>
  </r>
  <r>
    <n v="204"/>
    <d v="2019-07-23T00:00:00"/>
    <x v="0"/>
    <x v="5"/>
    <x v="1"/>
    <n v="600"/>
    <n v="1"/>
    <n v="600"/>
    <x v="6"/>
    <x v="0"/>
  </r>
  <r>
    <n v="205"/>
    <d v="2019-07-24T00:00:00"/>
    <x v="0"/>
    <x v="8"/>
    <x v="3"/>
    <n v="500"/>
    <n v="1"/>
    <n v="500"/>
    <x v="6"/>
    <x v="0"/>
  </r>
  <r>
    <n v="206"/>
    <d v="2019-07-25T00:00:00"/>
    <x v="0"/>
    <x v="2"/>
    <x v="0"/>
    <n v="900"/>
    <n v="1"/>
    <n v="900"/>
    <x v="6"/>
    <x v="0"/>
  </r>
  <r>
    <n v="207"/>
    <d v="2019-07-26T00:00:00"/>
    <x v="0"/>
    <x v="0"/>
    <x v="0"/>
    <n v="1100"/>
    <n v="1"/>
    <n v="1100"/>
    <x v="6"/>
    <x v="0"/>
  </r>
  <r>
    <n v="208"/>
    <d v="2019-07-27T00:00:00"/>
    <x v="0"/>
    <x v="8"/>
    <x v="3"/>
    <n v="500"/>
    <n v="1"/>
    <n v="500"/>
    <x v="6"/>
    <x v="0"/>
  </r>
  <r>
    <n v="209"/>
    <d v="2019-07-28T00:00:00"/>
    <x v="0"/>
    <x v="5"/>
    <x v="1"/>
    <n v="600"/>
    <n v="1"/>
    <n v="600"/>
    <x v="6"/>
    <x v="0"/>
  </r>
  <r>
    <n v="210"/>
    <d v="2019-07-29T00:00:00"/>
    <x v="0"/>
    <x v="2"/>
    <x v="0"/>
    <n v="900"/>
    <n v="1"/>
    <n v="900"/>
    <x v="6"/>
    <x v="0"/>
  </r>
  <r>
    <n v="211"/>
    <d v="2019-07-30T00:00:00"/>
    <x v="0"/>
    <x v="8"/>
    <x v="3"/>
    <n v="500"/>
    <n v="1"/>
    <n v="500"/>
    <x v="6"/>
    <x v="0"/>
  </r>
  <r>
    <n v="212"/>
    <d v="2019-07-31T00:00:00"/>
    <x v="0"/>
    <x v="8"/>
    <x v="3"/>
    <n v="500"/>
    <n v="1"/>
    <n v="500"/>
    <x v="6"/>
    <x v="0"/>
  </r>
  <r>
    <n v="213"/>
    <d v="2019-08-01T00:00:00"/>
    <x v="0"/>
    <x v="5"/>
    <x v="1"/>
    <n v="600"/>
    <n v="1"/>
    <n v="600"/>
    <x v="7"/>
    <x v="0"/>
  </r>
  <r>
    <n v="214"/>
    <d v="2019-08-02T00:00:00"/>
    <x v="0"/>
    <x v="5"/>
    <x v="1"/>
    <n v="600"/>
    <n v="1"/>
    <n v="600"/>
    <x v="7"/>
    <x v="0"/>
  </r>
  <r>
    <n v="215"/>
    <d v="2019-08-03T00:00:00"/>
    <x v="0"/>
    <x v="4"/>
    <x v="1"/>
    <n v="800"/>
    <n v="1"/>
    <n v="800"/>
    <x v="7"/>
    <x v="0"/>
  </r>
  <r>
    <n v="216"/>
    <d v="2019-08-04T00:00:00"/>
    <x v="0"/>
    <x v="6"/>
    <x v="2"/>
    <n v="850"/>
    <n v="1"/>
    <n v="850"/>
    <x v="7"/>
    <x v="0"/>
  </r>
  <r>
    <n v="217"/>
    <d v="2019-08-05T00:00:00"/>
    <x v="0"/>
    <x v="8"/>
    <x v="3"/>
    <n v="500"/>
    <n v="1"/>
    <n v="500"/>
    <x v="7"/>
    <x v="0"/>
  </r>
  <r>
    <n v="218"/>
    <d v="2019-08-06T00:00:00"/>
    <x v="0"/>
    <x v="8"/>
    <x v="3"/>
    <n v="500"/>
    <n v="1"/>
    <n v="500"/>
    <x v="7"/>
    <x v="0"/>
  </r>
  <r>
    <n v="219"/>
    <d v="2019-08-07T00:00:00"/>
    <x v="0"/>
    <x v="0"/>
    <x v="0"/>
    <n v="1100"/>
    <n v="1"/>
    <n v="1100"/>
    <x v="7"/>
    <x v="0"/>
  </r>
  <r>
    <n v="220"/>
    <d v="2019-08-08T00:00:00"/>
    <x v="0"/>
    <x v="8"/>
    <x v="3"/>
    <n v="500"/>
    <n v="1"/>
    <n v="500"/>
    <x v="7"/>
    <x v="0"/>
  </r>
  <r>
    <n v="221"/>
    <d v="2019-08-09T00:00:00"/>
    <x v="0"/>
    <x v="3"/>
    <x v="0"/>
    <n v="1000"/>
    <n v="1"/>
    <n v="1000"/>
    <x v="7"/>
    <x v="0"/>
  </r>
  <r>
    <n v="222"/>
    <d v="2019-08-10T00:00:00"/>
    <x v="0"/>
    <x v="4"/>
    <x v="1"/>
    <n v="800"/>
    <n v="1"/>
    <n v="800"/>
    <x v="7"/>
    <x v="0"/>
  </r>
  <r>
    <n v="223"/>
    <d v="2019-08-11T00:00:00"/>
    <x v="0"/>
    <x v="9"/>
    <x v="3"/>
    <n v="600"/>
    <n v="1"/>
    <n v="600"/>
    <x v="7"/>
    <x v="0"/>
  </r>
  <r>
    <n v="224"/>
    <d v="2019-08-12T00:00:00"/>
    <x v="0"/>
    <x v="9"/>
    <x v="3"/>
    <n v="600"/>
    <n v="1"/>
    <n v="600"/>
    <x v="7"/>
    <x v="0"/>
  </r>
  <r>
    <n v="225"/>
    <d v="2019-08-13T00:00:00"/>
    <x v="0"/>
    <x v="6"/>
    <x v="2"/>
    <n v="850"/>
    <n v="1"/>
    <n v="850"/>
    <x v="7"/>
    <x v="0"/>
  </r>
  <r>
    <n v="226"/>
    <d v="2019-08-14T00:00:00"/>
    <x v="0"/>
    <x v="9"/>
    <x v="3"/>
    <n v="600"/>
    <n v="1"/>
    <n v="600"/>
    <x v="7"/>
    <x v="0"/>
  </r>
  <r>
    <n v="227"/>
    <d v="2019-08-15T00:00:00"/>
    <x v="0"/>
    <x v="5"/>
    <x v="1"/>
    <n v="600"/>
    <n v="1"/>
    <n v="600"/>
    <x v="7"/>
    <x v="0"/>
  </r>
  <r>
    <n v="228"/>
    <d v="2019-08-16T00:00:00"/>
    <x v="0"/>
    <x v="9"/>
    <x v="3"/>
    <n v="600"/>
    <n v="1"/>
    <n v="600"/>
    <x v="7"/>
    <x v="0"/>
  </r>
  <r>
    <n v="229"/>
    <d v="2019-08-17T00:00:00"/>
    <x v="0"/>
    <x v="0"/>
    <x v="0"/>
    <n v="1100"/>
    <n v="1"/>
    <n v="1100"/>
    <x v="7"/>
    <x v="0"/>
  </r>
  <r>
    <n v="230"/>
    <d v="2019-08-18T00:00:00"/>
    <x v="0"/>
    <x v="5"/>
    <x v="1"/>
    <n v="600"/>
    <n v="1"/>
    <n v="600"/>
    <x v="7"/>
    <x v="0"/>
  </r>
  <r>
    <n v="231"/>
    <d v="2019-08-19T00:00:00"/>
    <x v="0"/>
    <x v="0"/>
    <x v="0"/>
    <n v="1100"/>
    <n v="1"/>
    <n v="1100"/>
    <x v="7"/>
    <x v="0"/>
  </r>
  <r>
    <n v="232"/>
    <d v="2019-08-20T00:00:00"/>
    <x v="0"/>
    <x v="0"/>
    <x v="0"/>
    <n v="1100"/>
    <n v="1"/>
    <n v="1100"/>
    <x v="7"/>
    <x v="0"/>
  </r>
  <r>
    <n v="233"/>
    <d v="2019-08-21T00:00:00"/>
    <x v="0"/>
    <x v="0"/>
    <x v="0"/>
    <n v="1100"/>
    <n v="1"/>
    <n v="1100"/>
    <x v="7"/>
    <x v="0"/>
  </r>
  <r>
    <n v="234"/>
    <d v="2019-08-22T00:00:00"/>
    <x v="0"/>
    <x v="6"/>
    <x v="2"/>
    <n v="850"/>
    <n v="1"/>
    <n v="850"/>
    <x v="7"/>
    <x v="0"/>
  </r>
  <r>
    <n v="235"/>
    <d v="2019-08-23T00:00:00"/>
    <x v="0"/>
    <x v="5"/>
    <x v="1"/>
    <n v="600"/>
    <n v="1"/>
    <n v="600"/>
    <x v="7"/>
    <x v="0"/>
  </r>
  <r>
    <n v="236"/>
    <d v="2019-08-24T00:00:00"/>
    <x v="0"/>
    <x v="5"/>
    <x v="1"/>
    <n v="600"/>
    <n v="1"/>
    <n v="600"/>
    <x v="7"/>
    <x v="0"/>
  </r>
  <r>
    <n v="237"/>
    <d v="2019-08-25T00:00:00"/>
    <x v="0"/>
    <x v="4"/>
    <x v="1"/>
    <n v="800"/>
    <n v="1"/>
    <n v="800"/>
    <x v="7"/>
    <x v="0"/>
  </r>
  <r>
    <n v="238"/>
    <d v="2019-08-26T00:00:00"/>
    <x v="0"/>
    <x v="7"/>
    <x v="2"/>
    <n v="1200"/>
    <n v="1"/>
    <n v="1200"/>
    <x v="7"/>
    <x v="0"/>
  </r>
  <r>
    <n v="239"/>
    <d v="2019-08-27T00:00:00"/>
    <x v="0"/>
    <x v="3"/>
    <x v="0"/>
    <n v="1000"/>
    <n v="1"/>
    <n v="1000"/>
    <x v="7"/>
    <x v="0"/>
  </r>
  <r>
    <n v="240"/>
    <d v="2019-08-28T00:00:00"/>
    <x v="0"/>
    <x v="9"/>
    <x v="3"/>
    <n v="600"/>
    <n v="1"/>
    <n v="600"/>
    <x v="7"/>
    <x v="0"/>
  </r>
  <r>
    <n v="241"/>
    <d v="2019-08-29T00:00:00"/>
    <x v="0"/>
    <x v="2"/>
    <x v="0"/>
    <n v="900"/>
    <n v="1"/>
    <n v="900"/>
    <x v="7"/>
    <x v="0"/>
  </r>
  <r>
    <n v="242"/>
    <d v="2019-08-30T00:00:00"/>
    <x v="0"/>
    <x v="5"/>
    <x v="1"/>
    <n v="600"/>
    <n v="1"/>
    <n v="600"/>
    <x v="7"/>
    <x v="0"/>
  </r>
  <r>
    <n v="243"/>
    <d v="2019-08-31T00:00:00"/>
    <x v="0"/>
    <x v="1"/>
    <x v="0"/>
    <n v="900"/>
    <n v="1"/>
    <n v="900"/>
    <x v="7"/>
    <x v="0"/>
  </r>
  <r>
    <n v="244"/>
    <d v="2019-09-01T00:00:00"/>
    <x v="0"/>
    <x v="9"/>
    <x v="3"/>
    <n v="600"/>
    <n v="1"/>
    <n v="600"/>
    <x v="8"/>
    <x v="0"/>
  </r>
  <r>
    <n v="245"/>
    <d v="2019-09-02T00:00:00"/>
    <x v="0"/>
    <x v="6"/>
    <x v="2"/>
    <n v="850"/>
    <n v="1"/>
    <n v="850"/>
    <x v="8"/>
    <x v="0"/>
  </r>
  <r>
    <n v="246"/>
    <d v="2019-09-03T00:00:00"/>
    <x v="0"/>
    <x v="2"/>
    <x v="0"/>
    <n v="900"/>
    <n v="1"/>
    <n v="900"/>
    <x v="8"/>
    <x v="0"/>
  </r>
  <r>
    <n v="247"/>
    <d v="2019-09-04T00:00:00"/>
    <x v="0"/>
    <x v="0"/>
    <x v="0"/>
    <n v="1100"/>
    <n v="1"/>
    <n v="1100"/>
    <x v="8"/>
    <x v="0"/>
  </r>
  <r>
    <n v="248"/>
    <d v="2019-09-05T00:00:00"/>
    <x v="0"/>
    <x v="2"/>
    <x v="0"/>
    <n v="900"/>
    <n v="1"/>
    <n v="900"/>
    <x v="8"/>
    <x v="0"/>
  </r>
  <r>
    <n v="249"/>
    <d v="2019-09-06T00:00:00"/>
    <x v="0"/>
    <x v="3"/>
    <x v="0"/>
    <n v="1000"/>
    <n v="1"/>
    <n v="1000"/>
    <x v="8"/>
    <x v="0"/>
  </r>
  <r>
    <n v="250"/>
    <d v="2019-09-07T00:00:00"/>
    <x v="0"/>
    <x v="0"/>
    <x v="0"/>
    <n v="1100"/>
    <n v="1"/>
    <n v="1100"/>
    <x v="8"/>
    <x v="0"/>
  </r>
  <r>
    <n v="251"/>
    <d v="2019-09-08T00:00:00"/>
    <x v="0"/>
    <x v="3"/>
    <x v="0"/>
    <n v="1000"/>
    <n v="1"/>
    <n v="1000"/>
    <x v="8"/>
    <x v="0"/>
  </r>
  <r>
    <n v="252"/>
    <d v="2019-09-09T00:00:00"/>
    <x v="0"/>
    <x v="0"/>
    <x v="0"/>
    <n v="1100"/>
    <n v="1"/>
    <n v="1100"/>
    <x v="8"/>
    <x v="0"/>
  </r>
  <r>
    <n v="253"/>
    <d v="2019-09-10T00:00:00"/>
    <x v="0"/>
    <x v="2"/>
    <x v="0"/>
    <n v="900"/>
    <n v="1"/>
    <n v="900"/>
    <x v="8"/>
    <x v="0"/>
  </r>
  <r>
    <n v="254"/>
    <d v="2019-09-11T00:00:00"/>
    <x v="0"/>
    <x v="1"/>
    <x v="0"/>
    <n v="900"/>
    <n v="1"/>
    <n v="900"/>
    <x v="8"/>
    <x v="0"/>
  </r>
  <r>
    <n v="255"/>
    <d v="2019-09-12T00:00:00"/>
    <x v="0"/>
    <x v="0"/>
    <x v="0"/>
    <n v="1100"/>
    <n v="1"/>
    <n v="1100"/>
    <x v="8"/>
    <x v="0"/>
  </r>
  <r>
    <n v="256"/>
    <d v="2019-09-13T00:00:00"/>
    <x v="0"/>
    <x v="0"/>
    <x v="0"/>
    <n v="1100"/>
    <n v="1"/>
    <n v="1100"/>
    <x v="8"/>
    <x v="0"/>
  </r>
  <r>
    <n v="257"/>
    <d v="2019-09-14T00:00:00"/>
    <x v="0"/>
    <x v="3"/>
    <x v="0"/>
    <n v="1000"/>
    <n v="1"/>
    <n v="1000"/>
    <x v="8"/>
    <x v="0"/>
  </r>
  <r>
    <n v="258"/>
    <d v="2019-09-15T00:00:00"/>
    <x v="0"/>
    <x v="1"/>
    <x v="0"/>
    <n v="900"/>
    <n v="1"/>
    <n v="900"/>
    <x v="8"/>
    <x v="0"/>
  </r>
  <r>
    <n v="259"/>
    <d v="2019-09-16T00:00:00"/>
    <x v="0"/>
    <x v="5"/>
    <x v="1"/>
    <n v="600"/>
    <n v="1"/>
    <n v="600"/>
    <x v="8"/>
    <x v="0"/>
  </r>
  <r>
    <n v="260"/>
    <d v="2019-09-17T00:00:00"/>
    <x v="0"/>
    <x v="1"/>
    <x v="0"/>
    <n v="900"/>
    <n v="1"/>
    <n v="900"/>
    <x v="8"/>
    <x v="0"/>
  </r>
  <r>
    <n v="261"/>
    <d v="2019-09-18T00:00:00"/>
    <x v="0"/>
    <x v="5"/>
    <x v="1"/>
    <n v="600"/>
    <n v="1"/>
    <n v="600"/>
    <x v="8"/>
    <x v="0"/>
  </r>
  <r>
    <n v="262"/>
    <d v="2019-09-19T00:00:00"/>
    <x v="0"/>
    <x v="2"/>
    <x v="0"/>
    <n v="900"/>
    <n v="1"/>
    <n v="900"/>
    <x v="8"/>
    <x v="0"/>
  </r>
  <r>
    <n v="263"/>
    <d v="2019-09-20T00:00:00"/>
    <x v="0"/>
    <x v="0"/>
    <x v="0"/>
    <n v="1100"/>
    <n v="2"/>
    <n v="2200"/>
    <x v="8"/>
    <x v="0"/>
  </r>
  <r>
    <n v="264"/>
    <d v="2019-09-21T00:00:00"/>
    <x v="0"/>
    <x v="5"/>
    <x v="1"/>
    <n v="600"/>
    <n v="1"/>
    <n v="600"/>
    <x v="8"/>
    <x v="0"/>
  </r>
  <r>
    <n v="265"/>
    <d v="2019-09-22T00:00:00"/>
    <x v="0"/>
    <x v="5"/>
    <x v="1"/>
    <n v="600"/>
    <n v="1"/>
    <n v="600"/>
    <x v="8"/>
    <x v="0"/>
  </r>
  <r>
    <n v="266"/>
    <d v="2019-09-23T00:00:00"/>
    <x v="0"/>
    <x v="2"/>
    <x v="0"/>
    <n v="900"/>
    <n v="1"/>
    <n v="900"/>
    <x v="8"/>
    <x v="0"/>
  </r>
  <r>
    <n v="267"/>
    <d v="2019-09-24T00:00:00"/>
    <x v="0"/>
    <x v="0"/>
    <x v="0"/>
    <n v="1100"/>
    <n v="1"/>
    <n v="1100"/>
    <x v="8"/>
    <x v="0"/>
  </r>
  <r>
    <n v="268"/>
    <d v="2019-09-25T00:00:00"/>
    <x v="0"/>
    <x v="5"/>
    <x v="1"/>
    <n v="600"/>
    <n v="1"/>
    <n v="600"/>
    <x v="8"/>
    <x v="0"/>
  </r>
  <r>
    <n v="269"/>
    <d v="2019-09-26T00:00:00"/>
    <x v="0"/>
    <x v="9"/>
    <x v="3"/>
    <n v="600"/>
    <n v="1"/>
    <n v="600"/>
    <x v="8"/>
    <x v="0"/>
  </r>
  <r>
    <n v="270"/>
    <d v="2019-09-27T00:00:00"/>
    <x v="0"/>
    <x v="5"/>
    <x v="1"/>
    <n v="600"/>
    <n v="1"/>
    <n v="600"/>
    <x v="8"/>
    <x v="0"/>
  </r>
  <r>
    <n v="271"/>
    <d v="2019-09-28T00:00:00"/>
    <x v="0"/>
    <x v="9"/>
    <x v="3"/>
    <n v="600"/>
    <n v="1"/>
    <n v="600"/>
    <x v="8"/>
    <x v="0"/>
  </r>
  <r>
    <n v="272"/>
    <d v="2019-09-29T00:00:00"/>
    <x v="0"/>
    <x v="9"/>
    <x v="3"/>
    <n v="600"/>
    <n v="2"/>
    <n v="1200"/>
    <x v="8"/>
    <x v="0"/>
  </r>
  <r>
    <n v="273"/>
    <d v="2019-09-30T00:00:00"/>
    <x v="0"/>
    <x v="5"/>
    <x v="1"/>
    <n v="600"/>
    <n v="1"/>
    <n v="600"/>
    <x v="8"/>
    <x v="0"/>
  </r>
  <r>
    <n v="274"/>
    <d v="2019-10-01T00:00:00"/>
    <x v="0"/>
    <x v="0"/>
    <x v="0"/>
    <n v="1100"/>
    <n v="3"/>
    <n v="3300"/>
    <x v="9"/>
    <x v="0"/>
  </r>
  <r>
    <n v="275"/>
    <d v="2019-10-02T00:00:00"/>
    <x v="0"/>
    <x v="0"/>
    <x v="0"/>
    <n v="1100"/>
    <n v="1"/>
    <n v="1100"/>
    <x v="9"/>
    <x v="0"/>
  </r>
  <r>
    <n v="276"/>
    <d v="2019-10-03T00:00:00"/>
    <x v="0"/>
    <x v="6"/>
    <x v="2"/>
    <n v="850"/>
    <n v="1"/>
    <n v="850"/>
    <x v="9"/>
    <x v="0"/>
  </r>
  <r>
    <n v="277"/>
    <d v="2019-10-04T00:00:00"/>
    <x v="0"/>
    <x v="7"/>
    <x v="2"/>
    <n v="1200"/>
    <n v="1"/>
    <n v="1200"/>
    <x v="9"/>
    <x v="0"/>
  </r>
  <r>
    <n v="278"/>
    <d v="2019-10-05T00:00:00"/>
    <x v="0"/>
    <x v="4"/>
    <x v="1"/>
    <n v="800"/>
    <n v="1"/>
    <n v="800"/>
    <x v="9"/>
    <x v="0"/>
  </r>
  <r>
    <n v="279"/>
    <d v="2019-10-06T00:00:00"/>
    <x v="0"/>
    <x v="2"/>
    <x v="0"/>
    <n v="900"/>
    <n v="1"/>
    <n v="900"/>
    <x v="9"/>
    <x v="0"/>
  </r>
  <r>
    <n v="280"/>
    <d v="2019-10-07T00:00:00"/>
    <x v="0"/>
    <x v="0"/>
    <x v="0"/>
    <n v="1100"/>
    <n v="1"/>
    <n v="1100"/>
    <x v="9"/>
    <x v="0"/>
  </r>
  <r>
    <n v="281"/>
    <d v="2019-10-08T00:00:00"/>
    <x v="0"/>
    <x v="1"/>
    <x v="0"/>
    <n v="900"/>
    <n v="1"/>
    <n v="900"/>
    <x v="9"/>
    <x v="0"/>
  </r>
  <r>
    <n v="282"/>
    <d v="2019-10-09T00:00:00"/>
    <x v="0"/>
    <x v="0"/>
    <x v="0"/>
    <n v="1100"/>
    <n v="1"/>
    <n v="1100"/>
    <x v="9"/>
    <x v="0"/>
  </r>
  <r>
    <n v="283"/>
    <d v="2019-10-10T00:00:00"/>
    <x v="0"/>
    <x v="8"/>
    <x v="3"/>
    <n v="900"/>
    <n v="1"/>
    <n v="900"/>
    <x v="9"/>
    <x v="0"/>
  </r>
  <r>
    <n v="284"/>
    <d v="2019-10-11T00:00:00"/>
    <x v="0"/>
    <x v="8"/>
    <x v="3"/>
    <n v="500"/>
    <n v="1"/>
    <n v="500"/>
    <x v="9"/>
    <x v="0"/>
  </r>
  <r>
    <n v="285"/>
    <d v="2019-10-12T00:00:00"/>
    <x v="0"/>
    <x v="3"/>
    <x v="0"/>
    <n v="1000"/>
    <n v="1"/>
    <n v="1000"/>
    <x v="9"/>
    <x v="0"/>
  </r>
  <r>
    <n v="286"/>
    <d v="2019-10-13T00:00:00"/>
    <x v="0"/>
    <x v="9"/>
    <x v="3"/>
    <n v="600"/>
    <n v="1"/>
    <n v="600"/>
    <x v="9"/>
    <x v="0"/>
  </r>
  <r>
    <n v="287"/>
    <d v="2019-10-14T00:00:00"/>
    <x v="0"/>
    <x v="1"/>
    <x v="0"/>
    <n v="900"/>
    <n v="2"/>
    <n v="1800"/>
    <x v="9"/>
    <x v="0"/>
  </r>
  <r>
    <n v="288"/>
    <d v="2019-10-15T00:00:00"/>
    <x v="0"/>
    <x v="6"/>
    <x v="2"/>
    <n v="850"/>
    <n v="1"/>
    <n v="850"/>
    <x v="9"/>
    <x v="0"/>
  </r>
  <r>
    <n v="289"/>
    <d v="2019-10-16T00:00:00"/>
    <x v="0"/>
    <x v="4"/>
    <x v="1"/>
    <n v="800"/>
    <n v="1"/>
    <n v="800"/>
    <x v="9"/>
    <x v="0"/>
  </r>
  <r>
    <n v="290"/>
    <d v="2019-10-17T00:00:00"/>
    <x v="0"/>
    <x v="1"/>
    <x v="0"/>
    <n v="900"/>
    <n v="1"/>
    <n v="900"/>
    <x v="9"/>
    <x v="0"/>
  </r>
  <r>
    <n v="291"/>
    <d v="2019-10-18T00:00:00"/>
    <x v="0"/>
    <x v="1"/>
    <x v="0"/>
    <n v="900"/>
    <n v="1"/>
    <n v="900"/>
    <x v="9"/>
    <x v="0"/>
  </r>
  <r>
    <n v="292"/>
    <d v="2019-10-19T00:00:00"/>
    <x v="0"/>
    <x v="0"/>
    <x v="0"/>
    <n v="1100"/>
    <n v="1"/>
    <n v="1100"/>
    <x v="9"/>
    <x v="0"/>
  </r>
  <r>
    <n v="293"/>
    <d v="2019-10-20T00:00:00"/>
    <x v="0"/>
    <x v="2"/>
    <x v="0"/>
    <n v="900"/>
    <n v="1"/>
    <n v="900"/>
    <x v="9"/>
    <x v="0"/>
  </r>
  <r>
    <n v="294"/>
    <d v="2019-10-21T00:00:00"/>
    <x v="0"/>
    <x v="5"/>
    <x v="1"/>
    <n v="600"/>
    <n v="1"/>
    <n v="600"/>
    <x v="9"/>
    <x v="0"/>
  </r>
  <r>
    <n v="295"/>
    <d v="2019-10-22T00:00:00"/>
    <x v="0"/>
    <x v="5"/>
    <x v="1"/>
    <n v="600"/>
    <n v="1"/>
    <n v="600"/>
    <x v="9"/>
    <x v="0"/>
  </r>
  <r>
    <n v="296"/>
    <d v="2019-10-23T00:00:00"/>
    <x v="0"/>
    <x v="2"/>
    <x v="0"/>
    <n v="900"/>
    <n v="1"/>
    <n v="900"/>
    <x v="9"/>
    <x v="0"/>
  </r>
  <r>
    <n v="297"/>
    <d v="2019-10-24T00:00:00"/>
    <x v="0"/>
    <x v="6"/>
    <x v="2"/>
    <n v="850"/>
    <n v="1"/>
    <n v="850"/>
    <x v="9"/>
    <x v="0"/>
  </r>
  <r>
    <n v="298"/>
    <d v="2019-10-25T00:00:00"/>
    <x v="0"/>
    <x v="2"/>
    <x v="0"/>
    <n v="900"/>
    <n v="1"/>
    <n v="900"/>
    <x v="9"/>
    <x v="0"/>
  </r>
  <r>
    <n v="299"/>
    <d v="2019-10-26T00:00:00"/>
    <x v="0"/>
    <x v="5"/>
    <x v="1"/>
    <n v="600"/>
    <n v="1"/>
    <n v="600"/>
    <x v="9"/>
    <x v="0"/>
  </r>
  <r>
    <n v="300"/>
    <d v="2019-10-27T00:00:00"/>
    <x v="0"/>
    <x v="5"/>
    <x v="1"/>
    <n v="600"/>
    <n v="1"/>
    <n v="600"/>
    <x v="9"/>
    <x v="0"/>
  </r>
  <r>
    <n v="301"/>
    <d v="2019-10-28T00:00:00"/>
    <x v="0"/>
    <x v="0"/>
    <x v="0"/>
    <n v="1100"/>
    <n v="1"/>
    <n v="1100"/>
    <x v="9"/>
    <x v="0"/>
  </r>
  <r>
    <n v="302"/>
    <d v="2019-10-29T00:00:00"/>
    <x v="0"/>
    <x v="1"/>
    <x v="0"/>
    <n v="900"/>
    <n v="1"/>
    <n v="900"/>
    <x v="9"/>
    <x v="0"/>
  </r>
  <r>
    <n v="303"/>
    <d v="2019-10-30T00:00:00"/>
    <x v="0"/>
    <x v="0"/>
    <x v="0"/>
    <n v="1100"/>
    <n v="1"/>
    <n v="1100"/>
    <x v="9"/>
    <x v="0"/>
  </r>
  <r>
    <n v="304"/>
    <d v="2019-10-31T00:00:00"/>
    <x v="0"/>
    <x v="5"/>
    <x v="1"/>
    <n v="600"/>
    <n v="1"/>
    <n v="600"/>
    <x v="9"/>
    <x v="0"/>
  </r>
  <r>
    <n v="305"/>
    <d v="2019-11-01T00:00:00"/>
    <x v="0"/>
    <x v="7"/>
    <x v="2"/>
    <n v="1200"/>
    <n v="1"/>
    <n v="1200"/>
    <x v="10"/>
    <x v="0"/>
  </r>
  <r>
    <n v="306"/>
    <d v="2019-11-02T00:00:00"/>
    <x v="0"/>
    <x v="9"/>
    <x v="3"/>
    <n v="600"/>
    <n v="1"/>
    <n v="600"/>
    <x v="10"/>
    <x v="0"/>
  </r>
  <r>
    <n v="307"/>
    <d v="2019-11-03T00:00:00"/>
    <x v="0"/>
    <x v="0"/>
    <x v="0"/>
    <n v="1100"/>
    <n v="1"/>
    <n v="1100"/>
    <x v="10"/>
    <x v="0"/>
  </r>
  <r>
    <n v="308"/>
    <d v="2019-11-04T00:00:00"/>
    <x v="0"/>
    <x v="8"/>
    <x v="3"/>
    <n v="500"/>
    <n v="1"/>
    <n v="500"/>
    <x v="10"/>
    <x v="0"/>
  </r>
  <r>
    <n v="309"/>
    <d v="2019-11-05T00:00:00"/>
    <x v="0"/>
    <x v="1"/>
    <x v="0"/>
    <n v="900"/>
    <n v="1"/>
    <n v="900"/>
    <x v="10"/>
    <x v="0"/>
  </r>
  <r>
    <n v="310"/>
    <d v="2019-11-06T00:00:00"/>
    <x v="0"/>
    <x v="6"/>
    <x v="2"/>
    <n v="850"/>
    <n v="1"/>
    <n v="850"/>
    <x v="10"/>
    <x v="0"/>
  </r>
  <r>
    <n v="311"/>
    <d v="2019-11-07T00:00:00"/>
    <x v="0"/>
    <x v="5"/>
    <x v="1"/>
    <n v="600"/>
    <n v="1"/>
    <n v="600"/>
    <x v="10"/>
    <x v="0"/>
  </r>
  <r>
    <n v="312"/>
    <d v="2019-11-08T00:00:00"/>
    <x v="0"/>
    <x v="0"/>
    <x v="0"/>
    <n v="1100"/>
    <n v="1"/>
    <n v="1100"/>
    <x v="10"/>
    <x v="0"/>
  </r>
  <r>
    <n v="313"/>
    <d v="2019-11-09T00:00:00"/>
    <x v="0"/>
    <x v="8"/>
    <x v="3"/>
    <n v="500"/>
    <n v="1"/>
    <n v="500"/>
    <x v="10"/>
    <x v="0"/>
  </r>
  <r>
    <n v="314"/>
    <d v="2019-11-10T00:00:00"/>
    <x v="0"/>
    <x v="5"/>
    <x v="1"/>
    <n v="600"/>
    <n v="1"/>
    <n v="600"/>
    <x v="10"/>
    <x v="0"/>
  </r>
  <r>
    <n v="315"/>
    <d v="2019-11-11T00:00:00"/>
    <x v="0"/>
    <x v="3"/>
    <x v="0"/>
    <n v="1000"/>
    <n v="1"/>
    <n v="1000"/>
    <x v="10"/>
    <x v="0"/>
  </r>
  <r>
    <n v="316"/>
    <d v="2019-11-12T00:00:00"/>
    <x v="1"/>
    <x v="5"/>
    <x v="1"/>
    <n v="600"/>
    <n v="1"/>
    <n v="600"/>
    <x v="10"/>
    <x v="0"/>
  </r>
  <r>
    <n v="317"/>
    <d v="2019-11-13T00:00:00"/>
    <x v="1"/>
    <x v="0"/>
    <x v="0"/>
    <n v="1100"/>
    <n v="1"/>
    <n v="1100"/>
    <x v="10"/>
    <x v="0"/>
  </r>
  <r>
    <n v="318"/>
    <d v="2019-11-14T00:00:00"/>
    <x v="1"/>
    <x v="8"/>
    <x v="3"/>
    <n v="500"/>
    <n v="1"/>
    <n v="500"/>
    <x v="10"/>
    <x v="0"/>
  </r>
  <r>
    <n v="319"/>
    <d v="2019-11-15T00:00:00"/>
    <x v="1"/>
    <x v="0"/>
    <x v="0"/>
    <n v="1100"/>
    <n v="2"/>
    <n v="2200"/>
    <x v="10"/>
    <x v="0"/>
  </r>
  <r>
    <n v="320"/>
    <d v="2019-11-16T00:00:00"/>
    <x v="1"/>
    <x v="5"/>
    <x v="1"/>
    <n v="600"/>
    <n v="1"/>
    <n v="600"/>
    <x v="10"/>
    <x v="0"/>
  </r>
  <r>
    <n v="321"/>
    <d v="2019-11-17T00:00:00"/>
    <x v="1"/>
    <x v="4"/>
    <x v="1"/>
    <n v="800"/>
    <n v="1"/>
    <n v="800"/>
    <x v="10"/>
    <x v="0"/>
  </r>
  <r>
    <n v="322"/>
    <d v="2019-11-18T00:00:00"/>
    <x v="1"/>
    <x v="2"/>
    <x v="0"/>
    <n v="900"/>
    <n v="1"/>
    <n v="900"/>
    <x v="10"/>
    <x v="0"/>
  </r>
  <r>
    <n v="323"/>
    <d v="2019-11-19T00:00:00"/>
    <x v="1"/>
    <x v="9"/>
    <x v="3"/>
    <n v="600"/>
    <n v="1"/>
    <n v="600"/>
    <x v="10"/>
    <x v="0"/>
  </r>
  <r>
    <n v="324"/>
    <d v="2019-11-20T00:00:00"/>
    <x v="1"/>
    <x v="0"/>
    <x v="0"/>
    <n v="1100"/>
    <n v="2"/>
    <n v="2200"/>
    <x v="10"/>
    <x v="0"/>
  </r>
  <r>
    <n v="325"/>
    <d v="2019-11-21T00:00:00"/>
    <x v="0"/>
    <x v="5"/>
    <x v="1"/>
    <n v="600"/>
    <n v="1"/>
    <n v="600"/>
    <x v="10"/>
    <x v="0"/>
  </r>
  <r>
    <n v="326"/>
    <d v="2019-11-22T00:00:00"/>
    <x v="0"/>
    <x v="0"/>
    <x v="0"/>
    <n v="1100"/>
    <n v="1"/>
    <n v="1100"/>
    <x v="10"/>
    <x v="0"/>
  </r>
  <r>
    <n v="327"/>
    <d v="2019-11-23T00:00:00"/>
    <x v="0"/>
    <x v="3"/>
    <x v="0"/>
    <n v="1000"/>
    <n v="1"/>
    <n v="1000"/>
    <x v="10"/>
    <x v="0"/>
  </r>
  <r>
    <n v="328"/>
    <d v="2019-11-24T00:00:00"/>
    <x v="0"/>
    <x v="0"/>
    <x v="0"/>
    <n v="1100"/>
    <n v="1"/>
    <n v="1100"/>
    <x v="10"/>
    <x v="0"/>
  </r>
  <r>
    <n v="329"/>
    <d v="2019-11-25T00:00:00"/>
    <x v="0"/>
    <x v="7"/>
    <x v="2"/>
    <n v="1200"/>
    <n v="1"/>
    <n v="1200"/>
    <x v="10"/>
    <x v="0"/>
  </r>
  <r>
    <n v="330"/>
    <d v="2019-11-26T00:00:00"/>
    <x v="0"/>
    <x v="2"/>
    <x v="0"/>
    <n v="900"/>
    <n v="1"/>
    <n v="900"/>
    <x v="10"/>
    <x v="0"/>
  </r>
  <r>
    <n v="331"/>
    <d v="2019-11-27T00:00:00"/>
    <x v="0"/>
    <x v="9"/>
    <x v="3"/>
    <n v="600"/>
    <n v="1"/>
    <n v="600"/>
    <x v="10"/>
    <x v="0"/>
  </r>
  <r>
    <n v="332"/>
    <d v="2019-11-28T00:00:00"/>
    <x v="0"/>
    <x v="0"/>
    <x v="0"/>
    <n v="1100"/>
    <n v="2"/>
    <n v="2200"/>
    <x v="10"/>
    <x v="0"/>
  </r>
  <r>
    <n v="333"/>
    <d v="2019-11-29T00:00:00"/>
    <x v="0"/>
    <x v="3"/>
    <x v="0"/>
    <n v="1000"/>
    <n v="1"/>
    <n v="1000"/>
    <x v="10"/>
    <x v="0"/>
  </r>
  <r>
    <n v="334"/>
    <d v="2019-11-30T00:00:00"/>
    <x v="0"/>
    <x v="3"/>
    <x v="0"/>
    <n v="1000"/>
    <n v="1"/>
    <n v="1000"/>
    <x v="10"/>
    <x v="0"/>
  </r>
  <r>
    <n v="335"/>
    <d v="2019-12-01T00:00:00"/>
    <x v="0"/>
    <x v="8"/>
    <x v="3"/>
    <n v="500"/>
    <n v="1"/>
    <n v="500"/>
    <x v="11"/>
    <x v="0"/>
  </r>
  <r>
    <n v="336"/>
    <d v="2019-12-02T00:00:00"/>
    <x v="0"/>
    <x v="3"/>
    <x v="0"/>
    <n v="1000"/>
    <n v="1"/>
    <n v="1000"/>
    <x v="11"/>
    <x v="0"/>
  </r>
  <r>
    <n v="337"/>
    <d v="2019-12-03T00:00:00"/>
    <x v="0"/>
    <x v="7"/>
    <x v="2"/>
    <n v="1200"/>
    <n v="1"/>
    <n v="1200"/>
    <x v="11"/>
    <x v="0"/>
  </r>
  <r>
    <n v="338"/>
    <d v="2019-12-04T00:00:00"/>
    <x v="0"/>
    <x v="7"/>
    <x v="2"/>
    <n v="1200"/>
    <n v="1"/>
    <n v="1200"/>
    <x v="11"/>
    <x v="0"/>
  </r>
  <r>
    <n v="339"/>
    <d v="2019-12-05T00:00:00"/>
    <x v="0"/>
    <x v="1"/>
    <x v="0"/>
    <n v="900"/>
    <n v="1"/>
    <n v="900"/>
    <x v="11"/>
    <x v="0"/>
  </r>
  <r>
    <n v="340"/>
    <d v="2019-12-06T00:00:00"/>
    <x v="0"/>
    <x v="3"/>
    <x v="0"/>
    <n v="1000"/>
    <n v="1"/>
    <n v="1000"/>
    <x v="11"/>
    <x v="0"/>
  </r>
  <r>
    <n v="341"/>
    <d v="2019-12-07T00:00:00"/>
    <x v="0"/>
    <x v="5"/>
    <x v="1"/>
    <n v="600"/>
    <n v="1"/>
    <n v="600"/>
    <x v="11"/>
    <x v="0"/>
  </r>
  <r>
    <n v="342"/>
    <d v="2019-12-08T00:00:00"/>
    <x v="0"/>
    <x v="5"/>
    <x v="1"/>
    <n v="600"/>
    <n v="1"/>
    <n v="600"/>
    <x v="11"/>
    <x v="0"/>
  </r>
  <r>
    <n v="343"/>
    <d v="2019-12-09T00:00:00"/>
    <x v="0"/>
    <x v="3"/>
    <x v="0"/>
    <n v="1000"/>
    <n v="1"/>
    <n v="1000"/>
    <x v="11"/>
    <x v="0"/>
  </r>
  <r>
    <n v="344"/>
    <d v="2019-12-10T00:00:00"/>
    <x v="0"/>
    <x v="2"/>
    <x v="0"/>
    <n v="900"/>
    <n v="2"/>
    <n v="1800"/>
    <x v="11"/>
    <x v="0"/>
  </r>
  <r>
    <n v="345"/>
    <d v="2019-12-11T00:00:00"/>
    <x v="0"/>
    <x v="0"/>
    <x v="0"/>
    <n v="1100"/>
    <n v="2"/>
    <n v="2200"/>
    <x v="11"/>
    <x v="0"/>
  </r>
  <r>
    <n v="346"/>
    <d v="2019-12-12T00:00:00"/>
    <x v="1"/>
    <x v="2"/>
    <x v="0"/>
    <n v="900"/>
    <n v="2"/>
    <n v="1800"/>
    <x v="11"/>
    <x v="0"/>
  </r>
  <r>
    <n v="347"/>
    <d v="2019-12-13T00:00:00"/>
    <x v="0"/>
    <x v="8"/>
    <x v="3"/>
    <n v="800"/>
    <n v="1"/>
    <n v="800"/>
    <x v="11"/>
    <x v="0"/>
  </r>
  <r>
    <n v="348"/>
    <d v="2019-12-14T00:00:00"/>
    <x v="0"/>
    <x v="0"/>
    <x v="0"/>
    <n v="1100"/>
    <n v="1"/>
    <n v="1100"/>
    <x v="11"/>
    <x v="0"/>
  </r>
  <r>
    <n v="349"/>
    <d v="2019-12-15T00:00:00"/>
    <x v="0"/>
    <x v="9"/>
    <x v="3"/>
    <n v="600"/>
    <n v="1"/>
    <n v="600"/>
    <x v="11"/>
    <x v="0"/>
  </r>
  <r>
    <n v="350"/>
    <d v="2019-12-16T00:00:00"/>
    <x v="1"/>
    <x v="0"/>
    <x v="0"/>
    <n v="1100"/>
    <n v="3"/>
    <n v="3300"/>
    <x v="11"/>
    <x v="0"/>
  </r>
  <r>
    <n v="351"/>
    <d v="2019-12-17T00:00:00"/>
    <x v="1"/>
    <x v="6"/>
    <x v="2"/>
    <n v="850"/>
    <n v="1"/>
    <n v="850"/>
    <x v="11"/>
    <x v="0"/>
  </r>
  <r>
    <n v="352"/>
    <d v="2019-12-18T00:00:00"/>
    <x v="1"/>
    <x v="9"/>
    <x v="3"/>
    <n v="600"/>
    <n v="1"/>
    <n v="600"/>
    <x v="11"/>
    <x v="0"/>
  </r>
  <r>
    <n v="353"/>
    <d v="2019-12-19T00:00:00"/>
    <x v="1"/>
    <x v="9"/>
    <x v="3"/>
    <n v="600"/>
    <n v="1"/>
    <n v="600"/>
    <x v="11"/>
    <x v="0"/>
  </r>
  <r>
    <n v="354"/>
    <d v="2019-12-20T00:00:00"/>
    <x v="0"/>
    <x v="0"/>
    <x v="0"/>
    <n v="1100"/>
    <n v="1"/>
    <n v="1100"/>
    <x v="11"/>
    <x v="0"/>
  </r>
  <r>
    <n v="355"/>
    <d v="2019-12-21T00:00:00"/>
    <x v="0"/>
    <x v="3"/>
    <x v="0"/>
    <n v="1000"/>
    <n v="1"/>
    <n v="1000"/>
    <x v="11"/>
    <x v="0"/>
  </r>
  <r>
    <n v="356"/>
    <d v="2019-12-22T00:00:00"/>
    <x v="0"/>
    <x v="2"/>
    <x v="0"/>
    <n v="900"/>
    <n v="1"/>
    <n v="900"/>
    <x v="11"/>
    <x v="0"/>
  </r>
  <r>
    <n v="357"/>
    <d v="2019-12-23T00:00:00"/>
    <x v="0"/>
    <x v="9"/>
    <x v="3"/>
    <n v="600"/>
    <n v="1"/>
    <n v="600"/>
    <x v="11"/>
    <x v="0"/>
  </r>
  <r>
    <n v="358"/>
    <d v="2019-12-24T00:00:00"/>
    <x v="0"/>
    <x v="2"/>
    <x v="0"/>
    <n v="900"/>
    <n v="1"/>
    <n v="900"/>
    <x v="11"/>
    <x v="0"/>
  </r>
  <r>
    <n v="359"/>
    <d v="2019-12-25T00:00:00"/>
    <x v="0"/>
    <x v="5"/>
    <x v="1"/>
    <n v="600"/>
    <n v="1"/>
    <n v="600"/>
    <x v="11"/>
    <x v="0"/>
  </r>
  <r>
    <n v="360"/>
    <d v="2019-12-26T00:00:00"/>
    <x v="0"/>
    <x v="1"/>
    <x v="0"/>
    <n v="900"/>
    <n v="1"/>
    <n v="900"/>
    <x v="11"/>
    <x v="0"/>
  </r>
  <r>
    <n v="361"/>
    <d v="2019-12-27T00:00:00"/>
    <x v="0"/>
    <x v="5"/>
    <x v="1"/>
    <n v="600"/>
    <n v="1"/>
    <n v="600"/>
    <x v="11"/>
    <x v="0"/>
  </r>
  <r>
    <n v="362"/>
    <d v="2019-12-28T00:00:00"/>
    <x v="0"/>
    <x v="2"/>
    <x v="0"/>
    <n v="900"/>
    <n v="1"/>
    <n v="900"/>
    <x v="11"/>
    <x v="0"/>
  </r>
  <r>
    <n v="363"/>
    <d v="2019-12-29T00:00:00"/>
    <x v="0"/>
    <x v="9"/>
    <x v="3"/>
    <n v="600"/>
    <n v="1"/>
    <n v="600"/>
    <x v="11"/>
    <x v="0"/>
  </r>
  <r>
    <n v="364"/>
    <d v="2019-12-30T00:00:00"/>
    <x v="0"/>
    <x v="0"/>
    <x v="0"/>
    <n v="1100"/>
    <n v="2"/>
    <n v="2200"/>
    <x v="11"/>
    <x v="0"/>
  </r>
  <r>
    <n v="365"/>
    <d v="2019-12-31T00:00:00"/>
    <x v="0"/>
    <x v="0"/>
    <x v="0"/>
    <n v="1100"/>
    <n v="1"/>
    <n v="1100"/>
    <x v="11"/>
    <x v="0"/>
  </r>
  <r>
    <n v="366"/>
    <d v="2020-01-01T00:00:00"/>
    <x v="0"/>
    <x v="0"/>
    <x v="0"/>
    <n v="1100"/>
    <n v="1"/>
    <n v="1100"/>
    <x v="0"/>
    <x v="1"/>
  </r>
  <r>
    <n v="367"/>
    <d v="2020-01-02T00:00:00"/>
    <x v="0"/>
    <x v="5"/>
    <x v="1"/>
    <n v="600"/>
    <n v="2"/>
    <n v="1200"/>
    <x v="0"/>
    <x v="1"/>
  </r>
  <r>
    <n v="368"/>
    <d v="2020-01-03T00:00:00"/>
    <x v="0"/>
    <x v="0"/>
    <x v="0"/>
    <n v="1100"/>
    <n v="1"/>
    <n v="1100"/>
    <x v="0"/>
    <x v="1"/>
  </r>
  <r>
    <n v="369"/>
    <d v="2020-01-04T00:00:00"/>
    <x v="0"/>
    <x v="9"/>
    <x v="3"/>
    <n v="600"/>
    <n v="1"/>
    <n v="600"/>
    <x v="0"/>
    <x v="1"/>
  </r>
  <r>
    <n v="370"/>
    <d v="2020-01-05T00:00:00"/>
    <x v="0"/>
    <x v="0"/>
    <x v="0"/>
    <n v="1100"/>
    <n v="1"/>
    <n v="1100"/>
    <x v="0"/>
    <x v="1"/>
  </r>
  <r>
    <n v="371"/>
    <d v="2020-01-06T00:00:00"/>
    <x v="1"/>
    <x v="5"/>
    <x v="1"/>
    <n v="600"/>
    <n v="1"/>
    <n v="600"/>
    <x v="0"/>
    <x v="1"/>
  </r>
  <r>
    <n v="372"/>
    <d v="2020-01-07T00:00:00"/>
    <x v="1"/>
    <x v="0"/>
    <x v="0"/>
    <n v="1100"/>
    <n v="1"/>
    <n v="1100"/>
    <x v="0"/>
    <x v="1"/>
  </r>
  <r>
    <n v="373"/>
    <d v="2020-01-08T00:00:00"/>
    <x v="1"/>
    <x v="2"/>
    <x v="0"/>
    <n v="900"/>
    <n v="1"/>
    <n v="900"/>
    <x v="0"/>
    <x v="1"/>
  </r>
  <r>
    <n v="374"/>
    <d v="2020-01-09T00:00:00"/>
    <x v="1"/>
    <x v="7"/>
    <x v="2"/>
    <n v="1200"/>
    <n v="1"/>
    <n v="1200"/>
    <x v="0"/>
    <x v="1"/>
  </r>
  <r>
    <n v="375"/>
    <d v="2020-01-10T00:00:00"/>
    <x v="1"/>
    <x v="8"/>
    <x v="3"/>
    <n v="500"/>
    <n v="1"/>
    <n v="500"/>
    <x v="0"/>
    <x v="1"/>
  </r>
  <r>
    <n v="376"/>
    <d v="2020-01-11T00:00:00"/>
    <x v="1"/>
    <x v="5"/>
    <x v="1"/>
    <n v="600"/>
    <n v="1"/>
    <n v="600"/>
    <x v="0"/>
    <x v="1"/>
  </r>
  <r>
    <n v="377"/>
    <d v="2020-01-12T00:00:00"/>
    <x v="1"/>
    <x v="5"/>
    <x v="1"/>
    <n v="600"/>
    <n v="1"/>
    <n v="600"/>
    <x v="0"/>
    <x v="1"/>
  </r>
  <r>
    <n v="378"/>
    <d v="2020-01-13T00:00:00"/>
    <x v="1"/>
    <x v="0"/>
    <x v="0"/>
    <n v="1100"/>
    <n v="1"/>
    <n v="1100"/>
    <x v="0"/>
    <x v="1"/>
  </r>
  <r>
    <n v="379"/>
    <d v="2020-01-14T00:00:00"/>
    <x v="1"/>
    <x v="0"/>
    <x v="0"/>
    <n v="1100"/>
    <n v="1"/>
    <n v="1100"/>
    <x v="0"/>
    <x v="1"/>
  </r>
  <r>
    <n v="380"/>
    <d v="2020-01-15T00:00:00"/>
    <x v="0"/>
    <x v="8"/>
    <x v="3"/>
    <n v="900"/>
    <n v="1"/>
    <n v="900"/>
    <x v="0"/>
    <x v="1"/>
  </r>
  <r>
    <n v="381"/>
    <d v="2020-01-16T00:00:00"/>
    <x v="0"/>
    <x v="9"/>
    <x v="3"/>
    <n v="600"/>
    <n v="1"/>
    <n v="600"/>
    <x v="0"/>
    <x v="1"/>
  </r>
  <r>
    <n v="382"/>
    <d v="2020-01-17T00:00:00"/>
    <x v="1"/>
    <x v="0"/>
    <x v="0"/>
    <n v="1100"/>
    <n v="1"/>
    <n v="1100"/>
    <x v="0"/>
    <x v="1"/>
  </r>
  <r>
    <n v="383"/>
    <d v="2020-01-18T00:00:00"/>
    <x v="1"/>
    <x v="5"/>
    <x v="1"/>
    <n v="600"/>
    <n v="1"/>
    <n v="600"/>
    <x v="0"/>
    <x v="1"/>
  </r>
  <r>
    <n v="384"/>
    <d v="2020-01-19T00:00:00"/>
    <x v="1"/>
    <x v="2"/>
    <x v="0"/>
    <n v="900"/>
    <n v="1"/>
    <n v="900"/>
    <x v="0"/>
    <x v="1"/>
  </r>
  <r>
    <n v="385"/>
    <d v="2020-01-20T00:00:00"/>
    <x v="1"/>
    <x v="5"/>
    <x v="1"/>
    <n v="600"/>
    <n v="1"/>
    <n v="600"/>
    <x v="0"/>
    <x v="1"/>
  </r>
  <r>
    <n v="386"/>
    <d v="2020-01-21T00:00:00"/>
    <x v="0"/>
    <x v="5"/>
    <x v="1"/>
    <n v="600"/>
    <n v="1"/>
    <n v="600"/>
    <x v="0"/>
    <x v="1"/>
  </r>
  <r>
    <n v="387"/>
    <d v="2020-01-22T00:00:00"/>
    <x v="0"/>
    <x v="5"/>
    <x v="1"/>
    <n v="600"/>
    <n v="1"/>
    <n v="600"/>
    <x v="0"/>
    <x v="1"/>
  </r>
  <r>
    <n v="388"/>
    <d v="2020-01-23T00:00:00"/>
    <x v="0"/>
    <x v="8"/>
    <x v="3"/>
    <n v="500"/>
    <n v="1"/>
    <n v="500"/>
    <x v="0"/>
    <x v="1"/>
  </r>
  <r>
    <n v="389"/>
    <d v="2020-01-24T00:00:00"/>
    <x v="0"/>
    <x v="5"/>
    <x v="1"/>
    <n v="600"/>
    <n v="1"/>
    <n v="600"/>
    <x v="0"/>
    <x v="1"/>
  </r>
  <r>
    <n v="390"/>
    <d v="2020-01-25T00:00:00"/>
    <x v="0"/>
    <x v="2"/>
    <x v="0"/>
    <n v="900"/>
    <n v="1"/>
    <n v="900"/>
    <x v="0"/>
    <x v="1"/>
  </r>
  <r>
    <n v="391"/>
    <d v="2020-01-26T00:00:00"/>
    <x v="0"/>
    <x v="7"/>
    <x v="2"/>
    <n v="1200"/>
    <n v="2"/>
    <n v="2400"/>
    <x v="0"/>
    <x v="1"/>
  </r>
  <r>
    <n v="392"/>
    <d v="2020-01-27T00:00:00"/>
    <x v="0"/>
    <x v="0"/>
    <x v="0"/>
    <n v="1100"/>
    <n v="1"/>
    <n v="1100"/>
    <x v="0"/>
    <x v="1"/>
  </r>
  <r>
    <n v="393"/>
    <d v="2020-01-28T00:00:00"/>
    <x v="0"/>
    <x v="4"/>
    <x v="1"/>
    <n v="800"/>
    <n v="1"/>
    <n v="800"/>
    <x v="0"/>
    <x v="1"/>
  </r>
  <r>
    <n v="394"/>
    <d v="2020-01-29T00:00:00"/>
    <x v="0"/>
    <x v="4"/>
    <x v="1"/>
    <n v="800"/>
    <n v="1"/>
    <n v="800"/>
    <x v="0"/>
    <x v="1"/>
  </r>
  <r>
    <n v="395"/>
    <d v="2020-01-30T00:00:00"/>
    <x v="0"/>
    <x v="0"/>
    <x v="0"/>
    <n v="1100"/>
    <n v="1"/>
    <n v="1100"/>
    <x v="0"/>
    <x v="1"/>
  </r>
  <r>
    <n v="396"/>
    <d v="2020-01-31T00:00:00"/>
    <x v="0"/>
    <x v="3"/>
    <x v="0"/>
    <n v="1000"/>
    <n v="1"/>
    <n v="1000"/>
    <x v="0"/>
    <x v="1"/>
  </r>
  <r>
    <n v="397"/>
    <d v="2020-02-01T00:00:00"/>
    <x v="0"/>
    <x v="8"/>
    <x v="3"/>
    <n v="500"/>
    <n v="1"/>
    <n v="500"/>
    <x v="1"/>
    <x v="1"/>
  </r>
  <r>
    <n v="398"/>
    <d v="2020-02-02T00:00:00"/>
    <x v="0"/>
    <x v="1"/>
    <x v="0"/>
    <n v="900"/>
    <n v="1"/>
    <n v="900"/>
    <x v="1"/>
    <x v="1"/>
  </r>
  <r>
    <n v="399"/>
    <d v="2020-02-03T00:00:00"/>
    <x v="0"/>
    <x v="5"/>
    <x v="1"/>
    <n v="600"/>
    <n v="1"/>
    <n v="600"/>
    <x v="1"/>
    <x v="1"/>
  </r>
  <r>
    <n v="400"/>
    <d v="2020-02-04T00:00:00"/>
    <x v="0"/>
    <x v="1"/>
    <x v="0"/>
    <n v="900"/>
    <n v="1"/>
    <n v="900"/>
    <x v="1"/>
    <x v="1"/>
  </r>
  <r>
    <n v="401"/>
    <d v="2020-02-05T00:00:00"/>
    <x v="0"/>
    <x v="7"/>
    <x v="2"/>
    <n v="1200"/>
    <n v="1"/>
    <n v="1200"/>
    <x v="1"/>
    <x v="1"/>
  </r>
  <r>
    <n v="402"/>
    <d v="2020-02-06T00:00:00"/>
    <x v="0"/>
    <x v="0"/>
    <x v="0"/>
    <n v="1100"/>
    <n v="1"/>
    <n v="1100"/>
    <x v="1"/>
    <x v="1"/>
  </r>
  <r>
    <n v="403"/>
    <d v="2020-02-07T00:00:00"/>
    <x v="0"/>
    <x v="4"/>
    <x v="1"/>
    <n v="800"/>
    <n v="1"/>
    <n v="800"/>
    <x v="1"/>
    <x v="1"/>
  </r>
  <r>
    <n v="404"/>
    <d v="2020-02-08T00:00:00"/>
    <x v="0"/>
    <x v="1"/>
    <x v="0"/>
    <n v="900"/>
    <n v="1"/>
    <n v="900"/>
    <x v="1"/>
    <x v="1"/>
  </r>
  <r>
    <n v="405"/>
    <d v="2020-02-09T00:00:00"/>
    <x v="0"/>
    <x v="0"/>
    <x v="0"/>
    <n v="1100"/>
    <n v="1"/>
    <n v="1100"/>
    <x v="1"/>
    <x v="1"/>
  </r>
  <r>
    <n v="406"/>
    <d v="2020-02-10T00:00:00"/>
    <x v="0"/>
    <x v="4"/>
    <x v="1"/>
    <n v="800"/>
    <n v="1"/>
    <n v="800"/>
    <x v="1"/>
    <x v="1"/>
  </r>
  <r>
    <n v="407"/>
    <d v="2020-02-11T00:00:00"/>
    <x v="0"/>
    <x v="6"/>
    <x v="2"/>
    <n v="850"/>
    <n v="1"/>
    <n v="850"/>
    <x v="1"/>
    <x v="1"/>
  </r>
  <r>
    <n v="408"/>
    <d v="2020-02-12T00:00:00"/>
    <x v="0"/>
    <x v="2"/>
    <x v="0"/>
    <n v="900"/>
    <n v="1"/>
    <n v="900"/>
    <x v="1"/>
    <x v="1"/>
  </r>
  <r>
    <n v="409"/>
    <d v="2020-02-13T00:00:00"/>
    <x v="0"/>
    <x v="0"/>
    <x v="0"/>
    <n v="1100"/>
    <n v="1"/>
    <n v="1100"/>
    <x v="1"/>
    <x v="1"/>
  </r>
  <r>
    <n v="410"/>
    <d v="2020-02-14T00:00:00"/>
    <x v="0"/>
    <x v="5"/>
    <x v="1"/>
    <n v="600"/>
    <n v="1"/>
    <n v="600"/>
    <x v="1"/>
    <x v="1"/>
  </r>
  <r>
    <n v="411"/>
    <d v="2020-02-15T00:00:00"/>
    <x v="0"/>
    <x v="7"/>
    <x v="2"/>
    <n v="1200"/>
    <n v="1"/>
    <n v="1200"/>
    <x v="1"/>
    <x v="1"/>
  </r>
  <r>
    <n v="412"/>
    <d v="2020-02-16T00:00:00"/>
    <x v="0"/>
    <x v="5"/>
    <x v="1"/>
    <n v="600"/>
    <n v="1"/>
    <n v="600"/>
    <x v="1"/>
    <x v="1"/>
  </r>
  <r>
    <n v="413"/>
    <d v="2020-02-17T00:00:00"/>
    <x v="0"/>
    <x v="5"/>
    <x v="1"/>
    <n v="600"/>
    <n v="1"/>
    <n v="600"/>
    <x v="1"/>
    <x v="1"/>
  </r>
  <r>
    <n v="414"/>
    <d v="2020-02-18T00:00:00"/>
    <x v="0"/>
    <x v="0"/>
    <x v="0"/>
    <n v="1100"/>
    <n v="1"/>
    <n v="1100"/>
    <x v="1"/>
    <x v="1"/>
  </r>
  <r>
    <n v="415"/>
    <d v="2020-02-19T00:00:00"/>
    <x v="0"/>
    <x v="1"/>
    <x v="0"/>
    <n v="900"/>
    <n v="1"/>
    <n v="900"/>
    <x v="1"/>
    <x v="1"/>
  </r>
  <r>
    <n v="416"/>
    <d v="2020-02-20T00:00:00"/>
    <x v="0"/>
    <x v="3"/>
    <x v="0"/>
    <n v="1000"/>
    <n v="1"/>
    <n v="1000"/>
    <x v="1"/>
    <x v="1"/>
  </r>
  <r>
    <n v="417"/>
    <d v="2020-02-21T00:00:00"/>
    <x v="0"/>
    <x v="1"/>
    <x v="0"/>
    <n v="900"/>
    <n v="1"/>
    <n v="900"/>
    <x v="1"/>
    <x v="1"/>
  </r>
  <r>
    <n v="418"/>
    <d v="2020-02-22T00:00:00"/>
    <x v="0"/>
    <x v="5"/>
    <x v="1"/>
    <n v="600"/>
    <n v="1"/>
    <n v="600"/>
    <x v="1"/>
    <x v="1"/>
  </r>
  <r>
    <n v="419"/>
    <d v="2020-02-23T00:00:00"/>
    <x v="0"/>
    <x v="6"/>
    <x v="2"/>
    <n v="850"/>
    <n v="1"/>
    <n v="850"/>
    <x v="1"/>
    <x v="1"/>
  </r>
  <r>
    <n v="420"/>
    <d v="2020-02-24T00:00:00"/>
    <x v="0"/>
    <x v="8"/>
    <x v="3"/>
    <n v="500"/>
    <n v="1"/>
    <n v="500"/>
    <x v="1"/>
    <x v="1"/>
  </r>
  <r>
    <n v="421"/>
    <d v="2020-02-25T00:00:00"/>
    <x v="0"/>
    <x v="3"/>
    <x v="0"/>
    <n v="1000"/>
    <n v="1"/>
    <n v="1000"/>
    <x v="1"/>
    <x v="1"/>
  </r>
  <r>
    <n v="422"/>
    <d v="2020-02-26T00:00:00"/>
    <x v="0"/>
    <x v="0"/>
    <x v="0"/>
    <n v="1100"/>
    <n v="1"/>
    <n v="1100"/>
    <x v="1"/>
    <x v="1"/>
  </r>
  <r>
    <n v="423"/>
    <d v="2020-02-27T00:00:00"/>
    <x v="0"/>
    <x v="0"/>
    <x v="0"/>
    <n v="1100"/>
    <n v="2"/>
    <n v="2200"/>
    <x v="1"/>
    <x v="1"/>
  </r>
  <r>
    <n v="424"/>
    <d v="2020-02-28T00:00:00"/>
    <x v="0"/>
    <x v="2"/>
    <x v="0"/>
    <n v="900"/>
    <n v="1"/>
    <n v="900"/>
    <x v="1"/>
    <x v="1"/>
  </r>
  <r>
    <n v="425"/>
    <d v="2020-02-29T00:00:00"/>
    <x v="0"/>
    <x v="2"/>
    <x v="0"/>
    <n v="900"/>
    <n v="1"/>
    <n v="900"/>
    <x v="1"/>
    <x v="1"/>
  </r>
  <r>
    <n v="426"/>
    <d v="2020-03-01T00:00:00"/>
    <x v="0"/>
    <x v="5"/>
    <x v="1"/>
    <n v="600"/>
    <n v="1"/>
    <n v="600"/>
    <x v="2"/>
    <x v="1"/>
  </r>
  <r>
    <n v="427"/>
    <d v="2020-03-02T00:00:00"/>
    <x v="0"/>
    <x v="8"/>
    <x v="3"/>
    <n v="900"/>
    <n v="1"/>
    <n v="900"/>
    <x v="2"/>
    <x v="1"/>
  </r>
  <r>
    <n v="428"/>
    <d v="2020-03-03T00:00:00"/>
    <x v="0"/>
    <x v="0"/>
    <x v="0"/>
    <n v="1100"/>
    <n v="1"/>
    <n v="1100"/>
    <x v="2"/>
    <x v="1"/>
  </r>
  <r>
    <n v="429"/>
    <d v="2020-03-04T00:00:00"/>
    <x v="0"/>
    <x v="5"/>
    <x v="1"/>
    <n v="600"/>
    <n v="1"/>
    <n v="600"/>
    <x v="2"/>
    <x v="1"/>
  </r>
  <r>
    <n v="430"/>
    <d v="2020-03-05T00:00:00"/>
    <x v="0"/>
    <x v="5"/>
    <x v="1"/>
    <n v="600"/>
    <n v="1"/>
    <n v="600"/>
    <x v="2"/>
    <x v="1"/>
  </r>
  <r>
    <n v="431"/>
    <d v="2020-03-06T00:00:00"/>
    <x v="0"/>
    <x v="8"/>
    <x v="3"/>
    <n v="500"/>
    <n v="1"/>
    <n v="500"/>
    <x v="2"/>
    <x v="1"/>
  </r>
  <r>
    <n v="432"/>
    <d v="2020-03-07T00:00:00"/>
    <x v="0"/>
    <x v="2"/>
    <x v="0"/>
    <n v="900"/>
    <n v="1"/>
    <n v="900"/>
    <x v="2"/>
    <x v="1"/>
  </r>
  <r>
    <n v="433"/>
    <d v="2020-03-08T00:00:00"/>
    <x v="0"/>
    <x v="7"/>
    <x v="2"/>
    <n v="1200"/>
    <n v="1"/>
    <n v="1200"/>
    <x v="2"/>
    <x v="1"/>
  </r>
  <r>
    <n v="434"/>
    <d v="2020-03-09T00:00:00"/>
    <x v="0"/>
    <x v="5"/>
    <x v="1"/>
    <n v="600"/>
    <n v="2"/>
    <n v="1200"/>
    <x v="2"/>
    <x v="1"/>
  </r>
  <r>
    <n v="435"/>
    <d v="2020-03-10T00:00:00"/>
    <x v="0"/>
    <x v="2"/>
    <x v="0"/>
    <n v="900"/>
    <n v="1"/>
    <n v="900"/>
    <x v="2"/>
    <x v="1"/>
  </r>
  <r>
    <n v="436"/>
    <d v="2020-03-11T00:00:00"/>
    <x v="0"/>
    <x v="0"/>
    <x v="0"/>
    <n v="1100"/>
    <n v="2"/>
    <n v="2200"/>
    <x v="2"/>
    <x v="1"/>
  </r>
  <r>
    <n v="437"/>
    <d v="2020-03-12T00:00:00"/>
    <x v="0"/>
    <x v="9"/>
    <x v="3"/>
    <n v="600"/>
    <n v="1"/>
    <n v="600"/>
    <x v="2"/>
    <x v="1"/>
  </r>
  <r>
    <n v="438"/>
    <d v="2020-03-13T00:00:00"/>
    <x v="0"/>
    <x v="5"/>
    <x v="1"/>
    <n v="600"/>
    <n v="1"/>
    <n v="600"/>
    <x v="2"/>
    <x v="1"/>
  </r>
  <r>
    <n v="439"/>
    <d v="2020-03-14T00:00:00"/>
    <x v="0"/>
    <x v="9"/>
    <x v="3"/>
    <n v="300"/>
    <n v="2"/>
    <n v="600"/>
    <x v="2"/>
    <x v="1"/>
  </r>
  <r>
    <n v="440"/>
    <d v="2020-03-15T00:00:00"/>
    <x v="0"/>
    <x v="0"/>
    <x v="0"/>
    <n v="1100"/>
    <n v="2"/>
    <n v="2200"/>
    <x v="2"/>
    <x v="1"/>
  </r>
  <r>
    <n v="441"/>
    <d v="2020-03-16T00:00:00"/>
    <x v="0"/>
    <x v="3"/>
    <x v="0"/>
    <n v="1000"/>
    <n v="1"/>
    <n v="1000"/>
    <x v="2"/>
    <x v="1"/>
  </r>
  <r>
    <n v="442"/>
    <d v="2020-03-17T00:00:00"/>
    <x v="0"/>
    <x v="5"/>
    <x v="1"/>
    <n v="600"/>
    <n v="1"/>
    <n v="600"/>
    <x v="2"/>
    <x v="1"/>
  </r>
  <r>
    <n v="443"/>
    <d v="2020-03-18T00:00:00"/>
    <x v="0"/>
    <x v="2"/>
    <x v="0"/>
    <n v="900"/>
    <n v="1"/>
    <n v="900"/>
    <x v="2"/>
    <x v="1"/>
  </r>
  <r>
    <n v="444"/>
    <d v="2020-03-19T00:00:00"/>
    <x v="0"/>
    <x v="7"/>
    <x v="2"/>
    <n v="1200"/>
    <n v="1"/>
    <n v="1200"/>
    <x v="2"/>
    <x v="1"/>
  </r>
  <r>
    <n v="445"/>
    <d v="2020-03-20T00:00:00"/>
    <x v="0"/>
    <x v="0"/>
    <x v="0"/>
    <n v="1100"/>
    <n v="1"/>
    <n v="1100"/>
    <x v="2"/>
    <x v="1"/>
  </r>
  <r>
    <n v="446"/>
    <d v="2020-03-21T00:00:00"/>
    <x v="0"/>
    <x v="6"/>
    <x v="2"/>
    <n v="850"/>
    <n v="1"/>
    <n v="850"/>
    <x v="2"/>
    <x v="1"/>
  </r>
  <r>
    <n v="447"/>
    <d v="2020-03-22T00:00:00"/>
    <x v="0"/>
    <x v="0"/>
    <x v="0"/>
    <n v="1100"/>
    <n v="1"/>
    <n v="1100"/>
    <x v="2"/>
    <x v="1"/>
  </r>
  <r>
    <n v="448"/>
    <d v="2020-03-23T00:00:00"/>
    <x v="0"/>
    <x v="0"/>
    <x v="0"/>
    <n v="1100"/>
    <n v="2"/>
    <n v="2200"/>
    <x v="2"/>
    <x v="1"/>
  </r>
  <r>
    <n v="449"/>
    <d v="2020-03-24T00:00:00"/>
    <x v="0"/>
    <x v="2"/>
    <x v="0"/>
    <n v="900"/>
    <n v="1"/>
    <n v="900"/>
    <x v="2"/>
    <x v="1"/>
  </r>
  <r>
    <n v="450"/>
    <d v="2020-03-25T00:00:00"/>
    <x v="0"/>
    <x v="5"/>
    <x v="1"/>
    <n v="600"/>
    <n v="1"/>
    <n v="600"/>
    <x v="2"/>
    <x v="1"/>
  </r>
  <r>
    <n v="451"/>
    <d v="2020-03-26T00:00:00"/>
    <x v="0"/>
    <x v="5"/>
    <x v="1"/>
    <n v="600"/>
    <n v="1"/>
    <n v="600"/>
    <x v="2"/>
    <x v="1"/>
  </r>
  <r>
    <n v="452"/>
    <d v="2020-03-27T00:00:00"/>
    <x v="0"/>
    <x v="7"/>
    <x v="2"/>
    <n v="1200"/>
    <n v="1"/>
    <n v="1200"/>
    <x v="2"/>
    <x v="1"/>
  </r>
  <r>
    <n v="453"/>
    <d v="2020-03-28T00:00:00"/>
    <x v="0"/>
    <x v="2"/>
    <x v="0"/>
    <n v="900"/>
    <n v="1"/>
    <n v="900"/>
    <x v="2"/>
    <x v="1"/>
  </r>
  <r>
    <n v="454"/>
    <d v="2020-03-29T00:00:00"/>
    <x v="0"/>
    <x v="4"/>
    <x v="1"/>
    <n v="800"/>
    <n v="1"/>
    <n v="800"/>
    <x v="2"/>
    <x v="1"/>
  </r>
  <r>
    <n v="455"/>
    <d v="2020-03-30T00:00:00"/>
    <x v="0"/>
    <x v="2"/>
    <x v="0"/>
    <n v="900"/>
    <n v="1"/>
    <n v="900"/>
    <x v="2"/>
    <x v="1"/>
  </r>
  <r>
    <n v="456"/>
    <d v="2020-03-31T00:00:00"/>
    <x v="0"/>
    <x v="0"/>
    <x v="0"/>
    <n v="1100"/>
    <n v="1"/>
    <n v="1100"/>
    <x v="2"/>
    <x v="1"/>
  </r>
  <r>
    <n v="457"/>
    <d v="2020-04-01T00:00:00"/>
    <x v="0"/>
    <x v="9"/>
    <x v="3"/>
    <n v="600"/>
    <n v="1"/>
    <n v="600"/>
    <x v="3"/>
    <x v="1"/>
  </r>
  <r>
    <n v="458"/>
    <d v="2020-04-02T00:00:00"/>
    <x v="0"/>
    <x v="0"/>
    <x v="0"/>
    <n v="1100"/>
    <n v="1"/>
    <n v="1100"/>
    <x v="3"/>
    <x v="1"/>
  </r>
  <r>
    <n v="459"/>
    <d v="2020-04-03T00:00:00"/>
    <x v="0"/>
    <x v="4"/>
    <x v="1"/>
    <n v="800"/>
    <n v="1"/>
    <n v="800"/>
    <x v="3"/>
    <x v="1"/>
  </r>
  <r>
    <n v="460"/>
    <d v="2020-04-04T00:00:00"/>
    <x v="0"/>
    <x v="2"/>
    <x v="0"/>
    <n v="900"/>
    <n v="1"/>
    <n v="900"/>
    <x v="3"/>
    <x v="1"/>
  </r>
  <r>
    <n v="461"/>
    <d v="2020-04-05T00:00:00"/>
    <x v="0"/>
    <x v="0"/>
    <x v="0"/>
    <n v="1100"/>
    <n v="1"/>
    <n v="1100"/>
    <x v="3"/>
    <x v="1"/>
  </r>
  <r>
    <n v="462"/>
    <d v="2020-04-06T00:00:00"/>
    <x v="0"/>
    <x v="2"/>
    <x v="0"/>
    <n v="900"/>
    <n v="1"/>
    <n v="900"/>
    <x v="3"/>
    <x v="1"/>
  </r>
  <r>
    <n v="463"/>
    <d v="2020-04-07T00:00:00"/>
    <x v="0"/>
    <x v="5"/>
    <x v="1"/>
    <n v="600"/>
    <n v="1"/>
    <n v="600"/>
    <x v="3"/>
    <x v="1"/>
  </r>
  <r>
    <n v="464"/>
    <d v="2020-04-08T00:00:00"/>
    <x v="0"/>
    <x v="0"/>
    <x v="0"/>
    <n v="1100"/>
    <n v="1"/>
    <n v="1100"/>
    <x v="3"/>
    <x v="1"/>
  </r>
  <r>
    <n v="465"/>
    <d v="2020-04-09T00:00:00"/>
    <x v="0"/>
    <x v="0"/>
    <x v="0"/>
    <n v="1100"/>
    <n v="2"/>
    <n v="2200"/>
    <x v="3"/>
    <x v="1"/>
  </r>
  <r>
    <n v="466"/>
    <d v="2020-04-10T00:00:00"/>
    <x v="0"/>
    <x v="0"/>
    <x v="0"/>
    <n v="1100"/>
    <n v="1"/>
    <n v="1100"/>
    <x v="3"/>
    <x v="1"/>
  </r>
  <r>
    <n v="467"/>
    <d v="2020-04-11T00:00:00"/>
    <x v="0"/>
    <x v="0"/>
    <x v="0"/>
    <n v="1100"/>
    <n v="1"/>
    <n v="1100"/>
    <x v="3"/>
    <x v="1"/>
  </r>
  <r>
    <n v="468"/>
    <d v="2020-04-12T00:00:00"/>
    <x v="0"/>
    <x v="0"/>
    <x v="0"/>
    <n v="1100"/>
    <n v="1"/>
    <n v="1100"/>
    <x v="3"/>
    <x v="1"/>
  </r>
  <r>
    <n v="469"/>
    <d v="2020-04-13T00:00:00"/>
    <x v="0"/>
    <x v="5"/>
    <x v="1"/>
    <n v="600"/>
    <n v="1"/>
    <n v="600"/>
    <x v="3"/>
    <x v="1"/>
  </r>
  <r>
    <n v="470"/>
    <d v="2020-04-14T00:00:00"/>
    <x v="0"/>
    <x v="0"/>
    <x v="0"/>
    <n v="1100"/>
    <n v="1"/>
    <n v="1100"/>
    <x v="3"/>
    <x v="1"/>
  </r>
  <r>
    <n v="471"/>
    <d v="2020-04-15T00:00:00"/>
    <x v="0"/>
    <x v="5"/>
    <x v="1"/>
    <n v="600"/>
    <n v="1"/>
    <n v="600"/>
    <x v="3"/>
    <x v="1"/>
  </r>
  <r>
    <n v="472"/>
    <d v="2020-04-16T00:00:00"/>
    <x v="0"/>
    <x v="2"/>
    <x v="0"/>
    <n v="900"/>
    <n v="1"/>
    <n v="900"/>
    <x v="3"/>
    <x v="1"/>
  </r>
  <r>
    <n v="473"/>
    <d v="2020-04-17T00:00:00"/>
    <x v="0"/>
    <x v="0"/>
    <x v="0"/>
    <n v="1100"/>
    <n v="1"/>
    <n v="1100"/>
    <x v="3"/>
    <x v="1"/>
  </r>
  <r>
    <n v="474"/>
    <d v="2020-04-18T00:00:00"/>
    <x v="0"/>
    <x v="5"/>
    <x v="1"/>
    <n v="600"/>
    <n v="1"/>
    <n v="600"/>
    <x v="3"/>
    <x v="1"/>
  </r>
  <r>
    <n v="475"/>
    <d v="2020-04-19T00:00:00"/>
    <x v="0"/>
    <x v="5"/>
    <x v="1"/>
    <n v="600"/>
    <n v="1"/>
    <n v="600"/>
    <x v="3"/>
    <x v="1"/>
  </r>
  <r>
    <n v="476"/>
    <d v="2020-04-20T00:00:00"/>
    <x v="0"/>
    <x v="6"/>
    <x v="2"/>
    <n v="850"/>
    <n v="1"/>
    <n v="850"/>
    <x v="3"/>
    <x v="1"/>
  </r>
  <r>
    <n v="477"/>
    <d v="2020-04-21T00:00:00"/>
    <x v="0"/>
    <x v="5"/>
    <x v="1"/>
    <n v="600"/>
    <n v="1"/>
    <n v="600"/>
    <x v="3"/>
    <x v="1"/>
  </r>
  <r>
    <n v="478"/>
    <d v="2020-04-22T00:00:00"/>
    <x v="0"/>
    <x v="0"/>
    <x v="0"/>
    <n v="1100"/>
    <n v="1"/>
    <n v="1100"/>
    <x v="3"/>
    <x v="1"/>
  </r>
  <r>
    <n v="479"/>
    <d v="2020-04-23T00:00:00"/>
    <x v="0"/>
    <x v="9"/>
    <x v="3"/>
    <n v="300"/>
    <n v="1"/>
    <n v="300"/>
    <x v="3"/>
    <x v="1"/>
  </r>
  <r>
    <n v="480"/>
    <d v="2020-04-24T00:00:00"/>
    <x v="0"/>
    <x v="9"/>
    <x v="3"/>
    <n v="300"/>
    <n v="1"/>
    <n v="300"/>
    <x v="3"/>
    <x v="1"/>
  </r>
  <r>
    <n v="481"/>
    <d v="2020-04-25T00:00:00"/>
    <x v="0"/>
    <x v="5"/>
    <x v="1"/>
    <n v="600"/>
    <n v="1"/>
    <n v="600"/>
    <x v="3"/>
    <x v="1"/>
  </r>
  <r>
    <n v="482"/>
    <d v="2020-04-26T00:00:00"/>
    <x v="0"/>
    <x v="8"/>
    <x v="3"/>
    <n v="800"/>
    <n v="1"/>
    <n v="800"/>
    <x v="3"/>
    <x v="1"/>
  </r>
  <r>
    <n v="483"/>
    <d v="2020-04-27T00:00:00"/>
    <x v="0"/>
    <x v="5"/>
    <x v="1"/>
    <n v="600"/>
    <n v="1"/>
    <n v="600"/>
    <x v="3"/>
    <x v="1"/>
  </r>
  <r>
    <n v="484"/>
    <d v="2020-04-28T00:00:00"/>
    <x v="0"/>
    <x v="8"/>
    <x v="3"/>
    <n v="500"/>
    <n v="1"/>
    <n v="500"/>
    <x v="3"/>
    <x v="1"/>
  </r>
  <r>
    <n v="485"/>
    <d v="2020-04-29T00:00:00"/>
    <x v="0"/>
    <x v="0"/>
    <x v="0"/>
    <n v="1100"/>
    <n v="1"/>
    <n v="1100"/>
    <x v="3"/>
    <x v="1"/>
  </r>
  <r>
    <n v="486"/>
    <d v="2020-04-30T00:00:00"/>
    <x v="0"/>
    <x v="5"/>
    <x v="1"/>
    <n v="600"/>
    <n v="1"/>
    <n v="600"/>
    <x v="3"/>
    <x v="1"/>
  </r>
  <r>
    <n v="487"/>
    <d v="2020-05-01T00:00:00"/>
    <x v="0"/>
    <x v="1"/>
    <x v="0"/>
    <n v="900"/>
    <n v="1"/>
    <n v="900"/>
    <x v="4"/>
    <x v="1"/>
  </r>
  <r>
    <n v="488"/>
    <d v="2020-05-02T00:00:00"/>
    <x v="0"/>
    <x v="0"/>
    <x v="0"/>
    <n v="1100"/>
    <n v="1"/>
    <n v="1100"/>
    <x v="4"/>
    <x v="1"/>
  </r>
  <r>
    <n v="489"/>
    <d v="2020-05-03T00:00:00"/>
    <x v="0"/>
    <x v="7"/>
    <x v="2"/>
    <n v="1200"/>
    <n v="1"/>
    <n v="1200"/>
    <x v="4"/>
    <x v="1"/>
  </r>
  <r>
    <n v="490"/>
    <d v="2020-05-04T00:00:00"/>
    <x v="0"/>
    <x v="0"/>
    <x v="0"/>
    <n v="1100"/>
    <n v="1"/>
    <n v="1100"/>
    <x v="4"/>
    <x v="1"/>
  </r>
  <r>
    <n v="491"/>
    <d v="2020-05-05T00:00:00"/>
    <x v="0"/>
    <x v="1"/>
    <x v="0"/>
    <n v="900"/>
    <n v="1"/>
    <n v="900"/>
    <x v="4"/>
    <x v="1"/>
  </r>
  <r>
    <n v="492"/>
    <d v="2020-05-06T00:00:00"/>
    <x v="0"/>
    <x v="8"/>
    <x v="3"/>
    <n v="900"/>
    <n v="1"/>
    <n v="900"/>
    <x v="4"/>
    <x v="1"/>
  </r>
  <r>
    <n v="493"/>
    <d v="2020-05-07T00:00:00"/>
    <x v="0"/>
    <x v="9"/>
    <x v="3"/>
    <n v="600"/>
    <n v="1"/>
    <n v="600"/>
    <x v="4"/>
    <x v="1"/>
  </r>
  <r>
    <n v="494"/>
    <d v="2020-05-08T00:00:00"/>
    <x v="0"/>
    <x v="0"/>
    <x v="0"/>
    <n v="1100"/>
    <n v="1"/>
    <n v="1100"/>
    <x v="4"/>
    <x v="1"/>
  </r>
  <r>
    <n v="495"/>
    <d v="2020-05-09T00:00:00"/>
    <x v="0"/>
    <x v="0"/>
    <x v="0"/>
    <n v="1100"/>
    <n v="1"/>
    <n v="1100"/>
    <x v="4"/>
    <x v="1"/>
  </r>
  <r>
    <n v="496"/>
    <d v="2020-05-10T00:00:00"/>
    <x v="0"/>
    <x v="8"/>
    <x v="3"/>
    <n v="500"/>
    <n v="1"/>
    <n v="500"/>
    <x v="4"/>
    <x v="1"/>
  </r>
  <r>
    <n v="497"/>
    <d v="2020-05-11T00:00:00"/>
    <x v="0"/>
    <x v="6"/>
    <x v="2"/>
    <n v="850"/>
    <n v="1"/>
    <n v="850"/>
    <x v="4"/>
    <x v="1"/>
  </r>
  <r>
    <n v="498"/>
    <d v="2020-05-12T00:00:00"/>
    <x v="0"/>
    <x v="0"/>
    <x v="0"/>
    <n v="1100"/>
    <n v="1"/>
    <n v="1100"/>
    <x v="4"/>
    <x v="1"/>
  </r>
  <r>
    <n v="499"/>
    <d v="2020-05-13T00:00:00"/>
    <x v="0"/>
    <x v="9"/>
    <x v="3"/>
    <n v="300"/>
    <n v="1"/>
    <n v="300"/>
    <x v="4"/>
    <x v="1"/>
  </r>
  <r>
    <n v="500"/>
    <d v="2020-05-14T00:00:00"/>
    <x v="0"/>
    <x v="4"/>
    <x v="1"/>
    <n v="800"/>
    <n v="1"/>
    <n v="800"/>
    <x v="4"/>
    <x v="1"/>
  </r>
  <r>
    <n v="501"/>
    <d v="2020-05-15T00:00:00"/>
    <x v="0"/>
    <x v="1"/>
    <x v="0"/>
    <n v="900"/>
    <n v="1"/>
    <n v="900"/>
    <x v="4"/>
    <x v="1"/>
  </r>
  <r>
    <n v="502"/>
    <d v="2020-05-16T00:00:00"/>
    <x v="0"/>
    <x v="0"/>
    <x v="0"/>
    <n v="1100"/>
    <n v="1"/>
    <n v="1100"/>
    <x v="4"/>
    <x v="1"/>
  </r>
  <r>
    <n v="503"/>
    <d v="2020-05-17T00:00:00"/>
    <x v="0"/>
    <x v="8"/>
    <x v="3"/>
    <n v="500"/>
    <n v="1"/>
    <n v="500"/>
    <x v="4"/>
    <x v="1"/>
  </r>
  <r>
    <n v="504"/>
    <d v="2020-05-18T00:00:00"/>
    <x v="0"/>
    <x v="5"/>
    <x v="1"/>
    <n v="600"/>
    <n v="1"/>
    <n v="600"/>
    <x v="4"/>
    <x v="1"/>
  </r>
  <r>
    <n v="505"/>
    <d v="2020-05-19T00:00:00"/>
    <x v="0"/>
    <x v="2"/>
    <x v="0"/>
    <n v="900"/>
    <n v="1"/>
    <n v="900"/>
    <x v="4"/>
    <x v="1"/>
  </r>
  <r>
    <n v="506"/>
    <d v="2020-05-20T00:00:00"/>
    <x v="0"/>
    <x v="9"/>
    <x v="3"/>
    <n v="600"/>
    <n v="1"/>
    <n v="600"/>
    <x v="4"/>
    <x v="1"/>
  </r>
  <r>
    <n v="507"/>
    <d v="2020-05-21T00:00:00"/>
    <x v="0"/>
    <x v="5"/>
    <x v="1"/>
    <n v="600"/>
    <n v="1"/>
    <n v="600"/>
    <x v="4"/>
    <x v="1"/>
  </r>
  <r>
    <n v="508"/>
    <d v="2020-05-22T00:00:00"/>
    <x v="0"/>
    <x v="0"/>
    <x v="0"/>
    <n v="1100"/>
    <n v="1"/>
    <n v="1100"/>
    <x v="4"/>
    <x v="1"/>
  </r>
  <r>
    <n v="509"/>
    <d v="2020-05-23T00:00:00"/>
    <x v="0"/>
    <x v="0"/>
    <x v="0"/>
    <n v="1100"/>
    <n v="2"/>
    <n v="2200"/>
    <x v="4"/>
    <x v="1"/>
  </r>
  <r>
    <n v="510"/>
    <d v="2020-05-24T00:00:00"/>
    <x v="0"/>
    <x v="0"/>
    <x v="0"/>
    <n v="1100"/>
    <n v="1"/>
    <n v="1100"/>
    <x v="4"/>
    <x v="1"/>
  </r>
  <r>
    <n v="511"/>
    <d v="2020-05-25T00:00:00"/>
    <x v="0"/>
    <x v="6"/>
    <x v="2"/>
    <n v="850"/>
    <n v="1"/>
    <n v="850"/>
    <x v="4"/>
    <x v="1"/>
  </r>
  <r>
    <n v="512"/>
    <d v="2020-05-26T00:00:00"/>
    <x v="0"/>
    <x v="0"/>
    <x v="0"/>
    <n v="1100"/>
    <n v="1"/>
    <n v="1100"/>
    <x v="4"/>
    <x v="1"/>
  </r>
  <r>
    <n v="513"/>
    <d v="2020-05-27T00:00:00"/>
    <x v="0"/>
    <x v="1"/>
    <x v="0"/>
    <n v="900"/>
    <n v="1"/>
    <n v="900"/>
    <x v="4"/>
    <x v="1"/>
  </r>
  <r>
    <n v="514"/>
    <d v="2020-05-28T00:00:00"/>
    <x v="0"/>
    <x v="2"/>
    <x v="0"/>
    <n v="900"/>
    <n v="1"/>
    <n v="900"/>
    <x v="4"/>
    <x v="1"/>
  </r>
  <r>
    <n v="515"/>
    <d v="2020-05-29T00:00:00"/>
    <x v="0"/>
    <x v="1"/>
    <x v="0"/>
    <n v="900"/>
    <n v="1"/>
    <n v="900"/>
    <x v="4"/>
    <x v="1"/>
  </r>
  <r>
    <n v="516"/>
    <d v="2020-05-30T00:00:00"/>
    <x v="0"/>
    <x v="3"/>
    <x v="0"/>
    <n v="1000"/>
    <n v="1"/>
    <n v="1000"/>
    <x v="4"/>
    <x v="1"/>
  </r>
  <r>
    <n v="517"/>
    <d v="2020-05-31T00:00:00"/>
    <x v="0"/>
    <x v="7"/>
    <x v="2"/>
    <n v="1200"/>
    <n v="1"/>
    <n v="1200"/>
    <x v="4"/>
    <x v="1"/>
  </r>
  <r>
    <n v="518"/>
    <d v="2020-06-01T00:00:00"/>
    <x v="0"/>
    <x v="2"/>
    <x v="0"/>
    <n v="900"/>
    <n v="1"/>
    <n v="900"/>
    <x v="5"/>
    <x v="1"/>
  </r>
  <r>
    <n v="519"/>
    <d v="2020-06-02T00:00:00"/>
    <x v="0"/>
    <x v="5"/>
    <x v="1"/>
    <n v="600"/>
    <n v="1"/>
    <n v="600"/>
    <x v="5"/>
    <x v="1"/>
  </r>
  <r>
    <n v="520"/>
    <d v="2020-06-03T00:00:00"/>
    <x v="0"/>
    <x v="9"/>
    <x v="3"/>
    <n v="600"/>
    <n v="1"/>
    <n v="600"/>
    <x v="5"/>
    <x v="1"/>
  </r>
  <r>
    <n v="521"/>
    <d v="2020-06-04T00:00:00"/>
    <x v="0"/>
    <x v="4"/>
    <x v="1"/>
    <n v="800"/>
    <n v="1"/>
    <n v="800"/>
    <x v="5"/>
    <x v="1"/>
  </r>
  <r>
    <n v="522"/>
    <d v="2020-06-05T00:00:00"/>
    <x v="0"/>
    <x v="9"/>
    <x v="3"/>
    <n v="600"/>
    <n v="1"/>
    <n v="600"/>
    <x v="5"/>
    <x v="1"/>
  </r>
  <r>
    <n v="523"/>
    <d v="2020-06-06T00:00:00"/>
    <x v="0"/>
    <x v="0"/>
    <x v="0"/>
    <n v="1100"/>
    <n v="1"/>
    <n v="1100"/>
    <x v="5"/>
    <x v="1"/>
  </r>
  <r>
    <n v="524"/>
    <d v="2020-06-07T00:00:00"/>
    <x v="0"/>
    <x v="0"/>
    <x v="0"/>
    <n v="1100"/>
    <n v="1"/>
    <n v="1100"/>
    <x v="5"/>
    <x v="1"/>
  </r>
  <r>
    <n v="525"/>
    <d v="2020-06-08T00:00:00"/>
    <x v="0"/>
    <x v="6"/>
    <x v="2"/>
    <n v="850"/>
    <n v="1"/>
    <n v="850"/>
    <x v="5"/>
    <x v="1"/>
  </r>
  <r>
    <n v="526"/>
    <d v="2020-06-09T00:00:00"/>
    <x v="0"/>
    <x v="0"/>
    <x v="0"/>
    <n v="1100"/>
    <n v="1"/>
    <n v="1100"/>
    <x v="5"/>
    <x v="1"/>
  </r>
  <r>
    <n v="527"/>
    <d v="2020-06-10T00:00:00"/>
    <x v="0"/>
    <x v="0"/>
    <x v="0"/>
    <n v="1100"/>
    <n v="2"/>
    <n v="2200"/>
    <x v="5"/>
    <x v="1"/>
  </r>
  <r>
    <n v="528"/>
    <d v="2020-06-11T00:00:00"/>
    <x v="0"/>
    <x v="9"/>
    <x v="3"/>
    <n v="300"/>
    <n v="1"/>
    <n v="300"/>
    <x v="5"/>
    <x v="1"/>
  </r>
  <r>
    <n v="529"/>
    <d v="2020-06-12T00:00:00"/>
    <x v="0"/>
    <x v="5"/>
    <x v="1"/>
    <n v="600"/>
    <n v="1"/>
    <n v="600"/>
    <x v="5"/>
    <x v="1"/>
  </r>
  <r>
    <n v="530"/>
    <d v="2020-06-13T00:00:00"/>
    <x v="0"/>
    <x v="5"/>
    <x v="1"/>
    <n v="600"/>
    <n v="1"/>
    <n v="600"/>
    <x v="5"/>
    <x v="1"/>
  </r>
  <r>
    <n v="531"/>
    <d v="2020-06-14T00:00:00"/>
    <x v="0"/>
    <x v="0"/>
    <x v="0"/>
    <n v="1100"/>
    <n v="1"/>
    <n v="1100"/>
    <x v="5"/>
    <x v="1"/>
  </r>
  <r>
    <n v="532"/>
    <d v="2020-06-15T00:00:00"/>
    <x v="0"/>
    <x v="2"/>
    <x v="0"/>
    <n v="900"/>
    <n v="1"/>
    <n v="900"/>
    <x v="5"/>
    <x v="1"/>
  </r>
  <r>
    <n v="533"/>
    <d v="2020-06-16T00:00:00"/>
    <x v="0"/>
    <x v="1"/>
    <x v="0"/>
    <n v="900"/>
    <n v="1"/>
    <n v="900"/>
    <x v="5"/>
    <x v="1"/>
  </r>
  <r>
    <n v="534"/>
    <d v="2020-06-17T00:00:00"/>
    <x v="0"/>
    <x v="1"/>
    <x v="0"/>
    <n v="900"/>
    <n v="1"/>
    <n v="900"/>
    <x v="5"/>
    <x v="1"/>
  </r>
  <r>
    <n v="535"/>
    <d v="2020-06-18T00:00:00"/>
    <x v="0"/>
    <x v="0"/>
    <x v="0"/>
    <n v="1100"/>
    <n v="1"/>
    <n v="1100"/>
    <x v="5"/>
    <x v="1"/>
  </r>
  <r>
    <n v="536"/>
    <d v="2020-06-19T00:00:00"/>
    <x v="0"/>
    <x v="9"/>
    <x v="3"/>
    <n v="600"/>
    <n v="2"/>
    <n v="1200"/>
    <x v="5"/>
    <x v="1"/>
  </r>
  <r>
    <n v="537"/>
    <d v="2020-06-20T00:00:00"/>
    <x v="0"/>
    <x v="6"/>
    <x v="2"/>
    <n v="850"/>
    <n v="1"/>
    <n v="850"/>
    <x v="5"/>
    <x v="1"/>
  </r>
  <r>
    <n v="538"/>
    <d v="2020-06-21T00:00:00"/>
    <x v="0"/>
    <x v="1"/>
    <x v="0"/>
    <n v="900"/>
    <n v="1"/>
    <n v="900"/>
    <x v="5"/>
    <x v="1"/>
  </r>
  <r>
    <n v="539"/>
    <d v="2020-06-22T00:00:00"/>
    <x v="0"/>
    <x v="5"/>
    <x v="1"/>
    <n v="600"/>
    <n v="1"/>
    <n v="600"/>
    <x v="5"/>
    <x v="1"/>
  </r>
  <r>
    <n v="540"/>
    <d v="2020-06-23T00:00:00"/>
    <x v="0"/>
    <x v="5"/>
    <x v="1"/>
    <n v="600"/>
    <n v="1"/>
    <n v="600"/>
    <x v="5"/>
    <x v="1"/>
  </r>
  <r>
    <n v="541"/>
    <d v="2020-06-24T00:00:00"/>
    <x v="0"/>
    <x v="0"/>
    <x v="0"/>
    <n v="1100"/>
    <n v="1"/>
    <n v="1100"/>
    <x v="5"/>
    <x v="1"/>
  </r>
  <r>
    <n v="542"/>
    <d v="2020-06-25T00:00:00"/>
    <x v="0"/>
    <x v="0"/>
    <x v="0"/>
    <n v="1100"/>
    <n v="1"/>
    <n v="1100"/>
    <x v="5"/>
    <x v="1"/>
  </r>
  <r>
    <n v="543"/>
    <d v="2020-06-26T00:00:00"/>
    <x v="0"/>
    <x v="0"/>
    <x v="0"/>
    <n v="1100"/>
    <n v="1"/>
    <n v="1100"/>
    <x v="5"/>
    <x v="1"/>
  </r>
  <r>
    <n v="544"/>
    <d v="2020-06-27T00:00:00"/>
    <x v="0"/>
    <x v="0"/>
    <x v="0"/>
    <n v="1100"/>
    <n v="1"/>
    <n v="1100"/>
    <x v="5"/>
    <x v="1"/>
  </r>
  <r>
    <n v="545"/>
    <d v="2020-06-28T00:00:00"/>
    <x v="0"/>
    <x v="1"/>
    <x v="0"/>
    <n v="1100"/>
    <n v="1"/>
    <n v="1100"/>
    <x v="5"/>
    <x v="1"/>
  </r>
  <r>
    <n v="546"/>
    <d v="2020-06-29T00:00:00"/>
    <x v="0"/>
    <x v="1"/>
    <x v="0"/>
    <n v="1100"/>
    <n v="1"/>
    <n v="1100"/>
    <x v="5"/>
    <x v="1"/>
  </r>
  <r>
    <n v="547"/>
    <d v="2020-06-30T00:00:00"/>
    <x v="0"/>
    <x v="1"/>
    <x v="0"/>
    <n v="1100"/>
    <n v="1"/>
    <n v="1100"/>
    <x v="5"/>
    <x v="1"/>
  </r>
  <r>
    <n v="548"/>
    <d v="2020-07-01T00:00:00"/>
    <x v="0"/>
    <x v="1"/>
    <x v="0"/>
    <n v="1100"/>
    <n v="2"/>
    <n v="2200"/>
    <x v="6"/>
    <x v="1"/>
  </r>
  <r>
    <n v="549"/>
    <d v="2020-07-02T00:00:00"/>
    <x v="0"/>
    <x v="1"/>
    <x v="0"/>
    <n v="1100"/>
    <n v="1"/>
    <n v="1100"/>
    <x v="6"/>
    <x v="1"/>
  </r>
  <r>
    <n v="550"/>
    <d v="2020-07-03T00:00:00"/>
    <x v="0"/>
    <x v="1"/>
    <x v="0"/>
    <n v="1100"/>
    <n v="1"/>
    <n v="1100"/>
    <x v="6"/>
    <x v="1"/>
  </r>
  <r>
    <n v="551"/>
    <d v="2020-07-04T00:00:00"/>
    <x v="0"/>
    <x v="1"/>
    <x v="0"/>
    <n v="900"/>
    <n v="1"/>
    <n v="900"/>
    <x v="6"/>
    <x v="1"/>
  </r>
  <r>
    <n v="552"/>
    <d v="2020-07-05T00:00:00"/>
    <x v="0"/>
    <x v="1"/>
    <x v="0"/>
    <n v="900"/>
    <n v="1"/>
    <n v="900"/>
    <x v="6"/>
    <x v="1"/>
  </r>
  <r>
    <n v="553"/>
    <d v="2020-07-06T00:00:00"/>
    <x v="0"/>
    <x v="1"/>
    <x v="0"/>
    <n v="900"/>
    <n v="1"/>
    <n v="900"/>
    <x v="6"/>
    <x v="1"/>
  </r>
  <r>
    <n v="554"/>
    <d v="2020-07-07T00:00:00"/>
    <x v="0"/>
    <x v="1"/>
    <x v="0"/>
    <n v="900"/>
    <n v="2"/>
    <n v="1800"/>
    <x v="6"/>
    <x v="1"/>
  </r>
  <r>
    <n v="555"/>
    <d v="2020-07-08T00:00:00"/>
    <x v="0"/>
    <x v="1"/>
    <x v="0"/>
    <n v="900"/>
    <n v="1"/>
    <n v="900"/>
    <x v="6"/>
    <x v="1"/>
  </r>
  <r>
    <n v="556"/>
    <d v="2020-07-09T00:00:00"/>
    <x v="0"/>
    <x v="1"/>
    <x v="0"/>
    <n v="900"/>
    <n v="1"/>
    <n v="900"/>
    <x v="6"/>
    <x v="1"/>
  </r>
  <r>
    <n v="557"/>
    <d v="2020-07-10T00:00:00"/>
    <x v="0"/>
    <x v="1"/>
    <x v="0"/>
    <n v="1100"/>
    <n v="1"/>
    <n v="1100"/>
    <x v="6"/>
    <x v="1"/>
  </r>
  <r>
    <n v="558"/>
    <d v="2020-07-11T00:00:00"/>
    <x v="1"/>
    <x v="1"/>
    <x v="0"/>
    <n v="900"/>
    <n v="1"/>
    <n v="900"/>
    <x v="6"/>
    <x v="1"/>
  </r>
  <r>
    <n v="559"/>
    <d v="2020-07-12T00:00:00"/>
    <x v="1"/>
    <x v="1"/>
    <x v="0"/>
    <n v="1100"/>
    <n v="2"/>
    <n v="2200"/>
    <x v="6"/>
    <x v="1"/>
  </r>
  <r>
    <n v="560"/>
    <d v="2020-07-13T00:00:00"/>
    <x v="1"/>
    <x v="1"/>
    <x v="0"/>
    <n v="1100"/>
    <n v="1"/>
    <n v="1100"/>
    <x v="6"/>
    <x v="1"/>
  </r>
  <r>
    <n v="561"/>
    <d v="2020-07-14T00:00:00"/>
    <x v="1"/>
    <x v="1"/>
    <x v="0"/>
    <n v="900"/>
    <n v="1"/>
    <n v="900"/>
    <x v="6"/>
    <x v="1"/>
  </r>
  <r>
    <n v="562"/>
    <d v="2020-07-15T00:00:00"/>
    <x v="1"/>
    <x v="1"/>
    <x v="0"/>
    <n v="900"/>
    <n v="1"/>
    <n v="900"/>
    <x v="6"/>
    <x v="1"/>
  </r>
  <r>
    <n v="563"/>
    <d v="2020-07-16T00:00:00"/>
    <x v="1"/>
    <x v="2"/>
    <x v="0"/>
    <n v="900"/>
    <n v="1"/>
    <n v="900"/>
    <x v="6"/>
    <x v="1"/>
  </r>
  <r>
    <n v="564"/>
    <d v="2020-07-17T00:00:00"/>
    <x v="1"/>
    <x v="1"/>
    <x v="0"/>
    <n v="1100"/>
    <n v="1"/>
    <n v="1100"/>
    <x v="6"/>
    <x v="1"/>
  </r>
  <r>
    <n v="565"/>
    <d v="2020-07-18T00:00:00"/>
    <x v="1"/>
    <x v="1"/>
    <x v="0"/>
    <n v="1100"/>
    <n v="1"/>
    <n v="1100"/>
    <x v="6"/>
    <x v="1"/>
  </r>
  <r>
    <n v="566"/>
    <d v="2020-07-19T00:00:00"/>
    <x v="1"/>
    <x v="2"/>
    <x v="0"/>
    <n v="900"/>
    <n v="1"/>
    <n v="900"/>
    <x v="6"/>
    <x v="1"/>
  </r>
  <r>
    <n v="567"/>
    <d v="2020-07-20T00:00:00"/>
    <x v="0"/>
    <x v="1"/>
    <x v="0"/>
    <n v="900"/>
    <n v="1"/>
    <n v="900"/>
    <x v="6"/>
    <x v="1"/>
  </r>
  <r>
    <n v="568"/>
    <d v="2020-07-21T00:00:00"/>
    <x v="0"/>
    <x v="2"/>
    <x v="0"/>
    <n v="900"/>
    <n v="1"/>
    <n v="900"/>
    <x v="6"/>
    <x v="1"/>
  </r>
  <r>
    <n v="569"/>
    <d v="2020-07-22T00:00:00"/>
    <x v="0"/>
    <x v="1"/>
    <x v="0"/>
    <n v="1100"/>
    <n v="1"/>
    <n v="1100"/>
    <x v="6"/>
    <x v="1"/>
  </r>
  <r>
    <n v="570"/>
    <d v="2020-07-23T00:00:00"/>
    <x v="0"/>
    <x v="1"/>
    <x v="0"/>
    <n v="1100"/>
    <n v="1"/>
    <n v="1100"/>
    <x v="6"/>
    <x v="1"/>
  </r>
  <r>
    <n v="571"/>
    <d v="2020-07-24T00:00:00"/>
    <x v="0"/>
    <x v="2"/>
    <x v="0"/>
    <n v="900"/>
    <n v="1"/>
    <n v="900"/>
    <x v="6"/>
    <x v="1"/>
  </r>
  <r>
    <n v="572"/>
    <d v="2020-07-25T00:00:00"/>
    <x v="0"/>
    <x v="2"/>
    <x v="0"/>
    <n v="900"/>
    <n v="1"/>
    <n v="900"/>
    <x v="6"/>
    <x v="1"/>
  </r>
  <r>
    <n v="573"/>
    <d v="2020-07-26T00:00:00"/>
    <x v="0"/>
    <x v="2"/>
    <x v="0"/>
    <n v="900"/>
    <n v="1"/>
    <n v="900"/>
    <x v="6"/>
    <x v="1"/>
  </r>
  <r>
    <n v="574"/>
    <d v="2020-07-27T00:00:00"/>
    <x v="0"/>
    <x v="2"/>
    <x v="0"/>
    <n v="900"/>
    <n v="1"/>
    <n v="900"/>
    <x v="6"/>
    <x v="1"/>
  </r>
  <r>
    <n v="575"/>
    <d v="2020-07-28T00:00:00"/>
    <x v="0"/>
    <x v="2"/>
    <x v="0"/>
    <n v="900"/>
    <n v="1"/>
    <n v="900"/>
    <x v="6"/>
    <x v="1"/>
  </r>
  <r>
    <n v="576"/>
    <d v="2020-07-29T00:00:00"/>
    <x v="0"/>
    <x v="1"/>
    <x v="0"/>
    <n v="900"/>
    <n v="1"/>
    <n v="900"/>
    <x v="6"/>
    <x v="1"/>
  </r>
  <r>
    <n v="577"/>
    <d v="2020-07-30T00:00:00"/>
    <x v="0"/>
    <x v="1"/>
    <x v="0"/>
    <n v="900"/>
    <n v="1"/>
    <n v="900"/>
    <x v="6"/>
    <x v="1"/>
  </r>
  <r>
    <n v="578"/>
    <d v="2020-07-31T00:00:00"/>
    <x v="0"/>
    <x v="1"/>
    <x v="0"/>
    <n v="900"/>
    <n v="1"/>
    <n v="900"/>
    <x v="6"/>
    <x v="1"/>
  </r>
  <r>
    <n v="579"/>
    <d v="2020-08-01T00:00:00"/>
    <x v="0"/>
    <x v="1"/>
    <x v="0"/>
    <n v="1100"/>
    <n v="1"/>
    <n v="1100"/>
    <x v="7"/>
    <x v="1"/>
  </r>
  <r>
    <n v="580"/>
    <d v="2020-08-02T00:00:00"/>
    <x v="0"/>
    <x v="1"/>
    <x v="0"/>
    <n v="1100"/>
    <n v="1"/>
    <n v="1100"/>
    <x v="7"/>
    <x v="1"/>
  </r>
  <r>
    <n v="581"/>
    <d v="2020-08-03T00:00:00"/>
    <x v="0"/>
    <x v="3"/>
    <x v="0"/>
    <n v="1000"/>
    <n v="1"/>
    <n v="1000"/>
    <x v="7"/>
    <x v="1"/>
  </r>
  <r>
    <n v="582"/>
    <d v="2020-08-04T00:00:00"/>
    <x v="0"/>
    <x v="3"/>
    <x v="0"/>
    <n v="1000"/>
    <n v="1"/>
    <n v="1000"/>
    <x v="7"/>
    <x v="1"/>
  </r>
  <r>
    <n v="583"/>
    <d v="2020-08-05T00:00:00"/>
    <x v="0"/>
    <x v="1"/>
    <x v="0"/>
    <n v="1100"/>
    <n v="1"/>
    <n v="1100"/>
    <x v="7"/>
    <x v="1"/>
  </r>
  <r>
    <n v="584"/>
    <d v="2020-08-06T00:00:00"/>
    <x v="0"/>
    <x v="3"/>
    <x v="0"/>
    <n v="1000"/>
    <n v="1"/>
    <n v="1000"/>
    <x v="7"/>
    <x v="1"/>
  </r>
  <r>
    <n v="585"/>
    <d v="2020-08-07T00:00:00"/>
    <x v="0"/>
    <x v="1"/>
    <x v="0"/>
    <n v="900"/>
    <n v="1"/>
    <n v="900"/>
    <x v="7"/>
    <x v="1"/>
  </r>
  <r>
    <n v="586"/>
    <d v="2020-08-08T00:00:00"/>
    <x v="0"/>
    <x v="1"/>
    <x v="0"/>
    <n v="900"/>
    <n v="2"/>
    <n v="1800"/>
    <x v="7"/>
    <x v="1"/>
  </r>
  <r>
    <n v="587"/>
    <d v="2020-08-09T00:00:00"/>
    <x v="0"/>
    <x v="1"/>
    <x v="0"/>
    <n v="1100"/>
    <n v="1"/>
    <n v="1100"/>
    <x v="7"/>
    <x v="1"/>
  </r>
  <r>
    <n v="588"/>
    <d v="2020-08-10T00:00:00"/>
    <x v="0"/>
    <x v="1"/>
    <x v="0"/>
    <n v="900"/>
    <n v="1"/>
    <n v="900"/>
    <x v="7"/>
    <x v="1"/>
  </r>
  <r>
    <n v="589"/>
    <d v="2020-08-11T00:00:00"/>
    <x v="0"/>
    <x v="1"/>
    <x v="0"/>
    <n v="1100"/>
    <n v="1"/>
    <n v="1100"/>
    <x v="7"/>
    <x v="1"/>
  </r>
  <r>
    <n v="590"/>
    <d v="2020-08-12T00:00:00"/>
    <x v="0"/>
    <x v="4"/>
    <x v="1"/>
    <n v="800"/>
    <n v="1"/>
    <n v="800"/>
    <x v="7"/>
    <x v="1"/>
  </r>
  <r>
    <n v="591"/>
    <d v="2020-08-13T00:00:00"/>
    <x v="0"/>
    <x v="4"/>
    <x v="1"/>
    <n v="800"/>
    <n v="2"/>
    <n v="1600"/>
    <x v="7"/>
    <x v="1"/>
  </r>
  <r>
    <n v="592"/>
    <d v="2020-08-14T00:00:00"/>
    <x v="0"/>
    <x v="2"/>
    <x v="0"/>
    <n v="900"/>
    <n v="1"/>
    <n v="900"/>
    <x v="7"/>
    <x v="1"/>
  </r>
  <r>
    <n v="593"/>
    <d v="2020-08-15T00:00:00"/>
    <x v="0"/>
    <x v="1"/>
    <x v="0"/>
    <n v="1100"/>
    <n v="1"/>
    <n v="1100"/>
    <x v="7"/>
    <x v="1"/>
  </r>
  <r>
    <n v="594"/>
    <d v="2020-08-16T00:00:00"/>
    <x v="0"/>
    <x v="4"/>
    <x v="1"/>
    <n v="800"/>
    <n v="1"/>
    <n v="800"/>
    <x v="7"/>
    <x v="1"/>
  </r>
  <r>
    <n v="595"/>
    <d v="2020-08-17T00:00:00"/>
    <x v="0"/>
    <x v="3"/>
    <x v="0"/>
    <n v="1000"/>
    <n v="1"/>
    <n v="1000"/>
    <x v="7"/>
    <x v="1"/>
  </r>
  <r>
    <n v="596"/>
    <d v="2020-08-18T00:00:00"/>
    <x v="0"/>
    <x v="4"/>
    <x v="1"/>
    <n v="800"/>
    <n v="1"/>
    <n v="800"/>
    <x v="7"/>
    <x v="1"/>
  </r>
  <r>
    <n v="597"/>
    <d v="2020-08-19T00:00:00"/>
    <x v="0"/>
    <x v="5"/>
    <x v="1"/>
    <n v="600"/>
    <n v="1"/>
    <n v="600"/>
    <x v="7"/>
    <x v="1"/>
  </r>
  <r>
    <n v="598"/>
    <d v="2020-08-20T00:00:00"/>
    <x v="0"/>
    <x v="1"/>
    <x v="0"/>
    <n v="900"/>
    <n v="1"/>
    <n v="900"/>
    <x v="7"/>
    <x v="1"/>
  </r>
  <r>
    <n v="599"/>
    <d v="2020-08-21T00:00:00"/>
    <x v="0"/>
    <x v="1"/>
    <x v="0"/>
    <n v="1100"/>
    <n v="1"/>
    <n v="1100"/>
    <x v="7"/>
    <x v="1"/>
  </r>
  <r>
    <n v="600"/>
    <d v="2020-08-22T00:00:00"/>
    <x v="0"/>
    <x v="3"/>
    <x v="0"/>
    <n v="1000"/>
    <n v="1"/>
    <n v="1000"/>
    <x v="7"/>
    <x v="1"/>
  </r>
  <r>
    <n v="601"/>
    <d v="2020-08-23T00:00:00"/>
    <x v="0"/>
    <x v="1"/>
    <x v="0"/>
    <n v="900"/>
    <n v="1"/>
    <n v="900"/>
    <x v="7"/>
    <x v="1"/>
  </r>
  <r>
    <n v="602"/>
    <d v="2020-08-24T00:00:00"/>
    <x v="0"/>
    <x v="1"/>
    <x v="0"/>
    <n v="1100"/>
    <n v="2"/>
    <n v="2200"/>
    <x v="7"/>
    <x v="1"/>
  </r>
  <r>
    <n v="603"/>
    <d v="2020-08-25T00:00:00"/>
    <x v="0"/>
    <x v="5"/>
    <x v="1"/>
    <n v="600"/>
    <n v="1"/>
    <n v="600"/>
    <x v="7"/>
    <x v="1"/>
  </r>
  <r>
    <n v="604"/>
    <d v="2020-08-26T00:00:00"/>
    <x v="0"/>
    <x v="5"/>
    <x v="1"/>
    <n v="600"/>
    <n v="1"/>
    <n v="600"/>
    <x v="7"/>
    <x v="1"/>
  </r>
  <r>
    <n v="605"/>
    <d v="2020-08-27T00:00:00"/>
    <x v="0"/>
    <x v="5"/>
    <x v="1"/>
    <n v="600"/>
    <n v="1"/>
    <n v="600"/>
    <x v="7"/>
    <x v="1"/>
  </r>
  <r>
    <n v="606"/>
    <d v="2020-08-28T00:00:00"/>
    <x v="0"/>
    <x v="1"/>
    <x v="0"/>
    <n v="900"/>
    <n v="1"/>
    <n v="900"/>
    <x v="7"/>
    <x v="1"/>
  </r>
  <r>
    <n v="607"/>
    <d v="2020-08-29T00:00:00"/>
    <x v="0"/>
    <x v="5"/>
    <x v="1"/>
    <n v="600"/>
    <n v="1"/>
    <n v="600"/>
    <x v="7"/>
    <x v="1"/>
  </r>
  <r>
    <n v="608"/>
    <d v="2020-08-30T00:00:00"/>
    <x v="0"/>
    <x v="5"/>
    <x v="1"/>
    <n v="600"/>
    <n v="1"/>
    <n v="600"/>
    <x v="7"/>
    <x v="1"/>
  </r>
  <r>
    <n v="609"/>
    <d v="2020-08-31T00:00:00"/>
    <x v="0"/>
    <x v="1"/>
    <x v="0"/>
    <n v="1100"/>
    <n v="1"/>
    <n v="1100"/>
    <x v="7"/>
    <x v="1"/>
  </r>
  <r>
    <n v="610"/>
    <d v="2020-09-01T00:00:00"/>
    <x v="0"/>
    <x v="2"/>
    <x v="0"/>
    <n v="900"/>
    <n v="3"/>
    <n v="2700"/>
    <x v="8"/>
    <x v="1"/>
  </r>
  <r>
    <n v="611"/>
    <d v="2020-09-02T00:00:00"/>
    <x v="0"/>
    <x v="1"/>
    <x v="0"/>
    <n v="1100"/>
    <n v="2"/>
    <n v="2200"/>
    <x v="8"/>
    <x v="1"/>
  </r>
  <r>
    <n v="612"/>
    <d v="2020-09-03T00:00:00"/>
    <x v="0"/>
    <x v="1"/>
    <x v="0"/>
    <n v="1100"/>
    <n v="1"/>
    <n v="1100"/>
    <x v="8"/>
    <x v="1"/>
  </r>
  <r>
    <n v="613"/>
    <d v="2020-09-04T00:00:00"/>
    <x v="0"/>
    <x v="5"/>
    <x v="1"/>
    <n v="600"/>
    <n v="1"/>
    <n v="600"/>
    <x v="8"/>
    <x v="1"/>
  </r>
  <r>
    <n v="614"/>
    <d v="2020-09-05T00:00:00"/>
    <x v="0"/>
    <x v="1"/>
    <x v="0"/>
    <n v="900"/>
    <n v="1"/>
    <n v="900"/>
    <x v="8"/>
    <x v="1"/>
  </r>
  <r>
    <n v="615"/>
    <d v="2020-09-06T00:00:00"/>
    <x v="0"/>
    <x v="5"/>
    <x v="1"/>
    <n v="600"/>
    <n v="1"/>
    <n v="600"/>
    <x v="8"/>
    <x v="1"/>
  </r>
  <r>
    <n v="616"/>
    <d v="2020-09-07T00:00:00"/>
    <x v="0"/>
    <x v="5"/>
    <x v="1"/>
    <n v="600"/>
    <n v="1"/>
    <n v="600"/>
    <x v="8"/>
    <x v="1"/>
  </r>
  <r>
    <n v="617"/>
    <d v="2020-09-08T00:00:00"/>
    <x v="0"/>
    <x v="1"/>
    <x v="0"/>
    <n v="900"/>
    <n v="3"/>
    <n v="2700"/>
    <x v="8"/>
    <x v="1"/>
  </r>
  <r>
    <n v="618"/>
    <d v="2020-09-09T00:00:00"/>
    <x v="0"/>
    <x v="5"/>
    <x v="1"/>
    <n v="600"/>
    <n v="1"/>
    <n v="600"/>
    <x v="8"/>
    <x v="1"/>
  </r>
  <r>
    <n v="619"/>
    <d v="2020-09-10T00:00:00"/>
    <x v="0"/>
    <x v="4"/>
    <x v="1"/>
    <n v="800"/>
    <n v="1"/>
    <n v="800"/>
    <x v="8"/>
    <x v="1"/>
  </r>
  <r>
    <n v="620"/>
    <d v="2020-09-11T00:00:00"/>
    <x v="0"/>
    <x v="5"/>
    <x v="1"/>
    <n v="600"/>
    <n v="1"/>
    <n v="600"/>
    <x v="8"/>
    <x v="1"/>
  </r>
  <r>
    <n v="621"/>
    <d v="2020-09-12T00:00:00"/>
    <x v="0"/>
    <x v="1"/>
    <x v="0"/>
    <n v="1100"/>
    <n v="1"/>
    <n v="1100"/>
    <x v="8"/>
    <x v="1"/>
  </r>
  <r>
    <n v="622"/>
    <d v="2020-09-13T00:00:00"/>
    <x v="0"/>
    <x v="2"/>
    <x v="0"/>
    <n v="900"/>
    <n v="1"/>
    <n v="900"/>
    <x v="8"/>
    <x v="1"/>
  </r>
  <r>
    <n v="623"/>
    <d v="2020-09-14T00:00:00"/>
    <x v="0"/>
    <x v="1"/>
    <x v="0"/>
    <n v="1100"/>
    <n v="1"/>
    <n v="1100"/>
    <x v="8"/>
    <x v="1"/>
  </r>
  <r>
    <n v="624"/>
    <d v="2020-09-15T00:00:00"/>
    <x v="0"/>
    <x v="1"/>
    <x v="0"/>
    <n v="1100"/>
    <n v="1"/>
    <n v="1100"/>
    <x v="8"/>
    <x v="1"/>
  </r>
  <r>
    <n v="625"/>
    <d v="2020-09-16T00:00:00"/>
    <x v="0"/>
    <x v="1"/>
    <x v="0"/>
    <n v="1100"/>
    <n v="1"/>
    <n v="1100"/>
    <x v="8"/>
    <x v="1"/>
  </r>
  <r>
    <n v="626"/>
    <d v="2020-09-17T00:00:00"/>
    <x v="0"/>
    <x v="3"/>
    <x v="0"/>
    <n v="1000"/>
    <n v="1"/>
    <n v="1000"/>
    <x v="8"/>
    <x v="1"/>
  </r>
  <r>
    <n v="627"/>
    <d v="2020-09-18T00:00:00"/>
    <x v="0"/>
    <x v="5"/>
    <x v="1"/>
    <n v="600"/>
    <n v="1"/>
    <n v="600"/>
    <x v="8"/>
    <x v="1"/>
  </r>
  <r>
    <n v="628"/>
    <d v="2020-09-19T00:00:00"/>
    <x v="0"/>
    <x v="4"/>
    <x v="1"/>
    <n v="800"/>
    <n v="1"/>
    <n v="800"/>
    <x v="8"/>
    <x v="1"/>
  </r>
  <r>
    <n v="629"/>
    <d v="2020-09-20T00:00:00"/>
    <x v="0"/>
    <x v="1"/>
    <x v="0"/>
    <n v="1100"/>
    <n v="1"/>
    <n v="1100"/>
    <x v="8"/>
    <x v="1"/>
  </r>
  <r>
    <n v="630"/>
    <d v="2020-09-21T00:00:00"/>
    <x v="0"/>
    <x v="5"/>
    <x v="1"/>
    <n v="600"/>
    <n v="1"/>
    <n v="600"/>
    <x v="8"/>
    <x v="1"/>
  </r>
  <r>
    <n v="631"/>
    <d v="2020-09-22T00:00:00"/>
    <x v="0"/>
    <x v="6"/>
    <x v="2"/>
    <n v="850"/>
    <n v="1"/>
    <n v="850"/>
    <x v="8"/>
    <x v="1"/>
  </r>
  <r>
    <n v="632"/>
    <d v="2020-09-23T00:00:00"/>
    <x v="0"/>
    <x v="2"/>
    <x v="0"/>
    <n v="900"/>
    <n v="1"/>
    <n v="900"/>
    <x v="8"/>
    <x v="1"/>
  </r>
  <r>
    <n v="633"/>
    <d v="2020-09-24T00:00:00"/>
    <x v="0"/>
    <x v="3"/>
    <x v="0"/>
    <n v="1000"/>
    <n v="1"/>
    <n v="1000"/>
    <x v="8"/>
    <x v="1"/>
  </r>
  <r>
    <n v="634"/>
    <d v="2020-09-25T00:00:00"/>
    <x v="0"/>
    <x v="6"/>
    <x v="2"/>
    <n v="850"/>
    <n v="1"/>
    <n v="850"/>
    <x v="8"/>
    <x v="1"/>
  </r>
  <r>
    <n v="635"/>
    <d v="2020-09-26T00:00:00"/>
    <x v="0"/>
    <x v="6"/>
    <x v="2"/>
    <n v="850"/>
    <n v="1"/>
    <n v="850"/>
    <x v="8"/>
    <x v="1"/>
  </r>
  <r>
    <n v="636"/>
    <d v="2020-09-27T00:00:00"/>
    <x v="0"/>
    <x v="3"/>
    <x v="0"/>
    <n v="1000"/>
    <n v="1"/>
    <n v="1000"/>
    <x v="8"/>
    <x v="1"/>
  </r>
  <r>
    <n v="637"/>
    <d v="2020-09-28T00:00:00"/>
    <x v="0"/>
    <x v="4"/>
    <x v="1"/>
    <n v="800"/>
    <n v="1"/>
    <n v="800"/>
    <x v="8"/>
    <x v="1"/>
  </r>
  <r>
    <n v="638"/>
    <d v="2020-09-29T00:00:00"/>
    <x v="0"/>
    <x v="1"/>
    <x v="0"/>
    <n v="1100"/>
    <n v="1"/>
    <n v="1100"/>
    <x v="8"/>
    <x v="1"/>
  </r>
  <r>
    <n v="639"/>
    <d v="2020-09-30T00:00:00"/>
    <x v="0"/>
    <x v="1"/>
    <x v="0"/>
    <n v="1100"/>
    <n v="1"/>
    <n v="1100"/>
    <x v="8"/>
    <x v="1"/>
  </r>
  <r>
    <n v="640"/>
    <d v="2020-10-01T00:00:00"/>
    <x v="0"/>
    <x v="1"/>
    <x v="0"/>
    <n v="1100"/>
    <n v="1"/>
    <n v="1100"/>
    <x v="9"/>
    <x v="1"/>
  </r>
  <r>
    <n v="641"/>
    <d v="2020-10-02T00:00:00"/>
    <x v="0"/>
    <x v="1"/>
    <x v="0"/>
    <n v="1100"/>
    <n v="1"/>
    <n v="1100"/>
    <x v="9"/>
    <x v="1"/>
  </r>
  <r>
    <n v="642"/>
    <d v="2020-10-03T00:00:00"/>
    <x v="0"/>
    <x v="1"/>
    <x v="0"/>
    <n v="1100"/>
    <n v="1"/>
    <n v="1100"/>
    <x v="9"/>
    <x v="1"/>
  </r>
  <r>
    <n v="643"/>
    <d v="2020-10-04T00:00:00"/>
    <x v="0"/>
    <x v="1"/>
    <x v="0"/>
    <n v="1100"/>
    <n v="1"/>
    <n v="1100"/>
    <x v="9"/>
    <x v="1"/>
  </r>
  <r>
    <n v="644"/>
    <d v="2020-10-05T00:00:00"/>
    <x v="0"/>
    <x v="1"/>
    <x v="0"/>
    <n v="1100"/>
    <n v="2"/>
    <n v="2200"/>
    <x v="9"/>
    <x v="1"/>
  </r>
  <r>
    <n v="645"/>
    <d v="2020-10-06T00:00:00"/>
    <x v="0"/>
    <x v="1"/>
    <x v="0"/>
    <n v="1100"/>
    <n v="1"/>
    <n v="1100"/>
    <x v="9"/>
    <x v="1"/>
  </r>
  <r>
    <n v="646"/>
    <d v="2020-10-07T00:00:00"/>
    <x v="0"/>
    <x v="1"/>
    <x v="0"/>
    <n v="1100"/>
    <n v="1"/>
    <n v="1100"/>
    <x v="9"/>
    <x v="1"/>
  </r>
  <r>
    <n v="647"/>
    <d v="2020-10-08T00:00:00"/>
    <x v="0"/>
    <x v="1"/>
    <x v="0"/>
    <n v="900"/>
    <n v="1"/>
    <n v="900"/>
    <x v="9"/>
    <x v="1"/>
  </r>
  <r>
    <n v="648"/>
    <d v="2020-10-09T00:00:00"/>
    <x v="0"/>
    <x v="1"/>
    <x v="0"/>
    <n v="900"/>
    <n v="1"/>
    <n v="900"/>
    <x v="9"/>
    <x v="1"/>
  </r>
  <r>
    <n v="649"/>
    <d v="2020-10-10T00:00:00"/>
    <x v="0"/>
    <x v="1"/>
    <x v="0"/>
    <n v="900"/>
    <n v="1"/>
    <n v="900"/>
    <x v="9"/>
    <x v="1"/>
  </r>
  <r>
    <n v="650"/>
    <d v="2020-10-11T00:00:00"/>
    <x v="0"/>
    <x v="1"/>
    <x v="0"/>
    <n v="900"/>
    <n v="2"/>
    <n v="1800"/>
    <x v="9"/>
    <x v="1"/>
  </r>
  <r>
    <n v="651"/>
    <d v="2020-10-12T00:00:00"/>
    <x v="0"/>
    <x v="1"/>
    <x v="0"/>
    <n v="900"/>
    <n v="1"/>
    <n v="900"/>
    <x v="9"/>
    <x v="1"/>
  </r>
  <r>
    <n v="652"/>
    <d v="2020-10-13T00:00:00"/>
    <x v="0"/>
    <x v="1"/>
    <x v="0"/>
    <n v="900"/>
    <n v="1"/>
    <n v="900"/>
    <x v="9"/>
    <x v="1"/>
  </r>
  <r>
    <n v="653"/>
    <d v="2020-10-14T00:00:00"/>
    <x v="0"/>
    <x v="1"/>
    <x v="0"/>
    <n v="1100"/>
    <n v="1"/>
    <n v="1100"/>
    <x v="9"/>
    <x v="1"/>
  </r>
  <r>
    <n v="654"/>
    <d v="2020-10-15T00:00:00"/>
    <x v="0"/>
    <x v="1"/>
    <x v="0"/>
    <n v="900"/>
    <n v="1"/>
    <n v="900"/>
    <x v="9"/>
    <x v="1"/>
  </r>
  <r>
    <n v="655"/>
    <d v="2020-10-16T00:00:00"/>
    <x v="0"/>
    <x v="1"/>
    <x v="0"/>
    <n v="1100"/>
    <n v="2"/>
    <n v="2200"/>
    <x v="9"/>
    <x v="1"/>
  </r>
  <r>
    <n v="656"/>
    <d v="2020-10-17T00:00:00"/>
    <x v="0"/>
    <x v="1"/>
    <x v="0"/>
    <n v="1100"/>
    <n v="1"/>
    <n v="1100"/>
    <x v="9"/>
    <x v="1"/>
  </r>
  <r>
    <n v="657"/>
    <d v="2020-10-18T00:00:00"/>
    <x v="0"/>
    <x v="1"/>
    <x v="0"/>
    <n v="900"/>
    <n v="1"/>
    <n v="900"/>
    <x v="9"/>
    <x v="1"/>
  </r>
  <r>
    <n v="658"/>
    <d v="2020-10-19T00:00:00"/>
    <x v="0"/>
    <x v="1"/>
    <x v="0"/>
    <n v="900"/>
    <n v="1"/>
    <n v="900"/>
    <x v="9"/>
    <x v="1"/>
  </r>
  <r>
    <n v="659"/>
    <d v="2020-10-20T00:00:00"/>
    <x v="0"/>
    <x v="2"/>
    <x v="0"/>
    <n v="900"/>
    <n v="1"/>
    <n v="900"/>
    <x v="9"/>
    <x v="1"/>
  </r>
  <r>
    <n v="660"/>
    <d v="2020-10-21T00:00:00"/>
    <x v="0"/>
    <x v="1"/>
    <x v="0"/>
    <n v="1100"/>
    <n v="1"/>
    <n v="1100"/>
    <x v="9"/>
    <x v="1"/>
  </r>
  <r>
    <n v="661"/>
    <d v="2020-10-22T00:00:00"/>
    <x v="0"/>
    <x v="1"/>
    <x v="0"/>
    <n v="1100"/>
    <n v="1"/>
    <n v="1100"/>
    <x v="9"/>
    <x v="1"/>
  </r>
  <r>
    <n v="662"/>
    <d v="2020-10-23T00:00:00"/>
    <x v="0"/>
    <x v="2"/>
    <x v="0"/>
    <n v="900"/>
    <n v="1"/>
    <n v="900"/>
    <x v="9"/>
    <x v="1"/>
  </r>
  <r>
    <n v="663"/>
    <d v="2020-10-24T00:00:00"/>
    <x v="0"/>
    <x v="1"/>
    <x v="0"/>
    <n v="900"/>
    <n v="1"/>
    <n v="900"/>
    <x v="9"/>
    <x v="1"/>
  </r>
  <r>
    <n v="664"/>
    <d v="2020-10-25T00:00:00"/>
    <x v="0"/>
    <x v="2"/>
    <x v="0"/>
    <n v="900"/>
    <n v="1"/>
    <n v="900"/>
    <x v="9"/>
    <x v="1"/>
  </r>
  <r>
    <n v="665"/>
    <d v="2020-10-26T00:00:00"/>
    <x v="0"/>
    <x v="1"/>
    <x v="0"/>
    <n v="1100"/>
    <n v="1"/>
    <n v="1100"/>
    <x v="9"/>
    <x v="1"/>
  </r>
  <r>
    <n v="666"/>
    <d v="2020-10-27T00:00:00"/>
    <x v="0"/>
    <x v="1"/>
    <x v="0"/>
    <n v="1100"/>
    <n v="1"/>
    <n v="1100"/>
    <x v="9"/>
    <x v="1"/>
  </r>
  <r>
    <n v="667"/>
    <d v="2020-10-28T00:00:00"/>
    <x v="0"/>
    <x v="2"/>
    <x v="0"/>
    <n v="900"/>
    <n v="1"/>
    <n v="900"/>
    <x v="9"/>
    <x v="1"/>
  </r>
  <r>
    <n v="668"/>
    <d v="2020-10-29T00:00:00"/>
    <x v="0"/>
    <x v="2"/>
    <x v="0"/>
    <n v="900"/>
    <n v="1"/>
    <n v="900"/>
    <x v="9"/>
    <x v="1"/>
  </r>
  <r>
    <n v="669"/>
    <d v="2020-10-30T00:00:00"/>
    <x v="0"/>
    <x v="2"/>
    <x v="0"/>
    <n v="900"/>
    <n v="1"/>
    <n v="900"/>
    <x v="9"/>
    <x v="1"/>
  </r>
  <r>
    <n v="670"/>
    <d v="2020-10-31T00:00:00"/>
    <x v="0"/>
    <x v="2"/>
    <x v="0"/>
    <n v="900"/>
    <n v="1"/>
    <n v="900"/>
    <x v="9"/>
    <x v="1"/>
  </r>
  <r>
    <n v="671"/>
    <d v="2020-11-01T00:00:00"/>
    <x v="0"/>
    <x v="2"/>
    <x v="0"/>
    <n v="900"/>
    <n v="1"/>
    <n v="900"/>
    <x v="10"/>
    <x v="1"/>
  </r>
  <r>
    <n v="672"/>
    <d v="2020-11-02T00:00:00"/>
    <x v="0"/>
    <x v="1"/>
    <x v="0"/>
    <n v="900"/>
    <n v="1"/>
    <n v="900"/>
    <x v="10"/>
    <x v="1"/>
  </r>
  <r>
    <n v="673"/>
    <d v="2020-11-03T00:00:00"/>
    <x v="0"/>
    <x v="1"/>
    <x v="0"/>
    <n v="900"/>
    <n v="1"/>
    <n v="900"/>
    <x v="10"/>
    <x v="1"/>
  </r>
  <r>
    <n v="674"/>
    <d v="2020-11-04T00:00:00"/>
    <x v="0"/>
    <x v="1"/>
    <x v="0"/>
    <n v="900"/>
    <n v="1"/>
    <n v="900"/>
    <x v="10"/>
    <x v="1"/>
  </r>
  <r>
    <n v="675"/>
    <d v="2020-11-05T00:00:00"/>
    <x v="0"/>
    <x v="1"/>
    <x v="0"/>
    <n v="1100"/>
    <n v="1"/>
    <n v="1100"/>
    <x v="10"/>
    <x v="1"/>
  </r>
  <r>
    <n v="676"/>
    <d v="2020-11-06T00:00:00"/>
    <x v="0"/>
    <x v="1"/>
    <x v="0"/>
    <n v="1100"/>
    <n v="1"/>
    <n v="1100"/>
    <x v="10"/>
    <x v="1"/>
  </r>
  <r>
    <n v="677"/>
    <d v="2020-11-07T00:00:00"/>
    <x v="0"/>
    <x v="3"/>
    <x v="0"/>
    <n v="1000"/>
    <n v="1"/>
    <n v="1000"/>
    <x v="10"/>
    <x v="1"/>
  </r>
  <r>
    <n v="678"/>
    <d v="2020-11-08T00:00:00"/>
    <x v="0"/>
    <x v="3"/>
    <x v="0"/>
    <n v="1000"/>
    <n v="1"/>
    <n v="1000"/>
    <x v="10"/>
    <x v="1"/>
  </r>
  <r>
    <n v="679"/>
    <d v="2020-11-09T00:00:00"/>
    <x v="0"/>
    <x v="1"/>
    <x v="0"/>
    <n v="1100"/>
    <n v="1"/>
    <n v="1100"/>
    <x v="10"/>
    <x v="1"/>
  </r>
  <r>
    <n v="680"/>
    <d v="2020-11-10T00:00:00"/>
    <x v="0"/>
    <x v="3"/>
    <x v="0"/>
    <n v="1000"/>
    <n v="1"/>
    <n v="1000"/>
    <x v="10"/>
    <x v="1"/>
  </r>
  <r>
    <n v="681"/>
    <d v="2020-11-11T00:00:00"/>
    <x v="0"/>
    <x v="1"/>
    <x v="0"/>
    <n v="900"/>
    <n v="1"/>
    <n v="900"/>
    <x v="10"/>
    <x v="1"/>
  </r>
  <r>
    <n v="682"/>
    <d v="2020-11-12T00:00:00"/>
    <x v="0"/>
    <x v="1"/>
    <x v="0"/>
    <n v="900"/>
    <n v="2"/>
    <n v="1800"/>
    <x v="10"/>
    <x v="1"/>
  </r>
  <r>
    <n v="683"/>
    <d v="2020-11-13T00:00:00"/>
    <x v="0"/>
    <x v="1"/>
    <x v="0"/>
    <n v="1100"/>
    <n v="1"/>
    <n v="1100"/>
    <x v="10"/>
    <x v="1"/>
  </r>
  <r>
    <n v="684"/>
    <d v="2020-11-14T00:00:00"/>
    <x v="0"/>
    <x v="1"/>
    <x v="0"/>
    <n v="900"/>
    <n v="1"/>
    <n v="900"/>
    <x v="10"/>
    <x v="1"/>
  </r>
  <r>
    <n v="685"/>
    <d v="2020-11-15T00:00:00"/>
    <x v="0"/>
    <x v="1"/>
    <x v="0"/>
    <n v="1100"/>
    <n v="1"/>
    <n v="1100"/>
    <x v="10"/>
    <x v="1"/>
  </r>
  <r>
    <n v="686"/>
    <d v="2020-11-16T00:00:00"/>
    <x v="0"/>
    <x v="4"/>
    <x v="1"/>
    <n v="800"/>
    <n v="1"/>
    <n v="800"/>
    <x v="10"/>
    <x v="1"/>
  </r>
  <r>
    <n v="687"/>
    <d v="2020-11-17T00:00:00"/>
    <x v="0"/>
    <x v="4"/>
    <x v="1"/>
    <n v="800"/>
    <n v="2"/>
    <n v="1600"/>
    <x v="10"/>
    <x v="1"/>
  </r>
  <r>
    <n v="688"/>
    <d v="2020-11-18T00:00:00"/>
    <x v="0"/>
    <x v="2"/>
    <x v="0"/>
    <n v="900"/>
    <n v="1"/>
    <n v="900"/>
    <x v="10"/>
    <x v="1"/>
  </r>
  <r>
    <n v="689"/>
    <d v="2020-11-19T00:00:00"/>
    <x v="0"/>
    <x v="1"/>
    <x v="0"/>
    <n v="1100"/>
    <n v="1"/>
    <n v="1100"/>
    <x v="10"/>
    <x v="1"/>
  </r>
  <r>
    <n v="690"/>
    <d v="2020-11-20T00:00:00"/>
    <x v="0"/>
    <x v="4"/>
    <x v="1"/>
    <n v="800"/>
    <n v="1"/>
    <n v="800"/>
    <x v="10"/>
    <x v="1"/>
  </r>
  <r>
    <n v="691"/>
    <d v="2020-11-21T00:00:00"/>
    <x v="0"/>
    <x v="3"/>
    <x v="0"/>
    <n v="1000"/>
    <n v="1"/>
    <n v="1000"/>
    <x v="10"/>
    <x v="1"/>
  </r>
  <r>
    <n v="692"/>
    <d v="2020-11-22T00:00:00"/>
    <x v="0"/>
    <x v="4"/>
    <x v="1"/>
    <n v="800"/>
    <n v="1"/>
    <n v="800"/>
    <x v="10"/>
    <x v="1"/>
  </r>
  <r>
    <n v="693"/>
    <d v="2020-11-23T00:00:00"/>
    <x v="0"/>
    <x v="5"/>
    <x v="1"/>
    <n v="600"/>
    <n v="1"/>
    <n v="600"/>
    <x v="10"/>
    <x v="1"/>
  </r>
  <r>
    <n v="694"/>
    <d v="2020-11-24T00:00:00"/>
    <x v="0"/>
    <x v="1"/>
    <x v="0"/>
    <n v="900"/>
    <n v="1"/>
    <n v="900"/>
    <x v="10"/>
    <x v="1"/>
  </r>
  <r>
    <n v="695"/>
    <d v="2020-11-25T00:00:00"/>
    <x v="0"/>
    <x v="1"/>
    <x v="0"/>
    <n v="1100"/>
    <n v="1"/>
    <n v="1100"/>
    <x v="10"/>
    <x v="1"/>
  </r>
  <r>
    <n v="696"/>
    <d v="2020-11-26T00:00:00"/>
    <x v="0"/>
    <x v="3"/>
    <x v="0"/>
    <n v="1000"/>
    <n v="1"/>
    <n v="1000"/>
    <x v="10"/>
    <x v="1"/>
  </r>
  <r>
    <n v="697"/>
    <d v="2020-11-27T00:00:00"/>
    <x v="0"/>
    <x v="1"/>
    <x v="0"/>
    <n v="900"/>
    <n v="1"/>
    <n v="900"/>
    <x v="10"/>
    <x v="1"/>
  </r>
  <r>
    <n v="698"/>
    <d v="2020-11-28T00:00:00"/>
    <x v="0"/>
    <x v="1"/>
    <x v="0"/>
    <n v="1100"/>
    <n v="2"/>
    <n v="2200"/>
    <x v="10"/>
    <x v="1"/>
  </r>
  <r>
    <n v="699"/>
    <d v="2020-11-29T00:00:00"/>
    <x v="0"/>
    <x v="5"/>
    <x v="1"/>
    <n v="600"/>
    <n v="1"/>
    <n v="600"/>
    <x v="10"/>
    <x v="1"/>
  </r>
  <r>
    <n v="700"/>
    <d v="2020-11-30T00:00:00"/>
    <x v="0"/>
    <x v="5"/>
    <x v="1"/>
    <n v="600"/>
    <n v="1"/>
    <n v="600"/>
    <x v="10"/>
    <x v="1"/>
  </r>
  <r>
    <n v="701"/>
    <d v="2020-12-01T00:00:00"/>
    <x v="0"/>
    <x v="5"/>
    <x v="1"/>
    <n v="600"/>
    <n v="1"/>
    <n v="600"/>
    <x v="11"/>
    <x v="1"/>
  </r>
  <r>
    <n v="702"/>
    <d v="2020-12-02T00:00:00"/>
    <x v="0"/>
    <x v="1"/>
    <x v="0"/>
    <n v="900"/>
    <n v="1"/>
    <n v="900"/>
    <x v="11"/>
    <x v="1"/>
  </r>
  <r>
    <n v="703"/>
    <d v="2020-12-03T00:00:00"/>
    <x v="0"/>
    <x v="5"/>
    <x v="1"/>
    <n v="600"/>
    <n v="1"/>
    <n v="600"/>
    <x v="11"/>
    <x v="1"/>
  </r>
  <r>
    <n v="704"/>
    <d v="2020-12-04T00:00:00"/>
    <x v="0"/>
    <x v="5"/>
    <x v="1"/>
    <n v="600"/>
    <n v="1"/>
    <n v="600"/>
    <x v="11"/>
    <x v="1"/>
  </r>
  <r>
    <n v="705"/>
    <d v="2020-12-05T00:00:00"/>
    <x v="0"/>
    <x v="1"/>
    <x v="0"/>
    <n v="1100"/>
    <n v="1"/>
    <n v="1100"/>
    <x v="11"/>
    <x v="1"/>
  </r>
  <r>
    <n v="706"/>
    <d v="2020-12-06T00:00:00"/>
    <x v="0"/>
    <x v="2"/>
    <x v="0"/>
    <n v="900"/>
    <n v="3"/>
    <n v="2700"/>
    <x v="11"/>
    <x v="1"/>
  </r>
  <r>
    <n v="707"/>
    <d v="2020-12-07T00:00:00"/>
    <x v="0"/>
    <x v="0"/>
    <x v="0"/>
    <n v="1100"/>
    <n v="2"/>
    <n v="2200"/>
    <x v="11"/>
    <x v="1"/>
  </r>
  <r>
    <n v="708"/>
    <d v="2020-12-08T00:00:00"/>
    <x v="0"/>
    <x v="0"/>
    <x v="0"/>
    <n v="1100"/>
    <n v="1"/>
    <n v="1100"/>
    <x v="11"/>
    <x v="1"/>
  </r>
  <r>
    <n v="709"/>
    <d v="2020-12-09T00:00:00"/>
    <x v="0"/>
    <x v="5"/>
    <x v="1"/>
    <n v="600"/>
    <n v="1"/>
    <n v="600"/>
    <x v="11"/>
    <x v="1"/>
  </r>
  <r>
    <n v="710"/>
    <d v="2020-12-10T00:00:00"/>
    <x v="0"/>
    <x v="1"/>
    <x v="0"/>
    <n v="900"/>
    <n v="1"/>
    <n v="900"/>
    <x v="11"/>
    <x v="1"/>
  </r>
  <r>
    <n v="711"/>
    <d v="2020-12-11T00:00:00"/>
    <x v="0"/>
    <x v="5"/>
    <x v="1"/>
    <n v="600"/>
    <n v="1"/>
    <n v="600"/>
    <x v="11"/>
    <x v="1"/>
  </r>
  <r>
    <n v="712"/>
    <d v="2020-12-12T00:00:00"/>
    <x v="0"/>
    <x v="5"/>
    <x v="1"/>
    <n v="600"/>
    <n v="1"/>
    <n v="600"/>
    <x v="11"/>
    <x v="1"/>
  </r>
  <r>
    <n v="713"/>
    <d v="2020-12-13T00:00:00"/>
    <x v="1"/>
    <x v="1"/>
    <x v="0"/>
    <n v="900"/>
    <n v="3"/>
    <n v="2700"/>
    <x v="11"/>
    <x v="1"/>
  </r>
  <r>
    <n v="714"/>
    <d v="2020-12-14T00:00:00"/>
    <x v="1"/>
    <x v="5"/>
    <x v="1"/>
    <n v="600"/>
    <n v="1"/>
    <n v="600"/>
    <x v="11"/>
    <x v="1"/>
  </r>
  <r>
    <n v="715"/>
    <d v="2020-12-15T00:00:00"/>
    <x v="1"/>
    <x v="4"/>
    <x v="1"/>
    <n v="800"/>
    <n v="1"/>
    <n v="800"/>
    <x v="11"/>
    <x v="1"/>
  </r>
  <r>
    <n v="716"/>
    <d v="2020-12-16T00:00:00"/>
    <x v="1"/>
    <x v="5"/>
    <x v="1"/>
    <n v="600"/>
    <n v="1"/>
    <n v="600"/>
    <x v="11"/>
    <x v="1"/>
  </r>
  <r>
    <n v="717"/>
    <d v="2020-12-17T00:00:00"/>
    <x v="1"/>
    <x v="0"/>
    <x v="0"/>
    <n v="1100"/>
    <n v="1"/>
    <n v="1100"/>
    <x v="11"/>
    <x v="1"/>
  </r>
  <r>
    <n v="718"/>
    <d v="2020-12-18T00:00:00"/>
    <x v="1"/>
    <x v="2"/>
    <x v="0"/>
    <n v="900"/>
    <n v="1"/>
    <n v="900"/>
    <x v="11"/>
    <x v="1"/>
  </r>
  <r>
    <n v="719"/>
    <d v="2020-12-19T00:00:00"/>
    <x v="1"/>
    <x v="0"/>
    <x v="0"/>
    <n v="1100"/>
    <n v="1"/>
    <n v="1100"/>
    <x v="11"/>
    <x v="1"/>
  </r>
  <r>
    <n v="720"/>
    <d v="2020-12-20T00:00:00"/>
    <x v="1"/>
    <x v="0"/>
    <x v="0"/>
    <n v="1100"/>
    <n v="1"/>
    <n v="1100"/>
    <x v="11"/>
    <x v="1"/>
  </r>
  <r>
    <n v="721"/>
    <d v="2020-12-21T00:00:00"/>
    <x v="1"/>
    <x v="0"/>
    <x v="0"/>
    <n v="1100"/>
    <n v="1"/>
    <n v="1100"/>
    <x v="11"/>
    <x v="1"/>
  </r>
  <r>
    <n v="722"/>
    <d v="2020-12-22T00:00:00"/>
    <x v="0"/>
    <x v="3"/>
    <x v="0"/>
    <n v="1000"/>
    <n v="1"/>
    <n v="1000"/>
    <x v="11"/>
    <x v="1"/>
  </r>
  <r>
    <n v="723"/>
    <d v="2020-12-23T00:00:00"/>
    <x v="0"/>
    <x v="5"/>
    <x v="1"/>
    <n v="600"/>
    <n v="1"/>
    <n v="600"/>
    <x v="11"/>
    <x v="1"/>
  </r>
  <r>
    <n v="724"/>
    <d v="2020-12-24T00:00:00"/>
    <x v="0"/>
    <x v="4"/>
    <x v="1"/>
    <n v="800"/>
    <n v="1"/>
    <n v="800"/>
    <x v="11"/>
    <x v="1"/>
  </r>
  <r>
    <n v="725"/>
    <d v="2020-12-25T00:00:00"/>
    <x v="0"/>
    <x v="0"/>
    <x v="0"/>
    <n v="1100"/>
    <n v="1"/>
    <n v="1100"/>
    <x v="11"/>
    <x v="1"/>
  </r>
  <r>
    <n v="726"/>
    <d v="2020-12-26T00:00:00"/>
    <x v="0"/>
    <x v="5"/>
    <x v="1"/>
    <n v="600"/>
    <n v="1"/>
    <n v="600"/>
    <x v="11"/>
    <x v="1"/>
  </r>
  <r>
    <n v="727"/>
    <d v="2020-12-27T00:00:00"/>
    <x v="0"/>
    <x v="6"/>
    <x v="2"/>
    <n v="850"/>
    <n v="1"/>
    <n v="850"/>
    <x v="11"/>
    <x v="1"/>
  </r>
  <r>
    <n v="728"/>
    <d v="2020-12-28T00:00:00"/>
    <x v="0"/>
    <x v="2"/>
    <x v="0"/>
    <n v="900"/>
    <n v="1"/>
    <n v="900"/>
    <x v="11"/>
    <x v="1"/>
  </r>
  <r>
    <n v="729"/>
    <d v="2020-12-29T00:00:00"/>
    <x v="0"/>
    <x v="3"/>
    <x v="0"/>
    <n v="1000"/>
    <n v="1"/>
    <n v="1000"/>
    <x v="11"/>
    <x v="1"/>
  </r>
  <r>
    <n v="730"/>
    <d v="2020-12-30T00:00:00"/>
    <x v="0"/>
    <x v="6"/>
    <x v="2"/>
    <n v="850"/>
    <n v="1"/>
    <n v="850"/>
    <x v="11"/>
    <x v="1"/>
  </r>
  <r>
    <n v="731"/>
    <d v="2020-12-31T00:00:00"/>
    <x v="0"/>
    <x v="6"/>
    <x v="2"/>
    <n v="850"/>
    <n v="1"/>
    <n v="850"/>
    <x v="11"/>
    <x v="1"/>
  </r>
  <r>
    <n v="732"/>
    <d v="2021-01-01T00:00:00"/>
    <x v="0"/>
    <x v="3"/>
    <x v="0"/>
    <n v="1000"/>
    <n v="1"/>
    <n v="1000"/>
    <x v="0"/>
    <x v="2"/>
  </r>
  <r>
    <n v="733"/>
    <d v="2021-01-02T00:00:00"/>
    <x v="0"/>
    <x v="4"/>
    <x v="1"/>
    <n v="800"/>
    <n v="1"/>
    <n v="800"/>
    <x v="0"/>
    <x v="2"/>
  </r>
  <r>
    <n v="734"/>
    <d v="2021-01-03T00:00:00"/>
    <x v="0"/>
    <x v="5"/>
    <x v="1"/>
    <n v="600"/>
    <n v="1"/>
    <n v="600"/>
    <x v="0"/>
    <x v="2"/>
  </r>
  <r>
    <n v="735"/>
    <d v="2021-01-04T00:00:00"/>
    <x v="0"/>
    <x v="4"/>
    <x v="1"/>
    <n v="800"/>
    <n v="1"/>
    <n v="800"/>
    <x v="0"/>
    <x v="2"/>
  </r>
  <r>
    <n v="736"/>
    <d v="2021-01-05T00:00:00"/>
    <x v="0"/>
    <x v="0"/>
    <x v="0"/>
    <n v="1100"/>
    <n v="1"/>
    <n v="1100"/>
    <x v="0"/>
    <x v="2"/>
  </r>
  <r>
    <n v="737"/>
    <d v="2021-01-06T00:00:00"/>
    <x v="0"/>
    <x v="6"/>
    <x v="2"/>
    <n v="850"/>
    <n v="1"/>
    <n v="850"/>
    <x v="0"/>
    <x v="2"/>
  </r>
  <r>
    <n v="738"/>
    <d v="2021-01-07T00:00:00"/>
    <x v="0"/>
    <x v="6"/>
    <x v="2"/>
    <n v="850"/>
    <n v="1"/>
    <n v="850"/>
    <x v="0"/>
    <x v="2"/>
  </r>
  <r>
    <n v="739"/>
    <d v="2021-01-08T00:00:00"/>
    <x v="0"/>
    <x v="6"/>
    <x v="2"/>
    <n v="850"/>
    <n v="1"/>
    <n v="850"/>
    <x v="0"/>
    <x v="2"/>
  </r>
  <r>
    <n v="740"/>
    <d v="2021-01-09T00:00:00"/>
    <x v="0"/>
    <x v="5"/>
    <x v="1"/>
    <n v="600"/>
    <n v="1"/>
    <n v="600"/>
    <x v="0"/>
    <x v="2"/>
  </r>
  <r>
    <n v="741"/>
    <d v="2021-01-10T00:00:00"/>
    <x v="0"/>
    <x v="6"/>
    <x v="2"/>
    <n v="850"/>
    <n v="1"/>
    <n v="850"/>
    <x v="0"/>
    <x v="2"/>
  </r>
  <r>
    <n v="742"/>
    <d v="2021-01-11T00:00:00"/>
    <x v="0"/>
    <x v="6"/>
    <x v="2"/>
    <n v="850"/>
    <n v="1"/>
    <n v="850"/>
    <x v="0"/>
    <x v="2"/>
  </r>
  <r>
    <n v="743"/>
    <d v="2021-01-12T00:00:00"/>
    <x v="0"/>
    <x v="0"/>
    <x v="0"/>
    <n v="1100"/>
    <n v="1"/>
    <n v="1100"/>
    <x v="0"/>
    <x v="2"/>
  </r>
  <r>
    <n v="744"/>
    <d v="2021-01-13T00:00:00"/>
    <x v="0"/>
    <x v="3"/>
    <x v="0"/>
    <n v="1000"/>
    <n v="1"/>
    <n v="1000"/>
    <x v="0"/>
    <x v="2"/>
  </r>
  <r>
    <n v="745"/>
    <d v="2021-01-14T00:00:00"/>
    <x v="0"/>
    <x v="0"/>
    <x v="0"/>
    <n v="1100"/>
    <n v="1"/>
    <n v="1100"/>
    <x v="0"/>
    <x v="2"/>
  </r>
  <r>
    <n v="746"/>
    <d v="2021-01-15T00:00:00"/>
    <x v="0"/>
    <x v="5"/>
    <x v="1"/>
    <n v="600"/>
    <n v="1"/>
    <n v="600"/>
    <x v="0"/>
    <x v="2"/>
  </r>
  <r>
    <n v="747"/>
    <d v="2021-01-16T00:00:00"/>
    <x v="0"/>
    <x v="5"/>
    <x v="1"/>
    <n v="600"/>
    <n v="2"/>
    <n v="1200"/>
    <x v="0"/>
    <x v="2"/>
  </r>
  <r>
    <n v="748"/>
    <d v="2021-01-17T00:00:00"/>
    <x v="0"/>
    <x v="5"/>
    <x v="1"/>
    <n v="600"/>
    <n v="1"/>
    <n v="600"/>
    <x v="0"/>
    <x v="2"/>
  </r>
  <r>
    <n v="749"/>
    <d v="2021-01-18T00:00:00"/>
    <x v="0"/>
    <x v="5"/>
    <x v="1"/>
    <n v="600"/>
    <n v="1"/>
    <n v="600"/>
    <x v="0"/>
    <x v="2"/>
  </r>
  <r>
    <n v="750"/>
    <d v="2021-01-19T00:00:00"/>
    <x v="0"/>
    <x v="0"/>
    <x v="0"/>
    <n v="1100"/>
    <n v="1"/>
    <n v="1100"/>
    <x v="0"/>
    <x v="2"/>
  </r>
  <r>
    <n v="751"/>
    <d v="2021-01-20T00:00:00"/>
    <x v="0"/>
    <x v="2"/>
    <x v="0"/>
    <n v="900"/>
    <n v="1"/>
    <n v="900"/>
    <x v="0"/>
    <x v="2"/>
  </r>
  <r>
    <n v="752"/>
    <d v="2021-01-21T00:00:00"/>
    <x v="0"/>
    <x v="5"/>
    <x v="1"/>
    <n v="600"/>
    <n v="1"/>
    <n v="600"/>
    <x v="0"/>
    <x v="2"/>
  </r>
  <r>
    <n v="753"/>
    <d v="2021-01-22T00:00:00"/>
    <x v="0"/>
    <x v="2"/>
    <x v="0"/>
    <n v="900"/>
    <n v="1"/>
    <n v="900"/>
    <x v="0"/>
    <x v="2"/>
  </r>
  <r>
    <n v="754"/>
    <d v="2021-01-23T00:00:00"/>
    <x v="0"/>
    <x v="1"/>
    <x v="0"/>
    <n v="900"/>
    <n v="1"/>
    <n v="900"/>
    <x v="0"/>
    <x v="2"/>
  </r>
  <r>
    <n v="755"/>
    <d v="2021-01-24T00:00:00"/>
    <x v="0"/>
    <x v="5"/>
    <x v="1"/>
    <n v="600"/>
    <n v="1"/>
    <n v="600"/>
    <x v="0"/>
    <x v="2"/>
  </r>
  <r>
    <n v="756"/>
    <d v="2021-01-25T00:00:00"/>
    <x v="0"/>
    <x v="5"/>
    <x v="1"/>
    <n v="600"/>
    <n v="1"/>
    <n v="600"/>
    <x v="0"/>
    <x v="2"/>
  </r>
  <r>
    <n v="757"/>
    <d v="2021-01-26T00:00:00"/>
    <x v="0"/>
    <x v="5"/>
    <x v="1"/>
    <n v="600"/>
    <n v="1"/>
    <n v="600"/>
    <x v="0"/>
    <x v="2"/>
  </r>
  <r>
    <n v="758"/>
    <d v="2021-01-27T00:00:00"/>
    <x v="0"/>
    <x v="0"/>
    <x v="0"/>
    <n v="1100"/>
    <n v="1"/>
    <n v="1100"/>
    <x v="0"/>
    <x v="2"/>
  </r>
  <r>
    <n v="759"/>
    <d v="2021-01-28T00:00:00"/>
    <x v="0"/>
    <x v="5"/>
    <x v="1"/>
    <n v="600"/>
    <n v="1"/>
    <n v="600"/>
    <x v="0"/>
    <x v="2"/>
  </r>
  <r>
    <n v="760"/>
    <d v="2021-01-29T00:00:00"/>
    <x v="0"/>
    <x v="5"/>
    <x v="1"/>
    <n v="600"/>
    <n v="1"/>
    <n v="600"/>
    <x v="0"/>
    <x v="2"/>
  </r>
  <r>
    <n v="761"/>
    <d v="2021-01-30T00:00:00"/>
    <x v="0"/>
    <x v="5"/>
    <x v="1"/>
    <n v="600"/>
    <n v="1"/>
    <n v="600"/>
    <x v="0"/>
    <x v="2"/>
  </r>
  <r>
    <n v="762"/>
    <d v="2021-01-31T00:00:00"/>
    <x v="0"/>
    <x v="1"/>
    <x v="0"/>
    <n v="900"/>
    <n v="1"/>
    <n v="900"/>
    <x v="0"/>
    <x v="2"/>
  </r>
  <r>
    <n v="763"/>
    <d v="2021-02-01T00:00:00"/>
    <x v="0"/>
    <x v="5"/>
    <x v="1"/>
    <n v="600"/>
    <n v="1"/>
    <n v="600"/>
    <x v="1"/>
    <x v="2"/>
  </r>
  <r>
    <n v="764"/>
    <d v="2021-02-02T00:00:00"/>
    <x v="0"/>
    <x v="2"/>
    <x v="0"/>
    <n v="900"/>
    <n v="1"/>
    <n v="900"/>
    <x v="1"/>
    <x v="2"/>
  </r>
  <r>
    <n v="765"/>
    <d v="2021-02-03T00:00:00"/>
    <x v="0"/>
    <x v="7"/>
    <x v="2"/>
    <n v="1200"/>
    <n v="1"/>
    <n v="1200"/>
    <x v="1"/>
    <x v="2"/>
  </r>
  <r>
    <n v="766"/>
    <d v="2021-02-04T00:00:00"/>
    <x v="0"/>
    <x v="0"/>
    <x v="0"/>
    <n v="1100"/>
    <n v="1"/>
    <n v="1100"/>
    <x v="1"/>
    <x v="2"/>
  </r>
  <r>
    <n v="767"/>
    <d v="2021-02-05T00:00:00"/>
    <x v="0"/>
    <x v="0"/>
    <x v="0"/>
    <n v="1100"/>
    <n v="1"/>
    <n v="1100"/>
    <x v="1"/>
    <x v="2"/>
  </r>
  <r>
    <n v="768"/>
    <d v="2021-02-06T00:00:00"/>
    <x v="0"/>
    <x v="5"/>
    <x v="1"/>
    <n v="600"/>
    <n v="1"/>
    <n v="600"/>
    <x v="1"/>
    <x v="2"/>
  </r>
  <r>
    <n v="769"/>
    <d v="2021-02-07T00:00:00"/>
    <x v="0"/>
    <x v="5"/>
    <x v="1"/>
    <n v="600"/>
    <n v="2"/>
    <n v="1200"/>
    <x v="1"/>
    <x v="2"/>
  </r>
  <r>
    <n v="770"/>
    <d v="2021-02-08T00:00:00"/>
    <x v="0"/>
    <x v="7"/>
    <x v="2"/>
    <n v="1200"/>
    <n v="1"/>
    <n v="1200"/>
    <x v="1"/>
    <x v="2"/>
  </r>
  <r>
    <n v="771"/>
    <d v="2021-02-09T00:00:00"/>
    <x v="0"/>
    <x v="7"/>
    <x v="2"/>
    <n v="1200"/>
    <n v="1"/>
    <n v="1200"/>
    <x v="1"/>
    <x v="2"/>
  </r>
  <r>
    <n v="772"/>
    <d v="2021-02-10T00:00:00"/>
    <x v="0"/>
    <x v="3"/>
    <x v="0"/>
    <n v="1000"/>
    <n v="1"/>
    <n v="1000"/>
    <x v="1"/>
    <x v="2"/>
  </r>
  <r>
    <n v="773"/>
    <d v="2021-02-11T00:00:00"/>
    <x v="0"/>
    <x v="4"/>
    <x v="1"/>
    <n v="800"/>
    <n v="2"/>
    <n v="1600"/>
    <x v="1"/>
    <x v="2"/>
  </r>
  <r>
    <n v="774"/>
    <d v="2021-02-12T00:00:00"/>
    <x v="0"/>
    <x v="7"/>
    <x v="2"/>
    <n v="1200"/>
    <n v="1"/>
    <n v="1200"/>
    <x v="1"/>
    <x v="2"/>
  </r>
  <r>
    <n v="775"/>
    <d v="2021-02-13T00:00:00"/>
    <x v="0"/>
    <x v="2"/>
    <x v="0"/>
    <n v="900"/>
    <n v="1"/>
    <n v="900"/>
    <x v="1"/>
    <x v="2"/>
  </r>
  <r>
    <n v="776"/>
    <d v="2021-02-14T00:00:00"/>
    <x v="0"/>
    <x v="3"/>
    <x v="0"/>
    <n v="1000"/>
    <n v="1"/>
    <n v="1000"/>
    <x v="1"/>
    <x v="2"/>
  </r>
  <r>
    <n v="777"/>
    <d v="2021-02-15T00:00:00"/>
    <x v="0"/>
    <x v="4"/>
    <x v="1"/>
    <n v="800"/>
    <n v="1"/>
    <n v="800"/>
    <x v="1"/>
    <x v="2"/>
  </r>
  <r>
    <n v="778"/>
    <d v="2021-02-16T00:00:00"/>
    <x v="0"/>
    <x v="7"/>
    <x v="2"/>
    <n v="1200"/>
    <n v="1"/>
    <n v="1200"/>
    <x v="1"/>
    <x v="2"/>
  </r>
  <r>
    <n v="779"/>
    <d v="2021-02-17T00:00:00"/>
    <x v="0"/>
    <x v="7"/>
    <x v="2"/>
    <n v="1200"/>
    <n v="1"/>
    <n v="1200"/>
    <x v="1"/>
    <x v="2"/>
  </r>
  <r>
    <n v="780"/>
    <d v="2021-02-18T00:00:00"/>
    <x v="0"/>
    <x v="4"/>
    <x v="1"/>
    <n v="800"/>
    <n v="2"/>
    <n v="1600"/>
    <x v="1"/>
    <x v="2"/>
  </r>
  <r>
    <n v="781"/>
    <d v="2021-02-19T00:00:00"/>
    <x v="0"/>
    <x v="1"/>
    <x v="0"/>
    <n v="900"/>
    <n v="1"/>
    <n v="900"/>
    <x v="1"/>
    <x v="2"/>
  </r>
  <r>
    <n v="782"/>
    <d v="2021-02-20T00:00:00"/>
    <x v="0"/>
    <x v="3"/>
    <x v="0"/>
    <n v="1000"/>
    <n v="1"/>
    <n v="1000"/>
    <x v="1"/>
    <x v="2"/>
  </r>
  <r>
    <n v="783"/>
    <d v="2021-02-21T00:00:00"/>
    <x v="0"/>
    <x v="3"/>
    <x v="0"/>
    <n v="1000"/>
    <n v="1"/>
    <n v="1000"/>
    <x v="1"/>
    <x v="2"/>
  </r>
  <r>
    <n v="784"/>
    <d v="2021-02-22T00:00:00"/>
    <x v="0"/>
    <x v="5"/>
    <x v="1"/>
    <n v="600"/>
    <n v="1"/>
    <n v="600"/>
    <x v="1"/>
    <x v="2"/>
  </r>
  <r>
    <n v="785"/>
    <d v="2021-02-23T00:00:00"/>
    <x v="0"/>
    <x v="6"/>
    <x v="2"/>
    <n v="850"/>
    <n v="1"/>
    <n v="850"/>
    <x v="1"/>
    <x v="2"/>
  </r>
  <r>
    <n v="786"/>
    <d v="2021-02-24T00:00:00"/>
    <x v="0"/>
    <x v="5"/>
    <x v="1"/>
    <n v="600"/>
    <n v="1"/>
    <n v="600"/>
    <x v="1"/>
    <x v="2"/>
  </r>
  <r>
    <n v="787"/>
    <d v="2021-02-25T00:00:00"/>
    <x v="0"/>
    <x v="6"/>
    <x v="2"/>
    <n v="850"/>
    <n v="1"/>
    <n v="850"/>
    <x v="1"/>
    <x v="2"/>
  </r>
  <r>
    <n v="788"/>
    <d v="2021-02-26T00:00:00"/>
    <x v="0"/>
    <x v="6"/>
    <x v="2"/>
    <n v="850"/>
    <n v="1"/>
    <n v="850"/>
    <x v="1"/>
    <x v="2"/>
  </r>
  <r>
    <n v="789"/>
    <d v="2021-02-27T00:00:00"/>
    <x v="0"/>
    <x v="1"/>
    <x v="0"/>
    <n v="900"/>
    <n v="1"/>
    <n v="900"/>
    <x v="1"/>
    <x v="2"/>
  </r>
  <r>
    <n v="790"/>
    <d v="2021-02-28T00:00:00"/>
    <x v="0"/>
    <x v="7"/>
    <x v="2"/>
    <n v="1200"/>
    <n v="2"/>
    <n v="2400"/>
    <x v="1"/>
    <x v="2"/>
  </r>
  <r>
    <n v="791"/>
    <d v="2021-03-01T00:00:00"/>
    <x v="0"/>
    <x v="4"/>
    <x v="1"/>
    <n v="800"/>
    <n v="1"/>
    <n v="800"/>
    <x v="2"/>
    <x v="2"/>
  </r>
  <r>
    <n v="792"/>
    <d v="2021-03-02T00:00:00"/>
    <x v="0"/>
    <x v="4"/>
    <x v="1"/>
    <n v="800"/>
    <n v="1"/>
    <n v="800"/>
    <x v="2"/>
    <x v="2"/>
  </r>
  <r>
    <n v="793"/>
    <d v="2021-03-03T00:00:00"/>
    <x v="0"/>
    <x v="2"/>
    <x v="0"/>
    <n v="900"/>
    <n v="1"/>
    <n v="900"/>
    <x v="2"/>
    <x v="2"/>
  </r>
  <r>
    <n v="794"/>
    <d v="2021-03-04T00:00:00"/>
    <x v="0"/>
    <x v="4"/>
    <x v="1"/>
    <n v="800"/>
    <n v="1"/>
    <n v="800"/>
    <x v="2"/>
    <x v="2"/>
  </r>
  <r>
    <n v="795"/>
    <d v="2021-03-05T00:00:00"/>
    <x v="0"/>
    <x v="5"/>
    <x v="1"/>
    <n v="600"/>
    <n v="1"/>
    <n v="600"/>
    <x v="2"/>
    <x v="2"/>
  </r>
  <r>
    <n v="796"/>
    <d v="2021-03-06T00:00:00"/>
    <x v="0"/>
    <x v="1"/>
    <x v="0"/>
    <n v="900"/>
    <n v="3"/>
    <n v="2700"/>
    <x v="2"/>
    <x v="2"/>
  </r>
  <r>
    <n v="797"/>
    <d v="2021-03-07T00:00:00"/>
    <x v="0"/>
    <x v="5"/>
    <x v="1"/>
    <n v="600"/>
    <n v="1"/>
    <n v="600"/>
    <x v="2"/>
    <x v="2"/>
  </r>
  <r>
    <n v="798"/>
    <d v="2021-03-08T00:00:00"/>
    <x v="0"/>
    <x v="4"/>
    <x v="1"/>
    <n v="800"/>
    <n v="1"/>
    <n v="800"/>
    <x v="2"/>
    <x v="2"/>
  </r>
  <r>
    <n v="799"/>
    <d v="2021-03-09T00:00:00"/>
    <x v="0"/>
    <x v="5"/>
    <x v="1"/>
    <n v="600"/>
    <n v="1"/>
    <n v="600"/>
    <x v="2"/>
    <x v="2"/>
  </r>
  <r>
    <n v="800"/>
    <d v="2021-03-10T00:00:00"/>
    <x v="0"/>
    <x v="0"/>
    <x v="0"/>
    <n v="1100"/>
    <n v="1"/>
    <n v="1100"/>
    <x v="2"/>
    <x v="2"/>
  </r>
  <r>
    <n v="801"/>
    <d v="2021-03-11T00:00:00"/>
    <x v="0"/>
    <x v="2"/>
    <x v="0"/>
    <n v="900"/>
    <n v="1"/>
    <n v="900"/>
    <x v="2"/>
    <x v="2"/>
  </r>
  <r>
    <n v="802"/>
    <d v="2021-03-12T00:00:00"/>
    <x v="0"/>
    <x v="0"/>
    <x v="0"/>
    <n v="1100"/>
    <n v="1"/>
    <n v="1100"/>
    <x v="2"/>
    <x v="2"/>
  </r>
  <r>
    <n v="803"/>
    <d v="2021-03-13T00:00:00"/>
    <x v="0"/>
    <x v="0"/>
    <x v="0"/>
    <n v="1100"/>
    <n v="1"/>
    <n v="1100"/>
    <x v="2"/>
    <x v="2"/>
  </r>
  <r>
    <n v="804"/>
    <d v="2021-03-14T00:00:00"/>
    <x v="0"/>
    <x v="7"/>
    <x v="2"/>
    <n v="1200"/>
    <n v="1"/>
    <n v="1200"/>
    <x v="2"/>
    <x v="2"/>
  </r>
  <r>
    <n v="805"/>
    <d v="2021-03-15T00:00:00"/>
    <x v="0"/>
    <x v="7"/>
    <x v="2"/>
    <n v="1200"/>
    <n v="1"/>
    <n v="1200"/>
    <x v="2"/>
    <x v="2"/>
  </r>
  <r>
    <n v="806"/>
    <d v="2021-03-16T00:00:00"/>
    <x v="0"/>
    <x v="0"/>
    <x v="0"/>
    <n v="1100"/>
    <n v="1"/>
    <n v="1100"/>
    <x v="2"/>
    <x v="2"/>
  </r>
  <r>
    <n v="807"/>
    <d v="2021-03-17T00:00:00"/>
    <x v="0"/>
    <x v="0"/>
    <x v="0"/>
    <n v="1100"/>
    <n v="1"/>
    <n v="1100"/>
    <x v="2"/>
    <x v="2"/>
  </r>
  <r>
    <n v="808"/>
    <d v="2021-03-18T00:00:00"/>
    <x v="0"/>
    <x v="8"/>
    <x v="3"/>
    <n v="900"/>
    <n v="1"/>
    <n v="900"/>
    <x v="2"/>
    <x v="2"/>
  </r>
  <r>
    <n v="809"/>
    <d v="2021-03-19T00:00:00"/>
    <x v="0"/>
    <x v="2"/>
    <x v="0"/>
    <n v="900"/>
    <n v="1"/>
    <n v="900"/>
    <x v="2"/>
    <x v="2"/>
  </r>
  <r>
    <n v="810"/>
    <d v="2021-03-20T00:00:00"/>
    <x v="0"/>
    <x v="8"/>
    <x v="3"/>
    <n v="800"/>
    <n v="1"/>
    <n v="800"/>
    <x v="2"/>
    <x v="2"/>
  </r>
  <r>
    <n v="811"/>
    <d v="2021-03-21T00:00:00"/>
    <x v="0"/>
    <x v="5"/>
    <x v="1"/>
    <n v="600"/>
    <n v="1"/>
    <n v="600"/>
    <x v="2"/>
    <x v="2"/>
  </r>
  <r>
    <n v="812"/>
    <d v="2021-03-22T00:00:00"/>
    <x v="0"/>
    <x v="8"/>
    <x v="3"/>
    <n v="800"/>
    <n v="1"/>
    <n v="800"/>
    <x v="2"/>
    <x v="2"/>
  </r>
  <r>
    <n v="813"/>
    <d v="2021-03-23T00:00:00"/>
    <x v="0"/>
    <x v="2"/>
    <x v="0"/>
    <n v="900"/>
    <n v="1"/>
    <n v="900"/>
    <x v="2"/>
    <x v="2"/>
  </r>
  <r>
    <n v="814"/>
    <d v="2021-03-24T00:00:00"/>
    <x v="0"/>
    <x v="7"/>
    <x v="2"/>
    <n v="1200"/>
    <n v="1"/>
    <n v="1200"/>
    <x v="2"/>
    <x v="2"/>
  </r>
  <r>
    <n v="815"/>
    <d v="2021-03-25T00:00:00"/>
    <x v="0"/>
    <x v="8"/>
    <x v="3"/>
    <n v="800"/>
    <n v="1"/>
    <n v="800"/>
    <x v="2"/>
    <x v="2"/>
  </r>
  <r>
    <n v="816"/>
    <d v="2021-03-26T00:00:00"/>
    <x v="0"/>
    <x v="1"/>
    <x v="0"/>
    <n v="900"/>
    <n v="1"/>
    <n v="900"/>
    <x v="2"/>
    <x v="2"/>
  </r>
  <r>
    <n v="817"/>
    <d v="2021-03-27T00:00:00"/>
    <x v="0"/>
    <x v="7"/>
    <x v="2"/>
    <n v="1200"/>
    <n v="1"/>
    <n v="1200"/>
    <x v="2"/>
    <x v="2"/>
  </r>
  <r>
    <n v="818"/>
    <d v="2021-03-28T00:00:00"/>
    <x v="0"/>
    <x v="0"/>
    <x v="0"/>
    <n v="1100"/>
    <n v="1"/>
    <n v="1100"/>
    <x v="2"/>
    <x v="2"/>
  </r>
  <r>
    <n v="819"/>
    <d v="2021-03-29T00:00:00"/>
    <x v="0"/>
    <x v="7"/>
    <x v="2"/>
    <n v="1200"/>
    <n v="1"/>
    <n v="1200"/>
    <x v="2"/>
    <x v="2"/>
  </r>
  <r>
    <n v="820"/>
    <d v="2021-03-30T00:00:00"/>
    <x v="0"/>
    <x v="2"/>
    <x v="0"/>
    <n v="900"/>
    <n v="1"/>
    <n v="900"/>
    <x v="2"/>
    <x v="2"/>
  </r>
  <r>
    <n v="821"/>
    <d v="2021-03-31T00:00:00"/>
    <x v="0"/>
    <x v="0"/>
    <x v="0"/>
    <n v="1100"/>
    <n v="2"/>
    <n v="2200"/>
    <x v="2"/>
    <x v="2"/>
  </r>
  <r>
    <n v="822"/>
    <d v="2021-04-01T00:00:00"/>
    <x v="0"/>
    <x v="7"/>
    <x v="2"/>
    <n v="1200"/>
    <n v="1"/>
    <n v="1200"/>
    <x v="3"/>
    <x v="2"/>
  </r>
  <r>
    <n v="823"/>
    <d v="2021-04-02T00:00:00"/>
    <x v="0"/>
    <x v="0"/>
    <x v="0"/>
    <n v="1100"/>
    <n v="1"/>
    <n v="1100"/>
    <x v="3"/>
    <x v="2"/>
  </r>
  <r>
    <n v="824"/>
    <d v="2021-04-03T00:00:00"/>
    <x v="0"/>
    <x v="1"/>
    <x v="0"/>
    <n v="900"/>
    <n v="1"/>
    <n v="900"/>
    <x v="3"/>
    <x v="2"/>
  </r>
  <r>
    <n v="825"/>
    <d v="2021-04-04T00:00:00"/>
    <x v="0"/>
    <x v="5"/>
    <x v="1"/>
    <n v="600"/>
    <n v="1"/>
    <n v="600"/>
    <x v="3"/>
    <x v="2"/>
  </r>
  <r>
    <n v="826"/>
    <d v="2021-04-05T00:00:00"/>
    <x v="0"/>
    <x v="8"/>
    <x v="3"/>
    <n v="900"/>
    <n v="1"/>
    <n v="900"/>
    <x v="3"/>
    <x v="2"/>
  </r>
  <r>
    <n v="827"/>
    <d v="2021-04-06T00:00:00"/>
    <x v="0"/>
    <x v="4"/>
    <x v="1"/>
    <n v="800"/>
    <n v="1"/>
    <n v="800"/>
    <x v="3"/>
    <x v="2"/>
  </r>
  <r>
    <n v="828"/>
    <d v="2021-04-07T00:00:00"/>
    <x v="0"/>
    <x v="0"/>
    <x v="0"/>
    <n v="1100"/>
    <n v="1"/>
    <n v="1100"/>
    <x v="3"/>
    <x v="2"/>
  </r>
  <r>
    <n v="829"/>
    <d v="2021-04-08T00:00:00"/>
    <x v="0"/>
    <x v="2"/>
    <x v="0"/>
    <n v="900"/>
    <n v="1"/>
    <n v="900"/>
    <x v="3"/>
    <x v="2"/>
  </r>
  <r>
    <n v="830"/>
    <d v="2021-04-09T00:00:00"/>
    <x v="0"/>
    <x v="3"/>
    <x v="0"/>
    <n v="1000"/>
    <n v="1"/>
    <n v="1000"/>
    <x v="3"/>
    <x v="2"/>
  </r>
  <r>
    <n v="831"/>
    <d v="2021-04-10T00:00:00"/>
    <x v="0"/>
    <x v="6"/>
    <x v="2"/>
    <n v="850"/>
    <n v="1"/>
    <n v="850"/>
    <x v="3"/>
    <x v="2"/>
  </r>
  <r>
    <n v="832"/>
    <d v="2021-04-11T00:00:00"/>
    <x v="0"/>
    <x v="5"/>
    <x v="1"/>
    <n v="600"/>
    <n v="1"/>
    <n v="600"/>
    <x v="3"/>
    <x v="2"/>
  </r>
  <r>
    <n v="833"/>
    <d v="2021-04-12T00:00:00"/>
    <x v="0"/>
    <x v="2"/>
    <x v="0"/>
    <n v="900"/>
    <n v="1"/>
    <n v="900"/>
    <x v="3"/>
    <x v="2"/>
  </r>
  <r>
    <n v="834"/>
    <d v="2021-04-13T00:00:00"/>
    <x v="0"/>
    <x v="3"/>
    <x v="0"/>
    <n v="1000"/>
    <n v="1"/>
    <n v="1000"/>
    <x v="3"/>
    <x v="2"/>
  </r>
  <r>
    <n v="835"/>
    <d v="2021-04-14T00:00:00"/>
    <x v="0"/>
    <x v="2"/>
    <x v="0"/>
    <n v="900"/>
    <n v="1"/>
    <n v="900"/>
    <x v="3"/>
    <x v="2"/>
  </r>
  <r>
    <n v="836"/>
    <d v="2021-04-15T00:00:00"/>
    <x v="0"/>
    <x v="1"/>
    <x v="0"/>
    <n v="900"/>
    <n v="1"/>
    <n v="900"/>
    <x v="3"/>
    <x v="2"/>
  </r>
  <r>
    <n v="837"/>
    <d v="2021-04-16T00:00:00"/>
    <x v="0"/>
    <x v="5"/>
    <x v="1"/>
    <n v="600"/>
    <n v="1"/>
    <n v="600"/>
    <x v="3"/>
    <x v="2"/>
  </r>
  <r>
    <n v="838"/>
    <d v="2021-04-17T00:00:00"/>
    <x v="0"/>
    <x v="8"/>
    <x v="3"/>
    <n v="900"/>
    <n v="1"/>
    <n v="900"/>
    <x v="3"/>
    <x v="2"/>
  </r>
  <r>
    <n v="839"/>
    <d v="2021-04-18T00:00:00"/>
    <x v="0"/>
    <x v="8"/>
    <x v="3"/>
    <n v="800"/>
    <n v="1"/>
    <n v="800"/>
    <x v="3"/>
    <x v="2"/>
  </r>
  <r>
    <n v="840"/>
    <d v="2021-04-19T00:00:00"/>
    <x v="0"/>
    <x v="4"/>
    <x v="1"/>
    <n v="800"/>
    <n v="1"/>
    <n v="800"/>
    <x v="3"/>
    <x v="2"/>
  </r>
  <r>
    <n v="841"/>
    <d v="2021-04-20T00:00:00"/>
    <x v="0"/>
    <x v="5"/>
    <x v="1"/>
    <n v="600"/>
    <n v="1"/>
    <n v="600"/>
    <x v="3"/>
    <x v="2"/>
  </r>
  <r>
    <n v="842"/>
    <d v="2021-04-21T00:00:00"/>
    <x v="0"/>
    <x v="8"/>
    <x v="3"/>
    <n v="500"/>
    <n v="1"/>
    <n v="500"/>
    <x v="3"/>
    <x v="2"/>
  </r>
  <r>
    <n v="843"/>
    <d v="2021-04-22T00:00:00"/>
    <x v="0"/>
    <x v="2"/>
    <x v="0"/>
    <n v="900"/>
    <n v="1"/>
    <n v="900"/>
    <x v="3"/>
    <x v="2"/>
  </r>
  <r>
    <n v="844"/>
    <d v="2021-04-23T00:00:00"/>
    <x v="0"/>
    <x v="0"/>
    <x v="0"/>
    <n v="1100"/>
    <n v="1"/>
    <n v="1100"/>
    <x v="3"/>
    <x v="2"/>
  </r>
  <r>
    <n v="845"/>
    <d v="2021-04-24T00:00:00"/>
    <x v="0"/>
    <x v="8"/>
    <x v="3"/>
    <n v="500"/>
    <n v="1"/>
    <n v="500"/>
    <x v="3"/>
    <x v="2"/>
  </r>
  <r>
    <n v="846"/>
    <d v="2021-04-25T00:00:00"/>
    <x v="0"/>
    <x v="5"/>
    <x v="1"/>
    <n v="600"/>
    <n v="1"/>
    <n v="600"/>
    <x v="3"/>
    <x v="2"/>
  </r>
  <r>
    <n v="847"/>
    <d v="2021-04-26T00:00:00"/>
    <x v="0"/>
    <x v="2"/>
    <x v="0"/>
    <n v="900"/>
    <n v="1"/>
    <n v="900"/>
    <x v="3"/>
    <x v="2"/>
  </r>
  <r>
    <n v="848"/>
    <d v="2021-04-27T00:00:00"/>
    <x v="0"/>
    <x v="8"/>
    <x v="3"/>
    <n v="500"/>
    <n v="1"/>
    <n v="500"/>
    <x v="3"/>
    <x v="2"/>
  </r>
  <r>
    <n v="849"/>
    <d v="2021-04-28T00:00:00"/>
    <x v="0"/>
    <x v="8"/>
    <x v="3"/>
    <n v="500"/>
    <n v="1"/>
    <n v="500"/>
    <x v="3"/>
    <x v="2"/>
  </r>
  <r>
    <n v="850"/>
    <d v="2021-04-29T00:00:00"/>
    <x v="0"/>
    <x v="5"/>
    <x v="1"/>
    <n v="600"/>
    <n v="1"/>
    <n v="600"/>
    <x v="3"/>
    <x v="2"/>
  </r>
  <r>
    <n v="851"/>
    <d v="2021-04-30T00:00:00"/>
    <x v="0"/>
    <x v="5"/>
    <x v="1"/>
    <n v="600"/>
    <n v="1"/>
    <n v="600"/>
    <x v="3"/>
    <x v="2"/>
  </r>
  <r>
    <n v="852"/>
    <d v="2021-05-01T00:00:00"/>
    <x v="0"/>
    <x v="4"/>
    <x v="1"/>
    <n v="800"/>
    <n v="1"/>
    <n v="800"/>
    <x v="4"/>
    <x v="2"/>
  </r>
  <r>
    <n v="853"/>
    <d v="2021-05-02T00:00:00"/>
    <x v="0"/>
    <x v="6"/>
    <x v="2"/>
    <n v="850"/>
    <n v="1"/>
    <n v="850"/>
    <x v="4"/>
    <x v="2"/>
  </r>
  <r>
    <n v="854"/>
    <d v="2021-05-03T00:00:00"/>
    <x v="0"/>
    <x v="8"/>
    <x v="3"/>
    <n v="500"/>
    <n v="1"/>
    <n v="500"/>
    <x v="4"/>
    <x v="2"/>
  </r>
  <r>
    <n v="855"/>
    <d v="2021-05-04T00:00:00"/>
    <x v="0"/>
    <x v="8"/>
    <x v="3"/>
    <n v="500"/>
    <n v="1"/>
    <n v="500"/>
    <x v="4"/>
    <x v="2"/>
  </r>
  <r>
    <n v="856"/>
    <d v="2021-05-05T00:00:00"/>
    <x v="0"/>
    <x v="0"/>
    <x v="0"/>
    <n v="1100"/>
    <n v="1"/>
    <n v="1100"/>
    <x v="4"/>
    <x v="2"/>
  </r>
  <r>
    <n v="857"/>
    <d v="2021-05-06T00:00:00"/>
    <x v="0"/>
    <x v="8"/>
    <x v="3"/>
    <n v="500"/>
    <n v="1"/>
    <n v="500"/>
    <x v="4"/>
    <x v="2"/>
  </r>
  <r>
    <n v="858"/>
    <d v="2021-05-07T00:00:00"/>
    <x v="0"/>
    <x v="3"/>
    <x v="0"/>
    <n v="1000"/>
    <n v="1"/>
    <n v="1000"/>
    <x v="4"/>
    <x v="2"/>
  </r>
  <r>
    <n v="859"/>
    <d v="2021-05-08T00:00:00"/>
    <x v="0"/>
    <x v="4"/>
    <x v="1"/>
    <n v="800"/>
    <n v="1"/>
    <n v="800"/>
    <x v="4"/>
    <x v="2"/>
  </r>
  <r>
    <n v="860"/>
    <d v="2021-05-09T00:00:00"/>
    <x v="0"/>
    <x v="9"/>
    <x v="3"/>
    <n v="600"/>
    <n v="1"/>
    <n v="600"/>
    <x v="4"/>
    <x v="2"/>
  </r>
  <r>
    <n v="861"/>
    <d v="2021-05-10T00:00:00"/>
    <x v="0"/>
    <x v="9"/>
    <x v="3"/>
    <n v="600"/>
    <n v="1"/>
    <n v="600"/>
    <x v="4"/>
    <x v="2"/>
  </r>
  <r>
    <n v="862"/>
    <d v="2021-05-11T00:00:00"/>
    <x v="0"/>
    <x v="6"/>
    <x v="2"/>
    <n v="850"/>
    <n v="1"/>
    <n v="850"/>
    <x v="4"/>
    <x v="2"/>
  </r>
  <r>
    <n v="863"/>
    <d v="2021-05-12T00:00:00"/>
    <x v="0"/>
    <x v="9"/>
    <x v="3"/>
    <n v="600"/>
    <n v="1"/>
    <n v="600"/>
    <x v="4"/>
    <x v="2"/>
  </r>
  <r>
    <n v="864"/>
    <d v="2021-05-13T00:00:00"/>
    <x v="0"/>
    <x v="5"/>
    <x v="1"/>
    <n v="600"/>
    <n v="1"/>
    <n v="600"/>
    <x v="4"/>
    <x v="2"/>
  </r>
  <r>
    <n v="865"/>
    <d v="2021-05-14T00:00:00"/>
    <x v="0"/>
    <x v="9"/>
    <x v="3"/>
    <n v="600"/>
    <n v="1"/>
    <n v="600"/>
    <x v="4"/>
    <x v="2"/>
  </r>
  <r>
    <n v="866"/>
    <d v="2021-05-15T00:00:00"/>
    <x v="0"/>
    <x v="0"/>
    <x v="0"/>
    <n v="1100"/>
    <n v="1"/>
    <n v="1100"/>
    <x v="4"/>
    <x v="2"/>
  </r>
  <r>
    <n v="867"/>
    <d v="2021-05-16T00:00:00"/>
    <x v="0"/>
    <x v="5"/>
    <x v="1"/>
    <n v="600"/>
    <n v="1"/>
    <n v="600"/>
    <x v="4"/>
    <x v="2"/>
  </r>
  <r>
    <n v="868"/>
    <d v="2021-05-17T00:00:00"/>
    <x v="0"/>
    <x v="0"/>
    <x v="0"/>
    <n v="1100"/>
    <n v="1"/>
    <n v="1100"/>
    <x v="4"/>
    <x v="2"/>
  </r>
  <r>
    <n v="869"/>
    <d v="2021-05-18T00:00:00"/>
    <x v="0"/>
    <x v="0"/>
    <x v="0"/>
    <n v="1100"/>
    <n v="1"/>
    <n v="1100"/>
    <x v="4"/>
    <x v="2"/>
  </r>
  <r>
    <n v="870"/>
    <d v="2021-05-19T00:00:00"/>
    <x v="0"/>
    <x v="0"/>
    <x v="0"/>
    <n v="1100"/>
    <n v="1"/>
    <n v="1100"/>
    <x v="4"/>
    <x v="2"/>
  </r>
  <r>
    <n v="871"/>
    <d v="2021-05-20T00:00:00"/>
    <x v="0"/>
    <x v="6"/>
    <x v="2"/>
    <n v="850"/>
    <n v="1"/>
    <n v="850"/>
    <x v="4"/>
    <x v="2"/>
  </r>
  <r>
    <n v="872"/>
    <d v="2021-05-21T00:00:00"/>
    <x v="0"/>
    <x v="5"/>
    <x v="1"/>
    <n v="600"/>
    <n v="1"/>
    <n v="600"/>
    <x v="4"/>
    <x v="2"/>
  </r>
  <r>
    <n v="873"/>
    <d v="2021-05-22T00:00:00"/>
    <x v="0"/>
    <x v="5"/>
    <x v="1"/>
    <n v="600"/>
    <n v="1"/>
    <n v="600"/>
    <x v="4"/>
    <x v="2"/>
  </r>
  <r>
    <n v="874"/>
    <d v="2021-05-23T00:00:00"/>
    <x v="0"/>
    <x v="4"/>
    <x v="1"/>
    <n v="800"/>
    <n v="1"/>
    <n v="800"/>
    <x v="4"/>
    <x v="2"/>
  </r>
  <r>
    <n v="875"/>
    <d v="2021-05-24T00:00:00"/>
    <x v="0"/>
    <x v="7"/>
    <x v="2"/>
    <n v="1200"/>
    <n v="1"/>
    <n v="1200"/>
    <x v="4"/>
    <x v="2"/>
  </r>
  <r>
    <n v="876"/>
    <d v="2021-05-25T00:00:00"/>
    <x v="0"/>
    <x v="3"/>
    <x v="0"/>
    <n v="1000"/>
    <n v="1"/>
    <n v="1000"/>
    <x v="4"/>
    <x v="2"/>
  </r>
  <r>
    <n v="877"/>
    <d v="2021-05-26T00:00:00"/>
    <x v="0"/>
    <x v="9"/>
    <x v="3"/>
    <n v="600"/>
    <n v="1"/>
    <n v="600"/>
    <x v="4"/>
    <x v="2"/>
  </r>
  <r>
    <n v="878"/>
    <d v="2021-05-27T00:00:00"/>
    <x v="0"/>
    <x v="2"/>
    <x v="0"/>
    <n v="900"/>
    <n v="1"/>
    <n v="900"/>
    <x v="4"/>
    <x v="2"/>
  </r>
  <r>
    <n v="879"/>
    <d v="2021-05-28T00:00:00"/>
    <x v="0"/>
    <x v="5"/>
    <x v="1"/>
    <n v="600"/>
    <n v="1"/>
    <n v="600"/>
    <x v="4"/>
    <x v="2"/>
  </r>
  <r>
    <n v="880"/>
    <d v="2021-05-29T00:00:00"/>
    <x v="0"/>
    <x v="1"/>
    <x v="0"/>
    <n v="900"/>
    <n v="1"/>
    <n v="900"/>
    <x v="4"/>
    <x v="2"/>
  </r>
  <r>
    <n v="881"/>
    <d v="2021-05-30T00:00:00"/>
    <x v="0"/>
    <x v="9"/>
    <x v="3"/>
    <n v="600"/>
    <n v="1"/>
    <n v="600"/>
    <x v="4"/>
    <x v="2"/>
  </r>
  <r>
    <n v="882"/>
    <d v="2021-05-31T00:00:00"/>
    <x v="0"/>
    <x v="6"/>
    <x v="2"/>
    <n v="850"/>
    <n v="1"/>
    <n v="850"/>
    <x v="4"/>
    <x v="2"/>
  </r>
  <r>
    <n v="883"/>
    <d v="2021-06-01T00:00:00"/>
    <x v="0"/>
    <x v="2"/>
    <x v="0"/>
    <n v="900"/>
    <n v="1"/>
    <n v="900"/>
    <x v="5"/>
    <x v="2"/>
  </r>
  <r>
    <n v="884"/>
    <d v="2021-06-02T00:00:00"/>
    <x v="0"/>
    <x v="0"/>
    <x v="0"/>
    <n v="1100"/>
    <n v="1"/>
    <n v="1100"/>
    <x v="5"/>
    <x v="2"/>
  </r>
  <r>
    <n v="885"/>
    <d v="2021-06-03T00:00:00"/>
    <x v="0"/>
    <x v="2"/>
    <x v="0"/>
    <n v="900"/>
    <n v="1"/>
    <n v="900"/>
    <x v="5"/>
    <x v="2"/>
  </r>
  <r>
    <n v="886"/>
    <d v="2021-06-04T00:00:00"/>
    <x v="0"/>
    <x v="3"/>
    <x v="0"/>
    <n v="1000"/>
    <n v="1"/>
    <n v="1000"/>
    <x v="5"/>
    <x v="2"/>
  </r>
  <r>
    <n v="887"/>
    <d v="2021-06-05T00:00:00"/>
    <x v="0"/>
    <x v="0"/>
    <x v="0"/>
    <n v="1100"/>
    <n v="1"/>
    <n v="1100"/>
    <x v="5"/>
    <x v="2"/>
  </r>
  <r>
    <n v="888"/>
    <d v="2021-06-06T00:00:00"/>
    <x v="0"/>
    <x v="3"/>
    <x v="0"/>
    <n v="1000"/>
    <n v="1"/>
    <n v="1000"/>
    <x v="5"/>
    <x v="2"/>
  </r>
  <r>
    <n v="889"/>
    <d v="2021-06-07T00:00:00"/>
    <x v="0"/>
    <x v="0"/>
    <x v="0"/>
    <n v="1100"/>
    <n v="1"/>
    <n v="1100"/>
    <x v="5"/>
    <x v="2"/>
  </r>
  <r>
    <n v="890"/>
    <d v="2021-06-08T00:00:00"/>
    <x v="0"/>
    <x v="2"/>
    <x v="0"/>
    <n v="900"/>
    <n v="1"/>
    <n v="900"/>
    <x v="5"/>
    <x v="2"/>
  </r>
  <r>
    <n v="891"/>
    <d v="2021-06-09T00:00:00"/>
    <x v="0"/>
    <x v="1"/>
    <x v="0"/>
    <n v="900"/>
    <n v="1"/>
    <n v="900"/>
    <x v="5"/>
    <x v="2"/>
  </r>
  <r>
    <n v="892"/>
    <d v="2021-06-10T00:00:00"/>
    <x v="0"/>
    <x v="0"/>
    <x v="0"/>
    <n v="1100"/>
    <n v="1"/>
    <n v="1100"/>
    <x v="5"/>
    <x v="2"/>
  </r>
  <r>
    <n v="893"/>
    <d v="2021-06-11T00:00:00"/>
    <x v="0"/>
    <x v="0"/>
    <x v="0"/>
    <n v="1100"/>
    <n v="1"/>
    <n v="1100"/>
    <x v="5"/>
    <x v="2"/>
  </r>
  <r>
    <n v="894"/>
    <d v="2021-06-12T00:00:00"/>
    <x v="0"/>
    <x v="3"/>
    <x v="0"/>
    <n v="1000"/>
    <n v="1"/>
    <n v="1000"/>
    <x v="5"/>
    <x v="2"/>
  </r>
  <r>
    <n v="895"/>
    <d v="2021-06-13T00:00:00"/>
    <x v="0"/>
    <x v="1"/>
    <x v="0"/>
    <n v="900"/>
    <n v="1"/>
    <n v="900"/>
    <x v="5"/>
    <x v="2"/>
  </r>
  <r>
    <n v="896"/>
    <d v="2021-06-14T00:00:00"/>
    <x v="0"/>
    <x v="5"/>
    <x v="1"/>
    <n v="600"/>
    <n v="1"/>
    <n v="600"/>
    <x v="5"/>
    <x v="2"/>
  </r>
  <r>
    <n v="897"/>
    <d v="2021-06-15T00:00:00"/>
    <x v="0"/>
    <x v="1"/>
    <x v="0"/>
    <n v="900"/>
    <n v="1"/>
    <n v="900"/>
    <x v="5"/>
    <x v="2"/>
  </r>
  <r>
    <n v="898"/>
    <d v="2021-06-16T00:00:00"/>
    <x v="0"/>
    <x v="5"/>
    <x v="1"/>
    <n v="600"/>
    <n v="1"/>
    <n v="600"/>
    <x v="5"/>
    <x v="2"/>
  </r>
  <r>
    <n v="899"/>
    <d v="2021-06-17T00:00:00"/>
    <x v="0"/>
    <x v="2"/>
    <x v="0"/>
    <n v="900"/>
    <n v="1"/>
    <n v="900"/>
    <x v="5"/>
    <x v="2"/>
  </r>
  <r>
    <n v="900"/>
    <d v="2021-06-18T00:00:00"/>
    <x v="0"/>
    <x v="0"/>
    <x v="0"/>
    <n v="1100"/>
    <n v="2"/>
    <n v="2200"/>
    <x v="5"/>
    <x v="2"/>
  </r>
  <r>
    <n v="901"/>
    <d v="2021-06-19T00:00:00"/>
    <x v="0"/>
    <x v="5"/>
    <x v="1"/>
    <n v="600"/>
    <n v="1"/>
    <n v="600"/>
    <x v="5"/>
    <x v="2"/>
  </r>
  <r>
    <n v="902"/>
    <d v="2021-06-20T00:00:00"/>
    <x v="0"/>
    <x v="5"/>
    <x v="1"/>
    <n v="600"/>
    <n v="1"/>
    <n v="600"/>
    <x v="5"/>
    <x v="2"/>
  </r>
  <r>
    <n v="903"/>
    <d v="2021-06-21T00:00:00"/>
    <x v="0"/>
    <x v="2"/>
    <x v="0"/>
    <n v="900"/>
    <n v="1"/>
    <n v="900"/>
    <x v="5"/>
    <x v="2"/>
  </r>
  <r>
    <n v="904"/>
    <d v="2021-06-22T00:00:00"/>
    <x v="0"/>
    <x v="0"/>
    <x v="0"/>
    <n v="1100"/>
    <n v="1"/>
    <n v="1100"/>
    <x v="5"/>
    <x v="2"/>
  </r>
  <r>
    <n v="905"/>
    <d v="2021-06-23T00:00:00"/>
    <x v="0"/>
    <x v="5"/>
    <x v="1"/>
    <n v="600"/>
    <n v="1"/>
    <n v="600"/>
    <x v="5"/>
    <x v="2"/>
  </r>
  <r>
    <n v="906"/>
    <d v="2021-06-24T00:00:00"/>
    <x v="0"/>
    <x v="9"/>
    <x v="3"/>
    <n v="600"/>
    <n v="1"/>
    <n v="600"/>
    <x v="5"/>
    <x v="2"/>
  </r>
  <r>
    <n v="907"/>
    <d v="2021-06-25T00:00:00"/>
    <x v="0"/>
    <x v="5"/>
    <x v="1"/>
    <n v="600"/>
    <n v="1"/>
    <n v="600"/>
    <x v="5"/>
    <x v="2"/>
  </r>
  <r>
    <n v="908"/>
    <d v="2021-06-26T00:00:00"/>
    <x v="0"/>
    <x v="9"/>
    <x v="3"/>
    <n v="600"/>
    <n v="1"/>
    <n v="600"/>
    <x v="5"/>
    <x v="2"/>
  </r>
  <r>
    <n v="909"/>
    <d v="2021-06-27T00:00:00"/>
    <x v="0"/>
    <x v="9"/>
    <x v="3"/>
    <n v="600"/>
    <n v="2"/>
    <n v="1200"/>
    <x v="5"/>
    <x v="2"/>
  </r>
  <r>
    <n v="910"/>
    <d v="2021-06-28T00:00:00"/>
    <x v="0"/>
    <x v="5"/>
    <x v="1"/>
    <n v="600"/>
    <n v="1"/>
    <n v="600"/>
    <x v="5"/>
    <x v="2"/>
  </r>
  <r>
    <n v="911"/>
    <d v="2021-06-29T00:00:00"/>
    <x v="0"/>
    <x v="0"/>
    <x v="0"/>
    <n v="1100"/>
    <n v="3"/>
    <n v="3300"/>
    <x v="5"/>
    <x v="2"/>
  </r>
  <r>
    <n v="912"/>
    <d v="2021-06-30T00:00:00"/>
    <x v="0"/>
    <x v="0"/>
    <x v="0"/>
    <n v="1100"/>
    <n v="1"/>
    <n v="1100"/>
    <x v="5"/>
    <x v="2"/>
  </r>
  <r>
    <n v="913"/>
    <d v="2021-07-01T00:00:00"/>
    <x v="0"/>
    <x v="6"/>
    <x v="2"/>
    <n v="850"/>
    <n v="1"/>
    <n v="850"/>
    <x v="6"/>
    <x v="2"/>
  </r>
  <r>
    <n v="914"/>
    <d v="2021-07-02T00:00:00"/>
    <x v="0"/>
    <x v="7"/>
    <x v="2"/>
    <n v="1200"/>
    <n v="1"/>
    <n v="1200"/>
    <x v="6"/>
    <x v="2"/>
  </r>
  <r>
    <n v="915"/>
    <d v="2021-07-03T00:00:00"/>
    <x v="0"/>
    <x v="4"/>
    <x v="1"/>
    <n v="800"/>
    <n v="1"/>
    <n v="800"/>
    <x v="6"/>
    <x v="2"/>
  </r>
  <r>
    <n v="916"/>
    <d v="2021-07-04T00:00:00"/>
    <x v="0"/>
    <x v="2"/>
    <x v="0"/>
    <n v="900"/>
    <n v="1"/>
    <n v="900"/>
    <x v="6"/>
    <x v="2"/>
  </r>
  <r>
    <n v="917"/>
    <d v="2021-07-05T00:00:00"/>
    <x v="0"/>
    <x v="0"/>
    <x v="0"/>
    <n v="1100"/>
    <n v="1"/>
    <n v="1100"/>
    <x v="6"/>
    <x v="2"/>
  </r>
  <r>
    <n v="918"/>
    <d v="2021-07-06T00:00:00"/>
    <x v="0"/>
    <x v="1"/>
    <x v="0"/>
    <n v="900"/>
    <n v="1"/>
    <n v="900"/>
    <x v="6"/>
    <x v="2"/>
  </r>
  <r>
    <n v="919"/>
    <d v="2021-07-07T00:00:00"/>
    <x v="0"/>
    <x v="0"/>
    <x v="0"/>
    <n v="1100"/>
    <n v="1"/>
    <n v="1100"/>
    <x v="6"/>
    <x v="2"/>
  </r>
  <r>
    <n v="920"/>
    <d v="2021-07-08T00:00:00"/>
    <x v="0"/>
    <x v="8"/>
    <x v="3"/>
    <n v="900"/>
    <n v="1"/>
    <n v="900"/>
    <x v="6"/>
    <x v="2"/>
  </r>
  <r>
    <n v="921"/>
    <d v="2021-07-09T00:00:00"/>
    <x v="0"/>
    <x v="8"/>
    <x v="3"/>
    <n v="500"/>
    <n v="1"/>
    <n v="500"/>
    <x v="6"/>
    <x v="2"/>
  </r>
  <r>
    <n v="922"/>
    <d v="2021-07-10T00:00:00"/>
    <x v="0"/>
    <x v="3"/>
    <x v="0"/>
    <n v="1000"/>
    <n v="1"/>
    <n v="1000"/>
    <x v="6"/>
    <x v="2"/>
  </r>
  <r>
    <n v="923"/>
    <d v="2021-07-11T00:00:00"/>
    <x v="0"/>
    <x v="9"/>
    <x v="3"/>
    <n v="600"/>
    <n v="1"/>
    <n v="600"/>
    <x v="6"/>
    <x v="2"/>
  </r>
  <r>
    <n v="924"/>
    <d v="2021-07-12T00:00:00"/>
    <x v="0"/>
    <x v="1"/>
    <x v="0"/>
    <n v="900"/>
    <n v="2"/>
    <n v="1800"/>
    <x v="6"/>
    <x v="2"/>
  </r>
  <r>
    <n v="925"/>
    <d v="2021-07-13T00:00:00"/>
    <x v="0"/>
    <x v="6"/>
    <x v="2"/>
    <n v="850"/>
    <n v="1"/>
    <n v="850"/>
    <x v="6"/>
    <x v="2"/>
  </r>
  <r>
    <n v="926"/>
    <d v="2021-07-14T00:00:00"/>
    <x v="0"/>
    <x v="4"/>
    <x v="1"/>
    <n v="800"/>
    <n v="1"/>
    <n v="800"/>
    <x v="6"/>
    <x v="2"/>
  </r>
  <r>
    <n v="927"/>
    <d v="2021-07-15T00:00:00"/>
    <x v="0"/>
    <x v="1"/>
    <x v="0"/>
    <n v="900"/>
    <n v="1"/>
    <n v="900"/>
    <x v="6"/>
    <x v="2"/>
  </r>
  <r>
    <n v="928"/>
    <d v="2021-07-16T00:00:00"/>
    <x v="0"/>
    <x v="1"/>
    <x v="0"/>
    <n v="900"/>
    <n v="1"/>
    <n v="900"/>
    <x v="6"/>
    <x v="2"/>
  </r>
  <r>
    <n v="929"/>
    <d v="2021-07-17T00:00:00"/>
    <x v="0"/>
    <x v="0"/>
    <x v="0"/>
    <n v="1100"/>
    <n v="1"/>
    <n v="1100"/>
    <x v="6"/>
    <x v="2"/>
  </r>
  <r>
    <n v="930"/>
    <d v="2021-07-18T00:00:00"/>
    <x v="0"/>
    <x v="2"/>
    <x v="0"/>
    <n v="900"/>
    <n v="1"/>
    <n v="900"/>
    <x v="6"/>
    <x v="2"/>
  </r>
  <r>
    <n v="931"/>
    <d v="2021-07-19T00:00:00"/>
    <x v="0"/>
    <x v="5"/>
    <x v="1"/>
    <n v="600"/>
    <n v="1"/>
    <n v="600"/>
    <x v="6"/>
    <x v="2"/>
  </r>
  <r>
    <n v="932"/>
    <d v="2021-07-20T00:00:00"/>
    <x v="0"/>
    <x v="5"/>
    <x v="1"/>
    <n v="600"/>
    <n v="1"/>
    <n v="600"/>
    <x v="6"/>
    <x v="2"/>
  </r>
  <r>
    <n v="933"/>
    <d v="2021-07-21T00:00:00"/>
    <x v="0"/>
    <x v="2"/>
    <x v="0"/>
    <n v="900"/>
    <n v="1"/>
    <n v="900"/>
    <x v="6"/>
    <x v="2"/>
  </r>
  <r>
    <n v="934"/>
    <d v="2021-07-22T00:00:00"/>
    <x v="0"/>
    <x v="6"/>
    <x v="2"/>
    <n v="850"/>
    <n v="1"/>
    <n v="850"/>
    <x v="6"/>
    <x v="2"/>
  </r>
  <r>
    <n v="935"/>
    <d v="2021-07-23T00:00:00"/>
    <x v="0"/>
    <x v="2"/>
    <x v="0"/>
    <n v="900"/>
    <n v="1"/>
    <n v="900"/>
    <x v="6"/>
    <x v="2"/>
  </r>
  <r>
    <n v="936"/>
    <d v="2021-07-24T00:00:00"/>
    <x v="0"/>
    <x v="5"/>
    <x v="1"/>
    <n v="600"/>
    <n v="1"/>
    <n v="600"/>
    <x v="6"/>
    <x v="2"/>
  </r>
  <r>
    <n v="937"/>
    <d v="2021-07-25T00:00:00"/>
    <x v="0"/>
    <x v="5"/>
    <x v="1"/>
    <n v="600"/>
    <n v="1"/>
    <n v="600"/>
    <x v="6"/>
    <x v="2"/>
  </r>
  <r>
    <n v="938"/>
    <d v="2021-07-26T00:00:00"/>
    <x v="0"/>
    <x v="0"/>
    <x v="0"/>
    <n v="1100"/>
    <n v="1"/>
    <n v="1100"/>
    <x v="6"/>
    <x v="2"/>
  </r>
  <r>
    <n v="939"/>
    <d v="2021-07-27T00:00:00"/>
    <x v="0"/>
    <x v="1"/>
    <x v="0"/>
    <n v="900"/>
    <n v="1"/>
    <n v="900"/>
    <x v="6"/>
    <x v="2"/>
  </r>
  <r>
    <n v="940"/>
    <d v="2021-07-28T00:00:00"/>
    <x v="0"/>
    <x v="0"/>
    <x v="0"/>
    <n v="1100"/>
    <n v="1"/>
    <n v="1100"/>
    <x v="6"/>
    <x v="2"/>
  </r>
  <r>
    <n v="941"/>
    <d v="2021-07-29T00:00:00"/>
    <x v="0"/>
    <x v="5"/>
    <x v="1"/>
    <n v="600"/>
    <n v="1"/>
    <n v="600"/>
    <x v="6"/>
    <x v="2"/>
  </r>
  <r>
    <n v="942"/>
    <d v="2021-07-30T00:00:00"/>
    <x v="0"/>
    <x v="7"/>
    <x v="2"/>
    <n v="1200"/>
    <n v="1"/>
    <n v="1200"/>
    <x v="6"/>
    <x v="2"/>
  </r>
  <r>
    <n v="943"/>
    <d v="2021-07-31T00:00:00"/>
    <x v="0"/>
    <x v="9"/>
    <x v="3"/>
    <n v="600"/>
    <n v="1"/>
    <n v="600"/>
    <x v="6"/>
    <x v="2"/>
  </r>
  <r>
    <n v="944"/>
    <d v="2021-08-01T00:00:00"/>
    <x v="0"/>
    <x v="0"/>
    <x v="0"/>
    <n v="1100"/>
    <n v="1"/>
    <n v="1100"/>
    <x v="7"/>
    <x v="2"/>
  </r>
  <r>
    <n v="945"/>
    <d v="2021-08-02T00:00:00"/>
    <x v="0"/>
    <x v="8"/>
    <x v="3"/>
    <n v="500"/>
    <n v="1"/>
    <n v="500"/>
    <x v="7"/>
    <x v="2"/>
  </r>
  <r>
    <n v="946"/>
    <d v="2021-08-03T00:00:00"/>
    <x v="0"/>
    <x v="1"/>
    <x v="0"/>
    <n v="900"/>
    <n v="1"/>
    <n v="900"/>
    <x v="7"/>
    <x v="2"/>
  </r>
  <r>
    <n v="947"/>
    <d v="2021-08-04T00:00:00"/>
    <x v="0"/>
    <x v="6"/>
    <x v="2"/>
    <n v="850"/>
    <n v="1"/>
    <n v="850"/>
    <x v="7"/>
    <x v="2"/>
  </r>
  <r>
    <n v="948"/>
    <d v="2021-08-05T00:00:00"/>
    <x v="0"/>
    <x v="5"/>
    <x v="1"/>
    <n v="600"/>
    <n v="1"/>
    <n v="600"/>
    <x v="7"/>
    <x v="2"/>
  </r>
  <r>
    <n v="949"/>
    <d v="2021-08-06T00:00:00"/>
    <x v="0"/>
    <x v="0"/>
    <x v="0"/>
    <n v="1100"/>
    <n v="1"/>
    <n v="1100"/>
    <x v="7"/>
    <x v="2"/>
  </r>
  <r>
    <n v="950"/>
    <d v="2021-08-07T00:00:00"/>
    <x v="0"/>
    <x v="8"/>
    <x v="3"/>
    <n v="500"/>
    <n v="1"/>
    <n v="500"/>
    <x v="7"/>
    <x v="2"/>
  </r>
  <r>
    <n v="951"/>
    <d v="2021-08-08T00:00:00"/>
    <x v="0"/>
    <x v="5"/>
    <x v="1"/>
    <n v="600"/>
    <n v="1"/>
    <n v="600"/>
    <x v="7"/>
    <x v="2"/>
  </r>
  <r>
    <n v="952"/>
    <d v="2021-08-09T00:00:00"/>
    <x v="0"/>
    <x v="3"/>
    <x v="0"/>
    <n v="1000"/>
    <n v="1"/>
    <n v="1000"/>
    <x v="7"/>
    <x v="2"/>
  </r>
  <r>
    <n v="953"/>
    <d v="2021-08-10T00:00:00"/>
    <x v="0"/>
    <x v="5"/>
    <x v="1"/>
    <n v="600"/>
    <n v="1"/>
    <n v="600"/>
    <x v="7"/>
    <x v="2"/>
  </r>
  <r>
    <n v="954"/>
    <d v="2021-08-11T00:00:00"/>
    <x v="0"/>
    <x v="0"/>
    <x v="0"/>
    <n v="1100"/>
    <n v="1"/>
    <n v="1100"/>
    <x v="7"/>
    <x v="2"/>
  </r>
  <r>
    <n v="955"/>
    <d v="2021-08-12T00:00:00"/>
    <x v="0"/>
    <x v="8"/>
    <x v="3"/>
    <n v="500"/>
    <n v="1"/>
    <n v="500"/>
    <x v="7"/>
    <x v="2"/>
  </r>
  <r>
    <n v="956"/>
    <d v="2021-08-13T00:00:00"/>
    <x v="0"/>
    <x v="0"/>
    <x v="0"/>
    <n v="1100"/>
    <n v="2"/>
    <n v="2200"/>
    <x v="7"/>
    <x v="2"/>
  </r>
  <r>
    <n v="957"/>
    <d v="2021-08-14T00:00:00"/>
    <x v="0"/>
    <x v="5"/>
    <x v="1"/>
    <n v="600"/>
    <n v="1"/>
    <n v="600"/>
    <x v="7"/>
    <x v="2"/>
  </r>
  <r>
    <n v="958"/>
    <d v="2021-08-15T00:00:00"/>
    <x v="0"/>
    <x v="4"/>
    <x v="1"/>
    <n v="800"/>
    <n v="1"/>
    <n v="800"/>
    <x v="7"/>
    <x v="2"/>
  </r>
  <r>
    <n v="959"/>
    <d v="2021-08-16T00:00:00"/>
    <x v="0"/>
    <x v="2"/>
    <x v="0"/>
    <n v="900"/>
    <n v="1"/>
    <n v="900"/>
    <x v="7"/>
    <x v="2"/>
  </r>
  <r>
    <n v="960"/>
    <d v="2021-08-17T00:00:00"/>
    <x v="0"/>
    <x v="9"/>
    <x v="3"/>
    <n v="600"/>
    <n v="1"/>
    <n v="600"/>
    <x v="7"/>
    <x v="2"/>
  </r>
  <r>
    <n v="961"/>
    <d v="2021-08-18T00:00:00"/>
    <x v="0"/>
    <x v="0"/>
    <x v="0"/>
    <n v="1100"/>
    <n v="2"/>
    <n v="2200"/>
    <x v="7"/>
    <x v="2"/>
  </r>
  <r>
    <n v="962"/>
    <d v="2021-08-19T00:00:00"/>
    <x v="0"/>
    <x v="9"/>
    <x v="3"/>
    <n v="600"/>
    <n v="1"/>
    <n v="600"/>
    <x v="7"/>
    <x v="2"/>
  </r>
  <r>
    <n v="963"/>
    <d v="2021-08-20T00:00:00"/>
    <x v="0"/>
    <x v="2"/>
    <x v="0"/>
    <n v="900"/>
    <n v="1"/>
    <n v="900"/>
    <x v="7"/>
    <x v="2"/>
  </r>
  <r>
    <n v="964"/>
    <d v="2021-08-21T00:00:00"/>
    <x v="0"/>
    <x v="5"/>
    <x v="1"/>
    <n v="600"/>
    <n v="1"/>
    <n v="600"/>
    <x v="7"/>
    <x v="2"/>
  </r>
  <r>
    <n v="965"/>
    <d v="2021-08-22T00:00:00"/>
    <x v="0"/>
    <x v="1"/>
    <x v="0"/>
    <n v="900"/>
    <n v="1"/>
    <n v="900"/>
    <x v="7"/>
    <x v="2"/>
  </r>
  <r>
    <n v="966"/>
    <d v="2021-08-23T00:00:00"/>
    <x v="0"/>
    <x v="9"/>
    <x v="3"/>
    <n v="600"/>
    <n v="1"/>
    <n v="600"/>
    <x v="7"/>
    <x v="2"/>
  </r>
  <r>
    <n v="967"/>
    <d v="2021-08-24T00:00:00"/>
    <x v="0"/>
    <x v="6"/>
    <x v="2"/>
    <n v="850"/>
    <n v="1"/>
    <n v="850"/>
    <x v="7"/>
    <x v="2"/>
  </r>
  <r>
    <n v="968"/>
    <d v="2021-08-25T00:00:00"/>
    <x v="0"/>
    <x v="2"/>
    <x v="0"/>
    <n v="900"/>
    <n v="1"/>
    <n v="900"/>
    <x v="7"/>
    <x v="2"/>
  </r>
  <r>
    <n v="969"/>
    <d v="2021-08-26T00:00:00"/>
    <x v="0"/>
    <x v="0"/>
    <x v="0"/>
    <n v="1100"/>
    <n v="1"/>
    <n v="1100"/>
    <x v="7"/>
    <x v="2"/>
  </r>
  <r>
    <n v="970"/>
    <d v="2021-08-27T00:00:00"/>
    <x v="0"/>
    <x v="2"/>
    <x v="0"/>
    <n v="900"/>
    <n v="1"/>
    <n v="900"/>
    <x v="7"/>
    <x v="2"/>
  </r>
  <r>
    <n v="971"/>
    <d v="2021-08-28T00:00:00"/>
    <x v="0"/>
    <x v="3"/>
    <x v="0"/>
    <n v="1000"/>
    <n v="1"/>
    <n v="1000"/>
    <x v="7"/>
    <x v="2"/>
  </r>
  <r>
    <n v="972"/>
    <d v="2021-08-29T00:00:00"/>
    <x v="0"/>
    <x v="0"/>
    <x v="0"/>
    <n v="1100"/>
    <n v="1"/>
    <n v="1100"/>
    <x v="7"/>
    <x v="2"/>
  </r>
  <r>
    <n v="973"/>
    <d v="2021-08-30T00:00:00"/>
    <x v="0"/>
    <x v="3"/>
    <x v="0"/>
    <n v="1000"/>
    <n v="1"/>
    <n v="1000"/>
    <x v="7"/>
    <x v="2"/>
  </r>
  <r>
    <n v="974"/>
    <d v="2021-08-31T00:00:00"/>
    <x v="0"/>
    <x v="0"/>
    <x v="0"/>
    <n v="1100"/>
    <n v="1"/>
    <n v="1100"/>
    <x v="7"/>
    <x v="2"/>
  </r>
  <r>
    <n v="975"/>
    <d v="2021-09-01T00:00:00"/>
    <x v="0"/>
    <x v="2"/>
    <x v="0"/>
    <n v="900"/>
    <n v="1"/>
    <n v="900"/>
    <x v="8"/>
    <x v="2"/>
  </r>
  <r>
    <n v="976"/>
    <d v="2021-09-02T00:00:00"/>
    <x v="0"/>
    <x v="1"/>
    <x v="0"/>
    <n v="900"/>
    <n v="1"/>
    <n v="900"/>
    <x v="8"/>
    <x v="2"/>
  </r>
  <r>
    <n v="977"/>
    <d v="2021-09-03T00:00:00"/>
    <x v="0"/>
    <x v="0"/>
    <x v="0"/>
    <n v="1100"/>
    <n v="1"/>
    <n v="1100"/>
    <x v="8"/>
    <x v="2"/>
  </r>
  <r>
    <n v="978"/>
    <d v="2021-09-04T00:00:00"/>
    <x v="0"/>
    <x v="0"/>
    <x v="0"/>
    <n v="1100"/>
    <n v="1"/>
    <n v="1100"/>
    <x v="8"/>
    <x v="2"/>
  </r>
  <r>
    <n v="979"/>
    <d v="2021-09-05T00:00:00"/>
    <x v="0"/>
    <x v="3"/>
    <x v="0"/>
    <n v="1000"/>
    <n v="1"/>
    <n v="1000"/>
    <x v="8"/>
    <x v="2"/>
  </r>
  <r>
    <n v="980"/>
    <d v="2021-09-06T00:00:00"/>
    <x v="0"/>
    <x v="1"/>
    <x v="0"/>
    <n v="900"/>
    <n v="1"/>
    <n v="900"/>
    <x v="8"/>
    <x v="2"/>
  </r>
  <r>
    <n v="981"/>
    <d v="2021-09-07T00:00:00"/>
    <x v="0"/>
    <x v="5"/>
    <x v="1"/>
    <n v="600"/>
    <n v="1"/>
    <n v="600"/>
    <x v="8"/>
    <x v="2"/>
  </r>
  <r>
    <n v="982"/>
    <d v="2021-09-08T00:00:00"/>
    <x v="0"/>
    <x v="1"/>
    <x v="0"/>
    <n v="900"/>
    <n v="1"/>
    <n v="900"/>
    <x v="8"/>
    <x v="2"/>
  </r>
  <r>
    <n v="983"/>
    <d v="2021-09-09T00:00:00"/>
    <x v="0"/>
    <x v="5"/>
    <x v="1"/>
    <n v="600"/>
    <n v="1"/>
    <n v="600"/>
    <x v="8"/>
    <x v="2"/>
  </r>
  <r>
    <n v="984"/>
    <d v="2021-09-10T00:00:00"/>
    <x v="0"/>
    <x v="2"/>
    <x v="0"/>
    <n v="900"/>
    <n v="1"/>
    <n v="900"/>
    <x v="8"/>
    <x v="2"/>
  </r>
  <r>
    <n v="985"/>
    <d v="2021-09-11T00:00:00"/>
    <x v="0"/>
    <x v="0"/>
    <x v="0"/>
    <n v="1100"/>
    <n v="2"/>
    <n v="2200"/>
    <x v="8"/>
    <x v="2"/>
  </r>
  <r>
    <n v="986"/>
    <d v="2021-09-12T00:00:00"/>
    <x v="0"/>
    <x v="5"/>
    <x v="1"/>
    <n v="600"/>
    <n v="1"/>
    <n v="600"/>
    <x v="8"/>
    <x v="2"/>
  </r>
  <r>
    <n v="987"/>
    <d v="2021-09-13T00:00:00"/>
    <x v="0"/>
    <x v="5"/>
    <x v="1"/>
    <n v="600"/>
    <n v="1"/>
    <n v="600"/>
    <x v="8"/>
    <x v="2"/>
  </r>
  <r>
    <n v="988"/>
    <d v="2021-09-14T00:00:00"/>
    <x v="0"/>
    <x v="2"/>
    <x v="0"/>
    <n v="900"/>
    <n v="1"/>
    <n v="900"/>
    <x v="8"/>
    <x v="2"/>
  </r>
  <r>
    <n v="989"/>
    <d v="2021-09-15T00:00:00"/>
    <x v="0"/>
    <x v="0"/>
    <x v="0"/>
    <n v="1100"/>
    <n v="1"/>
    <n v="1100"/>
    <x v="8"/>
    <x v="2"/>
  </r>
  <r>
    <n v="990"/>
    <d v="2021-09-16T00:00:00"/>
    <x v="0"/>
    <x v="5"/>
    <x v="1"/>
    <n v="600"/>
    <n v="1"/>
    <n v="600"/>
    <x v="8"/>
    <x v="2"/>
  </r>
  <r>
    <n v="991"/>
    <d v="2021-09-17T00:00:00"/>
    <x v="0"/>
    <x v="9"/>
    <x v="3"/>
    <n v="600"/>
    <n v="1"/>
    <n v="600"/>
    <x v="8"/>
    <x v="2"/>
  </r>
  <r>
    <n v="992"/>
    <d v="2021-09-18T00:00:00"/>
    <x v="0"/>
    <x v="5"/>
    <x v="1"/>
    <n v="600"/>
    <n v="1"/>
    <n v="600"/>
    <x v="8"/>
    <x v="2"/>
  </r>
  <r>
    <n v="993"/>
    <d v="2021-09-19T00:00:00"/>
    <x v="0"/>
    <x v="9"/>
    <x v="3"/>
    <n v="600"/>
    <n v="1"/>
    <n v="600"/>
    <x v="8"/>
    <x v="2"/>
  </r>
  <r>
    <n v="994"/>
    <d v="2021-09-20T00:00:00"/>
    <x v="0"/>
    <x v="9"/>
    <x v="3"/>
    <n v="600"/>
    <n v="2"/>
    <n v="1200"/>
    <x v="8"/>
    <x v="2"/>
  </r>
  <r>
    <n v="995"/>
    <d v="2021-09-21T00:00:00"/>
    <x v="0"/>
    <x v="5"/>
    <x v="1"/>
    <n v="600"/>
    <n v="1"/>
    <n v="600"/>
    <x v="8"/>
    <x v="2"/>
  </r>
  <r>
    <n v="996"/>
    <d v="2021-09-22T00:00:00"/>
    <x v="0"/>
    <x v="0"/>
    <x v="0"/>
    <n v="1100"/>
    <n v="3"/>
    <n v="3300"/>
    <x v="8"/>
    <x v="2"/>
  </r>
  <r>
    <n v="997"/>
    <d v="2021-09-23T00:00:00"/>
    <x v="0"/>
    <x v="0"/>
    <x v="0"/>
    <n v="1100"/>
    <n v="1"/>
    <n v="1100"/>
    <x v="8"/>
    <x v="2"/>
  </r>
  <r>
    <n v="998"/>
    <d v="2021-09-24T00:00:00"/>
    <x v="0"/>
    <x v="6"/>
    <x v="2"/>
    <n v="850"/>
    <n v="1"/>
    <n v="850"/>
    <x v="8"/>
    <x v="2"/>
  </r>
  <r>
    <n v="999"/>
    <d v="2021-09-25T00:00:00"/>
    <x v="0"/>
    <x v="7"/>
    <x v="2"/>
    <n v="1200"/>
    <n v="1"/>
    <n v="1200"/>
    <x v="8"/>
    <x v="2"/>
  </r>
  <r>
    <n v="1000"/>
    <d v="2021-09-26T00:00:00"/>
    <x v="0"/>
    <x v="4"/>
    <x v="1"/>
    <n v="800"/>
    <n v="1"/>
    <n v="800"/>
    <x v="8"/>
    <x v="2"/>
  </r>
  <r>
    <n v="1001"/>
    <d v="2021-09-27T00:00:00"/>
    <x v="0"/>
    <x v="2"/>
    <x v="0"/>
    <n v="900"/>
    <n v="1"/>
    <n v="900"/>
    <x v="8"/>
    <x v="2"/>
  </r>
  <r>
    <n v="1002"/>
    <d v="2021-09-28T00:00:00"/>
    <x v="0"/>
    <x v="0"/>
    <x v="0"/>
    <n v="1100"/>
    <n v="1"/>
    <n v="1100"/>
    <x v="8"/>
    <x v="2"/>
  </r>
  <r>
    <n v="1003"/>
    <d v="2021-09-29T00:00:00"/>
    <x v="0"/>
    <x v="1"/>
    <x v="0"/>
    <n v="900"/>
    <n v="1"/>
    <n v="900"/>
    <x v="8"/>
    <x v="2"/>
  </r>
  <r>
    <n v="1004"/>
    <d v="2021-09-30T00:00:00"/>
    <x v="0"/>
    <x v="0"/>
    <x v="0"/>
    <n v="1100"/>
    <n v="1"/>
    <n v="1100"/>
    <x v="8"/>
    <x v="2"/>
  </r>
  <r>
    <n v="1005"/>
    <d v="2021-10-01T00:00:00"/>
    <x v="0"/>
    <x v="8"/>
    <x v="3"/>
    <n v="900"/>
    <n v="1"/>
    <n v="900"/>
    <x v="9"/>
    <x v="2"/>
  </r>
  <r>
    <n v="1006"/>
    <d v="2021-10-02T00:00:00"/>
    <x v="0"/>
    <x v="8"/>
    <x v="3"/>
    <n v="500"/>
    <n v="1"/>
    <n v="500"/>
    <x v="9"/>
    <x v="2"/>
  </r>
  <r>
    <n v="1007"/>
    <d v="2021-10-03T00:00:00"/>
    <x v="0"/>
    <x v="3"/>
    <x v="0"/>
    <n v="1000"/>
    <n v="1"/>
    <n v="1000"/>
    <x v="9"/>
    <x v="2"/>
  </r>
  <r>
    <n v="1008"/>
    <d v="2021-10-04T00:00:00"/>
    <x v="0"/>
    <x v="9"/>
    <x v="3"/>
    <n v="600"/>
    <n v="1"/>
    <n v="600"/>
    <x v="9"/>
    <x v="2"/>
  </r>
  <r>
    <n v="1009"/>
    <d v="2021-10-05T00:00:00"/>
    <x v="0"/>
    <x v="1"/>
    <x v="0"/>
    <n v="900"/>
    <n v="2"/>
    <n v="1800"/>
    <x v="9"/>
    <x v="2"/>
  </r>
  <r>
    <n v="1010"/>
    <d v="2021-10-06T00:00:00"/>
    <x v="0"/>
    <x v="6"/>
    <x v="2"/>
    <n v="850"/>
    <n v="1"/>
    <n v="850"/>
    <x v="9"/>
    <x v="2"/>
  </r>
  <r>
    <n v="1011"/>
    <d v="2021-10-07T00:00:00"/>
    <x v="0"/>
    <x v="4"/>
    <x v="1"/>
    <n v="800"/>
    <n v="1"/>
    <n v="800"/>
    <x v="9"/>
    <x v="2"/>
  </r>
  <r>
    <n v="1012"/>
    <d v="2021-10-08T00:00:00"/>
    <x v="0"/>
    <x v="1"/>
    <x v="0"/>
    <n v="900"/>
    <n v="1"/>
    <n v="900"/>
    <x v="9"/>
    <x v="2"/>
  </r>
  <r>
    <n v="1013"/>
    <d v="2021-10-09T00:00:00"/>
    <x v="0"/>
    <x v="1"/>
    <x v="0"/>
    <n v="900"/>
    <n v="1"/>
    <n v="900"/>
    <x v="9"/>
    <x v="2"/>
  </r>
  <r>
    <n v="1014"/>
    <d v="2021-10-10T00:00:00"/>
    <x v="0"/>
    <x v="0"/>
    <x v="0"/>
    <n v="1100"/>
    <n v="1"/>
    <n v="1100"/>
    <x v="9"/>
    <x v="2"/>
  </r>
  <r>
    <n v="1015"/>
    <d v="2021-10-11T00:00:00"/>
    <x v="0"/>
    <x v="2"/>
    <x v="0"/>
    <n v="900"/>
    <n v="1"/>
    <n v="900"/>
    <x v="9"/>
    <x v="2"/>
  </r>
  <r>
    <n v="1016"/>
    <d v="2021-10-12T00:00:00"/>
    <x v="0"/>
    <x v="5"/>
    <x v="1"/>
    <n v="600"/>
    <n v="1"/>
    <n v="600"/>
    <x v="9"/>
    <x v="2"/>
  </r>
  <r>
    <n v="1017"/>
    <d v="2021-10-13T00:00:00"/>
    <x v="0"/>
    <x v="5"/>
    <x v="1"/>
    <n v="600"/>
    <n v="1"/>
    <n v="600"/>
    <x v="9"/>
    <x v="2"/>
  </r>
  <r>
    <n v="1018"/>
    <d v="2021-10-14T00:00:00"/>
    <x v="0"/>
    <x v="2"/>
    <x v="0"/>
    <n v="900"/>
    <n v="1"/>
    <n v="900"/>
    <x v="9"/>
    <x v="2"/>
  </r>
  <r>
    <n v="1019"/>
    <d v="2021-10-15T00:00:00"/>
    <x v="0"/>
    <x v="6"/>
    <x v="2"/>
    <n v="850"/>
    <n v="1"/>
    <n v="850"/>
    <x v="9"/>
    <x v="2"/>
  </r>
  <r>
    <n v="1020"/>
    <d v="2021-10-16T00:00:00"/>
    <x v="0"/>
    <x v="2"/>
    <x v="0"/>
    <n v="900"/>
    <n v="1"/>
    <n v="900"/>
    <x v="9"/>
    <x v="2"/>
  </r>
  <r>
    <n v="1021"/>
    <d v="2021-10-17T00:00:00"/>
    <x v="0"/>
    <x v="5"/>
    <x v="1"/>
    <n v="600"/>
    <n v="1"/>
    <n v="600"/>
    <x v="9"/>
    <x v="2"/>
  </r>
  <r>
    <n v="1022"/>
    <d v="2021-10-18T00:00:00"/>
    <x v="1"/>
    <x v="5"/>
    <x v="1"/>
    <n v="600"/>
    <n v="1"/>
    <n v="600"/>
    <x v="9"/>
    <x v="2"/>
  </r>
  <r>
    <n v="1023"/>
    <d v="2021-10-19T00:00:00"/>
    <x v="1"/>
    <x v="0"/>
    <x v="0"/>
    <n v="1100"/>
    <n v="1"/>
    <n v="1100"/>
    <x v="9"/>
    <x v="2"/>
  </r>
  <r>
    <n v="1024"/>
    <d v="2021-10-20T00:00:00"/>
    <x v="1"/>
    <x v="1"/>
    <x v="0"/>
    <n v="900"/>
    <n v="1"/>
    <n v="900"/>
    <x v="9"/>
    <x v="2"/>
  </r>
  <r>
    <n v="1025"/>
    <d v="2021-10-21T00:00:00"/>
    <x v="1"/>
    <x v="0"/>
    <x v="0"/>
    <n v="1100"/>
    <n v="1"/>
    <n v="1100"/>
    <x v="9"/>
    <x v="2"/>
  </r>
  <r>
    <n v="1026"/>
    <d v="2021-10-22T00:00:00"/>
    <x v="1"/>
    <x v="5"/>
    <x v="1"/>
    <n v="600"/>
    <n v="1"/>
    <n v="600"/>
    <x v="9"/>
    <x v="2"/>
  </r>
  <r>
    <n v="1027"/>
    <d v="2021-10-23T00:00:00"/>
    <x v="1"/>
    <x v="7"/>
    <x v="2"/>
    <n v="1200"/>
    <n v="1"/>
    <n v="1200"/>
    <x v="9"/>
    <x v="2"/>
  </r>
  <r>
    <n v="1028"/>
    <d v="2021-10-24T00:00:00"/>
    <x v="1"/>
    <x v="9"/>
    <x v="3"/>
    <n v="600"/>
    <n v="1"/>
    <n v="600"/>
    <x v="9"/>
    <x v="2"/>
  </r>
  <r>
    <n v="1029"/>
    <d v="2021-10-25T00:00:00"/>
    <x v="1"/>
    <x v="0"/>
    <x v="0"/>
    <n v="1100"/>
    <n v="1"/>
    <n v="1100"/>
    <x v="9"/>
    <x v="2"/>
  </r>
  <r>
    <n v="1030"/>
    <d v="2021-10-26T00:00:00"/>
    <x v="1"/>
    <x v="8"/>
    <x v="3"/>
    <n v="500"/>
    <n v="1"/>
    <n v="500"/>
    <x v="9"/>
    <x v="2"/>
  </r>
  <r>
    <n v="1031"/>
    <d v="2021-10-27T00:00:00"/>
    <x v="0"/>
    <x v="1"/>
    <x v="0"/>
    <n v="900"/>
    <n v="1"/>
    <n v="900"/>
    <x v="9"/>
    <x v="2"/>
  </r>
  <r>
    <n v="1032"/>
    <d v="2021-10-28T00:00:00"/>
    <x v="0"/>
    <x v="6"/>
    <x v="2"/>
    <n v="850"/>
    <n v="1"/>
    <n v="850"/>
    <x v="9"/>
    <x v="2"/>
  </r>
  <r>
    <n v="1033"/>
    <d v="2021-10-29T00:00:00"/>
    <x v="0"/>
    <x v="5"/>
    <x v="1"/>
    <n v="600"/>
    <n v="1"/>
    <n v="600"/>
    <x v="9"/>
    <x v="2"/>
  </r>
  <r>
    <n v="1034"/>
    <d v="2021-10-30T00:00:00"/>
    <x v="0"/>
    <x v="0"/>
    <x v="0"/>
    <n v="1100"/>
    <n v="1"/>
    <n v="1100"/>
    <x v="9"/>
    <x v="2"/>
  </r>
  <r>
    <n v="1035"/>
    <d v="2021-10-31T00:00:00"/>
    <x v="0"/>
    <x v="8"/>
    <x v="3"/>
    <n v="500"/>
    <n v="1"/>
    <n v="500"/>
    <x v="9"/>
    <x v="2"/>
  </r>
  <r>
    <n v="1036"/>
    <d v="2021-11-01T00:00:00"/>
    <x v="0"/>
    <x v="5"/>
    <x v="1"/>
    <n v="600"/>
    <n v="1"/>
    <n v="600"/>
    <x v="10"/>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38">
  <r>
    <n v="1"/>
    <x v="0"/>
    <x v="0"/>
    <x v="0"/>
    <x v="0"/>
    <n v="1100"/>
    <n v="1"/>
    <n v="1100"/>
    <n v="1100"/>
    <x v="0"/>
    <x v="0"/>
  </r>
  <r>
    <n v="2"/>
    <x v="1"/>
    <x v="0"/>
    <x v="0"/>
    <x v="0"/>
    <n v="1100"/>
    <n v="1"/>
    <n v="1100"/>
    <n v="1100"/>
    <x v="0"/>
    <x v="1"/>
  </r>
  <r>
    <n v="3"/>
    <x v="2"/>
    <x v="0"/>
    <x v="0"/>
    <x v="0"/>
    <n v="1100"/>
    <n v="1"/>
    <n v="1100"/>
    <n v="1100"/>
    <x v="0"/>
    <x v="2"/>
  </r>
  <r>
    <n v="4"/>
    <x v="3"/>
    <x v="0"/>
    <x v="0"/>
    <x v="0"/>
    <n v="1100"/>
    <n v="1"/>
    <n v="1100"/>
    <n v="1100"/>
    <x v="0"/>
    <x v="3"/>
  </r>
  <r>
    <n v="5"/>
    <x v="4"/>
    <x v="0"/>
    <x v="0"/>
    <x v="0"/>
    <n v="1100"/>
    <n v="1"/>
    <n v="1100"/>
    <n v="1100"/>
    <x v="0"/>
    <x v="4"/>
  </r>
  <r>
    <n v="6"/>
    <x v="5"/>
    <x v="0"/>
    <x v="0"/>
    <x v="0"/>
    <n v="1100"/>
    <n v="1"/>
    <n v="1100"/>
    <n v="1100"/>
    <x v="0"/>
    <x v="5"/>
  </r>
  <r>
    <n v="7"/>
    <x v="6"/>
    <x v="0"/>
    <x v="0"/>
    <x v="0"/>
    <n v="1100"/>
    <n v="2"/>
    <n v="2200"/>
    <n v="2200"/>
    <x v="0"/>
    <x v="6"/>
  </r>
  <r>
    <n v="8"/>
    <x v="7"/>
    <x v="0"/>
    <x v="0"/>
    <x v="0"/>
    <n v="1100"/>
    <n v="1"/>
    <n v="1100"/>
    <n v="1100"/>
    <x v="0"/>
    <x v="7"/>
  </r>
  <r>
    <n v="9"/>
    <x v="8"/>
    <x v="0"/>
    <x v="0"/>
    <x v="0"/>
    <n v="1100"/>
    <n v="1"/>
    <n v="1100"/>
    <n v="1100"/>
    <x v="0"/>
    <x v="8"/>
  </r>
  <r>
    <n v="10"/>
    <x v="9"/>
    <x v="0"/>
    <x v="1"/>
    <x v="0"/>
    <n v="900"/>
    <n v="1"/>
    <n v="900"/>
    <n v="900"/>
    <x v="0"/>
    <x v="9"/>
  </r>
  <r>
    <n v="11"/>
    <x v="10"/>
    <x v="1"/>
    <x v="1"/>
    <x v="0"/>
    <n v="900"/>
    <n v="1"/>
    <n v="900"/>
    <n v="900"/>
    <x v="0"/>
    <x v="10"/>
  </r>
  <r>
    <n v="12"/>
    <x v="11"/>
    <x v="1"/>
    <x v="1"/>
    <x v="0"/>
    <n v="900"/>
    <n v="1"/>
    <n v="900"/>
    <n v="900"/>
    <x v="0"/>
    <x v="11"/>
  </r>
  <r>
    <n v="13"/>
    <x v="12"/>
    <x v="1"/>
    <x v="1"/>
    <x v="0"/>
    <n v="900"/>
    <n v="2"/>
    <n v="1800"/>
    <n v="1800"/>
    <x v="0"/>
    <x v="12"/>
  </r>
  <r>
    <n v="14"/>
    <x v="13"/>
    <x v="1"/>
    <x v="1"/>
    <x v="0"/>
    <n v="900"/>
    <n v="1"/>
    <n v="900"/>
    <n v="900"/>
    <x v="0"/>
    <x v="13"/>
  </r>
  <r>
    <n v="15"/>
    <x v="14"/>
    <x v="1"/>
    <x v="1"/>
    <x v="0"/>
    <n v="900"/>
    <n v="1"/>
    <n v="900"/>
    <n v="900"/>
    <x v="0"/>
    <x v="14"/>
  </r>
  <r>
    <n v="16"/>
    <x v="15"/>
    <x v="1"/>
    <x v="0"/>
    <x v="0"/>
    <n v="1100"/>
    <n v="1"/>
    <n v="1100"/>
    <n v="1100"/>
    <x v="0"/>
    <x v="15"/>
  </r>
  <r>
    <n v="17"/>
    <x v="16"/>
    <x v="1"/>
    <x v="1"/>
    <x v="0"/>
    <n v="900"/>
    <n v="1"/>
    <n v="900"/>
    <n v="900"/>
    <x v="0"/>
    <x v="16"/>
  </r>
  <r>
    <n v="18"/>
    <x v="17"/>
    <x v="1"/>
    <x v="0"/>
    <x v="0"/>
    <n v="1100"/>
    <n v="2"/>
    <n v="2200"/>
    <n v="2200"/>
    <x v="0"/>
    <x v="17"/>
  </r>
  <r>
    <n v="19"/>
    <x v="18"/>
    <x v="1"/>
    <x v="0"/>
    <x v="0"/>
    <n v="1100"/>
    <n v="1"/>
    <n v="1100"/>
    <n v="1100"/>
    <x v="0"/>
    <x v="18"/>
  </r>
  <r>
    <n v="20"/>
    <x v="19"/>
    <x v="0"/>
    <x v="1"/>
    <x v="0"/>
    <n v="900"/>
    <n v="1"/>
    <n v="900"/>
    <n v="900"/>
    <x v="0"/>
    <x v="19"/>
  </r>
  <r>
    <n v="21"/>
    <x v="20"/>
    <x v="0"/>
    <x v="1"/>
    <x v="0"/>
    <n v="900"/>
    <n v="1"/>
    <n v="900"/>
    <n v="900"/>
    <x v="0"/>
    <x v="20"/>
  </r>
  <r>
    <n v="22"/>
    <x v="21"/>
    <x v="0"/>
    <x v="2"/>
    <x v="0"/>
    <n v="900"/>
    <n v="1"/>
    <n v="900"/>
    <n v="900"/>
    <x v="0"/>
    <x v="21"/>
  </r>
  <r>
    <n v="23"/>
    <x v="22"/>
    <x v="0"/>
    <x v="0"/>
    <x v="0"/>
    <n v="1100"/>
    <n v="1"/>
    <n v="1100"/>
    <n v="1100"/>
    <x v="0"/>
    <x v="22"/>
  </r>
  <r>
    <n v="24"/>
    <x v="23"/>
    <x v="0"/>
    <x v="0"/>
    <x v="0"/>
    <n v="1100"/>
    <n v="1"/>
    <n v="1100"/>
    <n v="1100"/>
    <x v="0"/>
    <x v="23"/>
  </r>
  <r>
    <n v="25"/>
    <x v="24"/>
    <x v="0"/>
    <x v="2"/>
    <x v="0"/>
    <n v="900"/>
    <n v="1"/>
    <n v="900"/>
    <n v="900"/>
    <x v="0"/>
    <x v="24"/>
  </r>
  <r>
    <n v="26"/>
    <x v="25"/>
    <x v="0"/>
    <x v="1"/>
    <x v="0"/>
    <n v="900"/>
    <n v="1"/>
    <n v="900"/>
    <n v="900"/>
    <x v="0"/>
    <x v="25"/>
  </r>
  <r>
    <n v="27"/>
    <x v="26"/>
    <x v="0"/>
    <x v="2"/>
    <x v="0"/>
    <n v="900"/>
    <n v="1"/>
    <n v="900"/>
    <n v="900"/>
    <x v="0"/>
    <x v="26"/>
  </r>
  <r>
    <n v="28"/>
    <x v="27"/>
    <x v="0"/>
    <x v="0"/>
    <x v="0"/>
    <n v="1100"/>
    <n v="1"/>
    <n v="1100"/>
    <n v="1100"/>
    <x v="0"/>
    <x v="27"/>
  </r>
  <r>
    <n v="29"/>
    <x v="28"/>
    <x v="0"/>
    <x v="0"/>
    <x v="0"/>
    <n v="1100"/>
    <n v="1"/>
    <n v="1100"/>
    <n v="1100"/>
    <x v="0"/>
    <x v="28"/>
  </r>
  <r>
    <n v="30"/>
    <x v="29"/>
    <x v="0"/>
    <x v="2"/>
    <x v="0"/>
    <n v="900"/>
    <n v="1"/>
    <n v="900"/>
    <n v="900"/>
    <x v="0"/>
    <x v="29"/>
  </r>
  <r>
    <n v="31"/>
    <x v="30"/>
    <x v="0"/>
    <x v="2"/>
    <x v="0"/>
    <n v="900"/>
    <n v="1"/>
    <n v="900"/>
    <n v="900"/>
    <x v="0"/>
    <x v="30"/>
  </r>
  <r>
    <n v="32"/>
    <x v="31"/>
    <x v="0"/>
    <x v="2"/>
    <x v="0"/>
    <n v="900"/>
    <n v="1"/>
    <n v="900"/>
    <n v="900"/>
    <x v="0"/>
    <x v="0"/>
  </r>
  <r>
    <n v="33"/>
    <x v="32"/>
    <x v="0"/>
    <x v="2"/>
    <x v="0"/>
    <n v="900"/>
    <n v="1"/>
    <n v="900"/>
    <n v="900"/>
    <x v="0"/>
    <x v="1"/>
  </r>
  <r>
    <n v="34"/>
    <x v="33"/>
    <x v="0"/>
    <x v="2"/>
    <x v="0"/>
    <n v="900"/>
    <n v="1"/>
    <n v="900"/>
    <n v="900"/>
    <x v="0"/>
    <x v="2"/>
  </r>
  <r>
    <n v="35"/>
    <x v="34"/>
    <x v="0"/>
    <x v="1"/>
    <x v="0"/>
    <n v="900"/>
    <n v="1"/>
    <n v="900"/>
    <n v="900"/>
    <x v="0"/>
    <x v="3"/>
  </r>
  <r>
    <n v="36"/>
    <x v="35"/>
    <x v="0"/>
    <x v="1"/>
    <x v="0"/>
    <n v="900"/>
    <n v="1"/>
    <n v="900"/>
    <n v="900"/>
    <x v="0"/>
    <x v="4"/>
  </r>
  <r>
    <n v="37"/>
    <x v="36"/>
    <x v="0"/>
    <x v="1"/>
    <x v="0"/>
    <n v="900"/>
    <n v="1"/>
    <n v="900"/>
    <n v="900"/>
    <x v="0"/>
    <x v="5"/>
  </r>
  <r>
    <n v="38"/>
    <x v="37"/>
    <x v="0"/>
    <x v="0"/>
    <x v="0"/>
    <n v="1100"/>
    <n v="1"/>
    <n v="1100"/>
    <n v="1100"/>
    <x v="0"/>
    <x v="6"/>
  </r>
  <r>
    <n v="39"/>
    <x v="38"/>
    <x v="0"/>
    <x v="0"/>
    <x v="0"/>
    <n v="1100"/>
    <n v="1"/>
    <n v="1100"/>
    <n v="1100"/>
    <x v="0"/>
    <x v="7"/>
  </r>
  <r>
    <n v="40"/>
    <x v="39"/>
    <x v="0"/>
    <x v="3"/>
    <x v="0"/>
    <n v="1000"/>
    <n v="1"/>
    <n v="1000"/>
    <n v="1000"/>
    <x v="0"/>
    <x v="8"/>
  </r>
  <r>
    <n v="41"/>
    <x v="40"/>
    <x v="0"/>
    <x v="3"/>
    <x v="0"/>
    <n v="1000"/>
    <n v="1"/>
    <n v="1000"/>
    <n v="1000"/>
    <x v="0"/>
    <x v="9"/>
  </r>
  <r>
    <n v="42"/>
    <x v="41"/>
    <x v="0"/>
    <x v="0"/>
    <x v="0"/>
    <n v="1100"/>
    <n v="1"/>
    <n v="1100"/>
    <n v="1100"/>
    <x v="0"/>
    <x v="10"/>
  </r>
  <r>
    <n v="43"/>
    <x v="42"/>
    <x v="0"/>
    <x v="3"/>
    <x v="0"/>
    <n v="1000"/>
    <n v="1"/>
    <n v="1000"/>
    <n v="1000"/>
    <x v="0"/>
    <x v="11"/>
  </r>
  <r>
    <n v="44"/>
    <x v="43"/>
    <x v="0"/>
    <x v="1"/>
    <x v="0"/>
    <n v="900"/>
    <n v="1"/>
    <n v="900"/>
    <n v="900"/>
    <x v="0"/>
    <x v="12"/>
  </r>
  <r>
    <n v="45"/>
    <x v="44"/>
    <x v="0"/>
    <x v="1"/>
    <x v="0"/>
    <n v="900"/>
    <n v="2"/>
    <n v="1800"/>
    <n v="1800"/>
    <x v="0"/>
    <x v="13"/>
  </r>
  <r>
    <n v="46"/>
    <x v="45"/>
    <x v="0"/>
    <x v="0"/>
    <x v="0"/>
    <n v="1100"/>
    <n v="1"/>
    <n v="1100"/>
    <n v="1100"/>
    <x v="0"/>
    <x v="14"/>
  </r>
  <r>
    <n v="47"/>
    <x v="46"/>
    <x v="0"/>
    <x v="1"/>
    <x v="0"/>
    <n v="900"/>
    <n v="1"/>
    <n v="900"/>
    <n v="900"/>
    <x v="0"/>
    <x v="15"/>
  </r>
  <r>
    <n v="48"/>
    <x v="47"/>
    <x v="0"/>
    <x v="0"/>
    <x v="0"/>
    <n v="1100"/>
    <n v="1"/>
    <n v="1100"/>
    <n v="1100"/>
    <x v="0"/>
    <x v="16"/>
  </r>
  <r>
    <n v="49"/>
    <x v="48"/>
    <x v="0"/>
    <x v="4"/>
    <x v="1"/>
    <n v="800"/>
    <n v="1"/>
    <n v="800"/>
    <n v="800"/>
    <x v="0"/>
    <x v="17"/>
  </r>
  <r>
    <n v="50"/>
    <x v="49"/>
    <x v="0"/>
    <x v="4"/>
    <x v="1"/>
    <n v="800"/>
    <n v="2"/>
    <n v="1600"/>
    <n v="1600"/>
    <x v="0"/>
    <x v="18"/>
  </r>
  <r>
    <n v="51"/>
    <x v="50"/>
    <x v="0"/>
    <x v="2"/>
    <x v="0"/>
    <n v="900"/>
    <n v="1"/>
    <n v="900"/>
    <n v="900"/>
    <x v="0"/>
    <x v="19"/>
  </r>
  <r>
    <n v="52"/>
    <x v="51"/>
    <x v="0"/>
    <x v="0"/>
    <x v="0"/>
    <n v="1100"/>
    <n v="1"/>
    <n v="1100"/>
    <n v="1100"/>
    <x v="0"/>
    <x v="20"/>
  </r>
  <r>
    <n v="49"/>
    <x v="48"/>
    <x v="0"/>
    <x v="4"/>
    <x v="1"/>
    <n v="800"/>
    <n v="1"/>
    <n v="800"/>
    <n v="800"/>
    <x v="0"/>
    <x v="17"/>
  </r>
  <r>
    <n v="53"/>
    <x v="52"/>
    <x v="0"/>
    <x v="4"/>
    <x v="1"/>
    <n v="800"/>
    <n v="1"/>
    <n v="800"/>
    <n v="800"/>
    <x v="0"/>
    <x v="21"/>
  </r>
  <r>
    <n v="54"/>
    <x v="53"/>
    <x v="0"/>
    <x v="3"/>
    <x v="0"/>
    <n v="1000"/>
    <n v="1"/>
    <n v="1000"/>
    <n v="1000"/>
    <x v="0"/>
    <x v="22"/>
  </r>
  <r>
    <n v="55"/>
    <x v="54"/>
    <x v="0"/>
    <x v="4"/>
    <x v="1"/>
    <n v="800"/>
    <n v="1"/>
    <n v="800"/>
    <n v="800"/>
    <x v="0"/>
    <x v="23"/>
  </r>
  <r>
    <n v="56"/>
    <x v="55"/>
    <x v="0"/>
    <x v="5"/>
    <x v="1"/>
    <n v="600"/>
    <n v="1"/>
    <n v="600"/>
    <n v="600"/>
    <x v="0"/>
    <x v="24"/>
  </r>
  <r>
    <n v="57"/>
    <x v="56"/>
    <x v="0"/>
    <x v="1"/>
    <x v="0"/>
    <n v="900"/>
    <n v="1"/>
    <n v="900"/>
    <n v="900"/>
    <x v="0"/>
    <x v="25"/>
  </r>
  <r>
    <n v="58"/>
    <x v="57"/>
    <x v="0"/>
    <x v="0"/>
    <x v="0"/>
    <n v="1100"/>
    <n v="1"/>
    <n v="1100"/>
    <n v="1100"/>
    <x v="0"/>
    <x v="26"/>
  </r>
  <r>
    <n v="59"/>
    <x v="58"/>
    <x v="0"/>
    <x v="3"/>
    <x v="0"/>
    <n v="1000"/>
    <n v="1"/>
    <n v="1000"/>
    <n v="1000"/>
    <x v="0"/>
    <x v="27"/>
  </r>
  <r>
    <n v="60"/>
    <x v="59"/>
    <x v="0"/>
    <x v="1"/>
    <x v="0"/>
    <n v="900"/>
    <n v="1"/>
    <n v="900"/>
    <n v="900"/>
    <x v="0"/>
    <x v="0"/>
  </r>
  <r>
    <n v="61"/>
    <x v="60"/>
    <x v="0"/>
    <x v="0"/>
    <x v="0"/>
    <n v="1100"/>
    <n v="2"/>
    <n v="2200"/>
    <n v="2200"/>
    <x v="0"/>
    <x v="1"/>
  </r>
  <r>
    <n v="62"/>
    <x v="61"/>
    <x v="0"/>
    <x v="5"/>
    <x v="1"/>
    <n v="600"/>
    <n v="1"/>
    <n v="600"/>
    <n v="600"/>
    <x v="0"/>
    <x v="2"/>
  </r>
  <r>
    <n v="63"/>
    <x v="62"/>
    <x v="0"/>
    <x v="5"/>
    <x v="1"/>
    <n v="600"/>
    <n v="1"/>
    <n v="600"/>
    <n v="600"/>
    <x v="0"/>
    <x v="3"/>
  </r>
  <r>
    <n v="64"/>
    <x v="63"/>
    <x v="0"/>
    <x v="5"/>
    <x v="1"/>
    <n v="600"/>
    <n v="1"/>
    <n v="600"/>
    <n v="600"/>
    <x v="0"/>
    <x v="4"/>
  </r>
  <r>
    <n v="65"/>
    <x v="64"/>
    <x v="0"/>
    <x v="1"/>
    <x v="0"/>
    <n v="900"/>
    <n v="1"/>
    <n v="900"/>
    <n v="900"/>
    <x v="0"/>
    <x v="5"/>
  </r>
  <r>
    <n v="66"/>
    <x v="65"/>
    <x v="0"/>
    <x v="5"/>
    <x v="1"/>
    <n v="600"/>
    <n v="1"/>
    <n v="600"/>
    <n v="600"/>
    <x v="0"/>
    <x v="6"/>
  </r>
  <r>
    <n v="67"/>
    <x v="66"/>
    <x v="0"/>
    <x v="5"/>
    <x v="1"/>
    <n v="600"/>
    <n v="1"/>
    <n v="600"/>
    <n v="600"/>
    <x v="0"/>
    <x v="7"/>
  </r>
  <r>
    <n v="68"/>
    <x v="67"/>
    <x v="0"/>
    <x v="0"/>
    <x v="0"/>
    <n v="1100"/>
    <n v="1"/>
    <n v="1100"/>
    <n v="1100"/>
    <x v="0"/>
    <x v="8"/>
  </r>
  <r>
    <n v="69"/>
    <x v="68"/>
    <x v="0"/>
    <x v="2"/>
    <x v="0"/>
    <n v="900"/>
    <n v="3"/>
    <n v="2700"/>
    <n v="2700"/>
    <x v="0"/>
    <x v="9"/>
  </r>
  <r>
    <n v="70"/>
    <x v="69"/>
    <x v="0"/>
    <x v="0"/>
    <x v="0"/>
    <n v="1100"/>
    <n v="2"/>
    <n v="2200"/>
    <n v="2200"/>
    <x v="0"/>
    <x v="10"/>
  </r>
  <r>
    <n v="71"/>
    <x v="70"/>
    <x v="0"/>
    <x v="0"/>
    <x v="0"/>
    <n v="1100"/>
    <n v="1"/>
    <n v="1100"/>
    <n v="1100"/>
    <x v="0"/>
    <x v="11"/>
  </r>
  <r>
    <n v="72"/>
    <x v="71"/>
    <x v="0"/>
    <x v="5"/>
    <x v="1"/>
    <n v="600"/>
    <n v="1"/>
    <n v="600"/>
    <n v="600"/>
    <x v="0"/>
    <x v="12"/>
  </r>
  <r>
    <n v="73"/>
    <x v="72"/>
    <x v="0"/>
    <x v="1"/>
    <x v="0"/>
    <n v="900"/>
    <n v="1"/>
    <n v="900"/>
    <n v="900"/>
    <x v="0"/>
    <x v="13"/>
  </r>
  <r>
    <n v="74"/>
    <x v="73"/>
    <x v="0"/>
    <x v="5"/>
    <x v="1"/>
    <n v="600"/>
    <n v="1"/>
    <n v="600"/>
    <n v="600"/>
    <x v="0"/>
    <x v="14"/>
  </r>
  <r>
    <n v="75"/>
    <x v="74"/>
    <x v="0"/>
    <x v="5"/>
    <x v="1"/>
    <n v="600"/>
    <n v="1"/>
    <n v="600"/>
    <n v="600"/>
    <x v="0"/>
    <x v="15"/>
  </r>
  <r>
    <n v="75"/>
    <x v="74"/>
    <x v="0"/>
    <x v="5"/>
    <x v="1"/>
    <n v="600"/>
    <n v="1"/>
    <n v="600"/>
    <n v="600"/>
    <x v="0"/>
    <x v="15"/>
  </r>
  <r>
    <n v="76"/>
    <x v="75"/>
    <x v="0"/>
    <x v="1"/>
    <x v="0"/>
    <n v="900"/>
    <n v="3"/>
    <n v="2700"/>
    <n v="2700"/>
    <x v="0"/>
    <x v="16"/>
  </r>
  <r>
    <n v="77"/>
    <x v="76"/>
    <x v="0"/>
    <x v="5"/>
    <x v="1"/>
    <n v="600"/>
    <n v="1"/>
    <n v="600"/>
    <n v="600"/>
    <x v="0"/>
    <x v="17"/>
  </r>
  <r>
    <n v="78"/>
    <x v="77"/>
    <x v="0"/>
    <x v="4"/>
    <x v="1"/>
    <n v="800"/>
    <n v="1"/>
    <n v="800"/>
    <n v="800"/>
    <x v="0"/>
    <x v="18"/>
  </r>
  <r>
    <n v="79"/>
    <x v="78"/>
    <x v="0"/>
    <x v="5"/>
    <x v="1"/>
    <n v="600"/>
    <n v="1"/>
    <n v="600"/>
    <n v="600"/>
    <x v="0"/>
    <x v="19"/>
  </r>
  <r>
    <n v="80"/>
    <x v="79"/>
    <x v="0"/>
    <x v="0"/>
    <x v="0"/>
    <n v="1100"/>
    <n v="1"/>
    <n v="1100"/>
    <n v="1100"/>
    <x v="0"/>
    <x v="20"/>
  </r>
  <r>
    <n v="81"/>
    <x v="80"/>
    <x v="0"/>
    <x v="2"/>
    <x v="0"/>
    <n v="900"/>
    <n v="1"/>
    <n v="900"/>
    <n v="900"/>
    <x v="0"/>
    <x v="21"/>
  </r>
  <r>
    <n v="82"/>
    <x v="81"/>
    <x v="0"/>
    <x v="0"/>
    <x v="0"/>
    <n v="1100"/>
    <n v="1"/>
    <n v="1100"/>
    <n v="1100"/>
    <x v="0"/>
    <x v="22"/>
  </r>
  <r>
    <n v="83"/>
    <x v="82"/>
    <x v="0"/>
    <x v="0"/>
    <x v="0"/>
    <n v="1100"/>
    <n v="1"/>
    <n v="1100"/>
    <n v="1100"/>
    <x v="0"/>
    <x v="23"/>
  </r>
  <r>
    <n v="84"/>
    <x v="83"/>
    <x v="0"/>
    <x v="0"/>
    <x v="0"/>
    <n v="1100"/>
    <n v="1"/>
    <n v="1100"/>
    <n v="1100"/>
    <x v="0"/>
    <x v="24"/>
  </r>
  <r>
    <n v="85"/>
    <x v="84"/>
    <x v="0"/>
    <x v="3"/>
    <x v="0"/>
    <n v="1000"/>
    <n v="1"/>
    <n v="1000"/>
    <n v="1000"/>
    <x v="0"/>
    <x v="25"/>
  </r>
  <r>
    <n v="86"/>
    <x v="85"/>
    <x v="0"/>
    <x v="5"/>
    <x v="1"/>
    <n v="600"/>
    <n v="1"/>
    <n v="600"/>
    <n v="600"/>
    <x v="0"/>
    <x v="26"/>
  </r>
  <r>
    <n v="87"/>
    <x v="86"/>
    <x v="0"/>
    <x v="4"/>
    <x v="1"/>
    <n v="800"/>
    <n v="1"/>
    <n v="800"/>
    <n v="800"/>
    <x v="0"/>
    <x v="27"/>
  </r>
  <r>
    <n v="88"/>
    <x v="87"/>
    <x v="0"/>
    <x v="0"/>
    <x v="0"/>
    <n v="1100"/>
    <n v="1"/>
    <n v="1100"/>
    <n v="1100"/>
    <x v="0"/>
    <x v="28"/>
  </r>
  <r>
    <n v="89"/>
    <x v="88"/>
    <x v="0"/>
    <x v="5"/>
    <x v="1"/>
    <n v="600"/>
    <n v="1"/>
    <n v="600"/>
    <n v="600"/>
    <x v="0"/>
    <x v="29"/>
  </r>
  <r>
    <n v="90"/>
    <x v="89"/>
    <x v="0"/>
    <x v="6"/>
    <x v="2"/>
    <n v="850"/>
    <n v="1"/>
    <n v="850"/>
    <n v="850"/>
    <x v="0"/>
    <x v="30"/>
  </r>
  <r>
    <n v="91"/>
    <x v="90"/>
    <x v="0"/>
    <x v="2"/>
    <x v="0"/>
    <n v="900"/>
    <n v="1"/>
    <n v="900"/>
    <n v="900"/>
    <x v="0"/>
    <x v="0"/>
  </r>
  <r>
    <n v="92"/>
    <x v="91"/>
    <x v="0"/>
    <x v="3"/>
    <x v="0"/>
    <n v="1000"/>
    <n v="1"/>
    <n v="1000"/>
    <n v="1000"/>
    <x v="0"/>
    <x v="1"/>
  </r>
  <r>
    <n v="93"/>
    <x v="92"/>
    <x v="0"/>
    <x v="6"/>
    <x v="2"/>
    <n v="850"/>
    <n v="1"/>
    <n v="850"/>
    <n v="850"/>
    <x v="0"/>
    <x v="2"/>
  </r>
  <r>
    <n v="94"/>
    <x v="93"/>
    <x v="0"/>
    <x v="6"/>
    <x v="2"/>
    <n v="850"/>
    <n v="1"/>
    <n v="850"/>
    <n v="850"/>
    <x v="0"/>
    <x v="3"/>
  </r>
  <r>
    <n v="95"/>
    <x v="94"/>
    <x v="0"/>
    <x v="3"/>
    <x v="0"/>
    <n v="1000"/>
    <n v="1"/>
    <n v="1000"/>
    <n v="1000"/>
    <x v="0"/>
    <x v="4"/>
  </r>
  <r>
    <n v="96"/>
    <x v="95"/>
    <x v="0"/>
    <x v="4"/>
    <x v="1"/>
    <n v="800"/>
    <n v="1"/>
    <n v="800"/>
    <n v="800"/>
    <x v="0"/>
    <x v="5"/>
  </r>
  <r>
    <n v="97"/>
    <x v="96"/>
    <x v="0"/>
    <x v="5"/>
    <x v="1"/>
    <n v="600"/>
    <n v="1"/>
    <n v="600"/>
    <n v="600"/>
    <x v="0"/>
    <x v="6"/>
  </r>
  <r>
    <n v="98"/>
    <x v="97"/>
    <x v="0"/>
    <x v="4"/>
    <x v="1"/>
    <n v="800"/>
    <n v="1"/>
    <n v="800"/>
    <n v="800"/>
    <x v="0"/>
    <x v="7"/>
  </r>
  <r>
    <n v="99"/>
    <x v="98"/>
    <x v="0"/>
    <x v="0"/>
    <x v="0"/>
    <n v="1100"/>
    <n v="1"/>
    <n v="1100"/>
    <n v="1100"/>
    <x v="0"/>
    <x v="8"/>
  </r>
  <r>
    <n v="100"/>
    <x v="99"/>
    <x v="0"/>
    <x v="6"/>
    <x v="2"/>
    <n v="850"/>
    <n v="1"/>
    <n v="850"/>
    <n v="850"/>
    <x v="0"/>
    <x v="9"/>
  </r>
  <r>
    <n v="101"/>
    <x v="100"/>
    <x v="0"/>
    <x v="6"/>
    <x v="2"/>
    <n v="850"/>
    <n v="1"/>
    <n v="850"/>
    <n v="850"/>
    <x v="0"/>
    <x v="10"/>
  </r>
  <r>
    <n v="102"/>
    <x v="101"/>
    <x v="0"/>
    <x v="6"/>
    <x v="2"/>
    <n v="850"/>
    <n v="1"/>
    <n v="850"/>
    <n v="850"/>
    <x v="0"/>
    <x v="11"/>
  </r>
  <r>
    <n v="103"/>
    <x v="102"/>
    <x v="0"/>
    <x v="5"/>
    <x v="1"/>
    <n v="600"/>
    <n v="1"/>
    <n v="600"/>
    <n v="600"/>
    <x v="0"/>
    <x v="12"/>
  </r>
  <r>
    <n v="104"/>
    <x v="103"/>
    <x v="0"/>
    <x v="6"/>
    <x v="2"/>
    <n v="850"/>
    <n v="1"/>
    <n v="850"/>
    <n v="850"/>
    <x v="0"/>
    <x v="13"/>
  </r>
  <r>
    <n v="105"/>
    <x v="104"/>
    <x v="0"/>
    <x v="6"/>
    <x v="2"/>
    <n v="850"/>
    <n v="1"/>
    <n v="850"/>
    <n v="850"/>
    <x v="0"/>
    <x v="14"/>
  </r>
  <r>
    <n v="106"/>
    <x v="105"/>
    <x v="0"/>
    <x v="0"/>
    <x v="0"/>
    <n v="1100"/>
    <n v="1"/>
    <n v="1100"/>
    <n v="1100"/>
    <x v="0"/>
    <x v="15"/>
  </r>
  <r>
    <n v="107"/>
    <x v="106"/>
    <x v="0"/>
    <x v="3"/>
    <x v="0"/>
    <n v="1000"/>
    <n v="1"/>
    <n v="1000"/>
    <n v="1000"/>
    <x v="0"/>
    <x v="16"/>
  </r>
  <r>
    <n v="108"/>
    <x v="107"/>
    <x v="0"/>
    <x v="0"/>
    <x v="0"/>
    <n v="1100"/>
    <n v="1"/>
    <n v="1100"/>
    <n v="1100"/>
    <x v="0"/>
    <x v="17"/>
  </r>
  <r>
    <n v="109"/>
    <x v="108"/>
    <x v="0"/>
    <x v="5"/>
    <x v="1"/>
    <n v="600"/>
    <n v="1"/>
    <n v="600"/>
    <n v="600"/>
    <x v="0"/>
    <x v="18"/>
  </r>
  <r>
    <n v="110"/>
    <x v="109"/>
    <x v="0"/>
    <x v="5"/>
    <x v="1"/>
    <n v="600"/>
    <n v="2"/>
    <n v="1200"/>
    <n v="1200"/>
    <x v="0"/>
    <x v="19"/>
  </r>
  <r>
    <n v="111"/>
    <x v="110"/>
    <x v="0"/>
    <x v="5"/>
    <x v="1"/>
    <n v="600"/>
    <n v="1"/>
    <n v="600"/>
    <n v="600"/>
    <x v="0"/>
    <x v="20"/>
  </r>
  <r>
    <n v="112"/>
    <x v="111"/>
    <x v="0"/>
    <x v="5"/>
    <x v="1"/>
    <n v="600"/>
    <n v="1"/>
    <n v="600"/>
    <n v="600"/>
    <x v="0"/>
    <x v="21"/>
  </r>
  <r>
    <n v="113"/>
    <x v="112"/>
    <x v="0"/>
    <x v="0"/>
    <x v="0"/>
    <n v="1100"/>
    <n v="1"/>
    <n v="1100"/>
    <n v="1100"/>
    <x v="0"/>
    <x v="22"/>
  </r>
  <r>
    <n v="114"/>
    <x v="113"/>
    <x v="0"/>
    <x v="2"/>
    <x v="0"/>
    <n v="900"/>
    <n v="1"/>
    <n v="900"/>
    <n v="900"/>
    <x v="0"/>
    <x v="23"/>
  </r>
  <r>
    <n v="115"/>
    <x v="114"/>
    <x v="0"/>
    <x v="5"/>
    <x v="1"/>
    <n v="600"/>
    <n v="1"/>
    <n v="600"/>
    <n v="600"/>
    <x v="0"/>
    <x v="24"/>
  </r>
  <r>
    <n v="116"/>
    <x v="115"/>
    <x v="0"/>
    <x v="2"/>
    <x v="0"/>
    <n v="900"/>
    <n v="1"/>
    <n v="900"/>
    <n v="900"/>
    <x v="0"/>
    <x v="25"/>
  </r>
  <r>
    <n v="117"/>
    <x v="116"/>
    <x v="0"/>
    <x v="1"/>
    <x v="0"/>
    <n v="900"/>
    <n v="1"/>
    <n v="900"/>
    <n v="900"/>
    <x v="0"/>
    <x v="26"/>
  </r>
  <r>
    <n v="118"/>
    <x v="117"/>
    <x v="0"/>
    <x v="5"/>
    <x v="1"/>
    <n v="600"/>
    <n v="1"/>
    <n v="600"/>
    <n v="600"/>
    <x v="0"/>
    <x v="27"/>
  </r>
  <r>
    <n v="119"/>
    <x v="118"/>
    <x v="0"/>
    <x v="5"/>
    <x v="1"/>
    <n v="600"/>
    <n v="1"/>
    <n v="600"/>
    <n v="600"/>
    <x v="0"/>
    <x v="28"/>
  </r>
  <r>
    <n v="120"/>
    <x v="119"/>
    <x v="0"/>
    <x v="5"/>
    <x v="1"/>
    <n v="600"/>
    <n v="1"/>
    <n v="600"/>
    <n v="600"/>
    <x v="0"/>
    <x v="29"/>
  </r>
  <r>
    <n v="121"/>
    <x v="120"/>
    <x v="0"/>
    <x v="0"/>
    <x v="0"/>
    <n v="1100"/>
    <n v="1"/>
    <n v="1100"/>
    <n v="1100"/>
    <x v="0"/>
    <x v="0"/>
  </r>
  <r>
    <n v="122"/>
    <x v="121"/>
    <x v="0"/>
    <x v="5"/>
    <x v="1"/>
    <n v="600"/>
    <n v="1"/>
    <n v="600"/>
    <n v="600"/>
    <x v="0"/>
    <x v="1"/>
  </r>
  <r>
    <n v="123"/>
    <x v="122"/>
    <x v="0"/>
    <x v="5"/>
    <x v="1"/>
    <n v="600"/>
    <n v="1"/>
    <n v="600"/>
    <n v="600"/>
    <x v="0"/>
    <x v="2"/>
  </r>
  <r>
    <n v="124"/>
    <x v="123"/>
    <x v="0"/>
    <x v="5"/>
    <x v="1"/>
    <n v="600"/>
    <n v="1"/>
    <n v="600"/>
    <n v="600"/>
    <x v="0"/>
    <x v="3"/>
  </r>
  <r>
    <n v="125"/>
    <x v="124"/>
    <x v="0"/>
    <x v="1"/>
    <x v="0"/>
    <n v="900"/>
    <n v="1"/>
    <n v="900"/>
    <n v="900"/>
    <x v="0"/>
    <x v="4"/>
  </r>
  <r>
    <n v="126"/>
    <x v="125"/>
    <x v="0"/>
    <x v="5"/>
    <x v="1"/>
    <n v="600"/>
    <n v="1"/>
    <n v="600"/>
    <n v="600"/>
    <x v="0"/>
    <x v="5"/>
  </r>
  <r>
    <n v="127"/>
    <x v="126"/>
    <x v="0"/>
    <x v="2"/>
    <x v="0"/>
    <n v="900"/>
    <n v="1"/>
    <n v="900"/>
    <n v="900"/>
    <x v="0"/>
    <x v="6"/>
  </r>
  <r>
    <n v="128"/>
    <x v="127"/>
    <x v="0"/>
    <x v="7"/>
    <x v="2"/>
    <n v="1200"/>
    <n v="1"/>
    <n v="1200"/>
    <n v="1200"/>
    <x v="0"/>
    <x v="7"/>
  </r>
  <r>
    <n v="129"/>
    <x v="128"/>
    <x v="0"/>
    <x v="0"/>
    <x v="0"/>
    <n v="1100"/>
    <n v="1"/>
    <n v="1100"/>
    <n v="1100"/>
    <x v="0"/>
    <x v="8"/>
  </r>
  <r>
    <n v="130"/>
    <x v="129"/>
    <x v="0"/>
    <x v="0"/>
    <x v="0"/>
    <n v="1100"/>
    <n v="1"/>
    <n v="1100"/>
    <n v="1100"/>
    <x v="0"/>
    <x v="9"/>
  </r>
  <r>
    <n v="131"/>
    <x v="130"/>
    <x v="0"/>
    <x v="5"/>
    <x v="1"/>
    <n v="600"/>
    <n v="1"/>
    <n v="600"/>
    <n v="600"/>
    <x v="0"/>
    <x v="10"/>
  </r>
  <r>
    <n v="132"/>
    <x v="131"/>
    <x v="0"/>
    <x v="5"/>
    <x v="1"/>
    <n v="600"/>
    <n v="2"/>
    <n v="1200"/>
    <n v="1200"/>
    <x v="0"/>
    <x v="11"/>
  </r>
  <r>
    <n v="133"/>
    <x v="132"/>
    <x v="0"/>
    <x v="7"/>
    <x v="2"/>
    <n v="1200"/>
    <n v="1"/>
    <n v="1200"/>
    <n v="1200"/>
    <x v="0"/>
    <x v="12"/>
  </r>
  <r>
    <n v="134"/>
    <x v="133"/>
    <x v="0"/>
    <x v="7"/>
    <x v="2"/>
    <n v="1200"/>
    <n v="1"/>
    <n v="1200"/>
    <n v="1200"/>
    <x v="0"/>
    <x v="13"/>
  </r>
  <r>
    <n v="135"/>
    <x v="134"/>
    <x v="0"/>
    <x v="3"/>
    <x v="0"/>
    <n v="1000"/>
    <n v="1"/>
    <n v="1000"/>
    <n v="1000"/>
    <x v="0"/>
    <x v="14"/>
  </r>
  <r>
    <n v="136"/>
    <x v="135"/>
    <x v="0"/>
    <x v="4"/>
    <x v="1"/>
    <n v="800"/>
    <n v="2"/>
    <n v="1600"/>
    <n v="1600"/>
    <x v="0"/>
    <x v="15"/>
  </r>
  <r>
    <n v="137"/>
    <x v="136"/>
    <x v="0"/>
    <x v="7"/>
    <x v="2"/>
    <n v="1200"/>
    <n v="1"/>
    <n v="1200"/>
    <n v="1200"/>
    <x v="0"/>
    <x v="16"/>
  </r>
  <r>
    <n v="138"/>
    <x v="137"/>
    <x v="0"/>
    <x v="2"/>
    <x v="0"/>
    <n v="900"/>
    <n v="1"/>
    <n v="900"/>
    <n v="900"/>
    <x v="0"/>
    <x v="17"/>
  </r>
  <r>
    <n v="139"/>
    <x v="138"/>
    <x v="0"/>
    <x v="3"/>
    <x v="0"/>
    <n v="1000"/>
    <n v="1"/>
    <n v="1000"/>
    <n v="1000"/>
    <x v="0"/>
    <x v="18"/>
  </r>
  <r>
    <n v="140"/>
    <x v="139"/>
    <x v="0"/>
    <x v="4"/>
    <x v="1"/>
    <n v="800"/>
    <n v="1"/>
    <n v="800"/>
    <n v="800"/>
    <x v="0"/>
    <x v="19"/>
  </r>
  <r>
    <n v="141"/>
    <x v="140"/>
    <x v="0"/>
    <x v="7"/>
    <x v="2"/>
    <n v="1200"/>
    <n v="1"/>
    <n v="1200"/>
    <n v="1200"/>
    <x v="0"/>
    <x v="20"/>
  </r>
  <r>
    <n v="142"/>
    <x v="141"/>
    <x v="0"/>
    <x v="7"/>
    <x v="2"/>
    <n v="1200"/>
    <n v="1"/>
    <n v="1200"/>
    <n v="1200"/>
    <x v="0"/>
    <x v="21"/>
  </r>
  <r>
    <n v="143"/>
    <x v="142"/>
    <x v="0"/>
    <x v="4"/>
    <x v="1"/>
    <n v="800"/>
    <n v="2"/>
    <n v="1600"/>
    <n v="1600"/>
    <x v="0"/>
    <x v="22"/>
  </r>
  <r>
    <n v="144"/>
    <x v="143"/>
    <x v="0"/>
    <x v="1"/>
    <x v="0"/>
    <n v="900"/>
    <n v="1"/>
    <n v="900"/>
    <n v="900"/>
    <x v="0"/>
    <x v="23"/>
  </r>
  <r>
    <n v="145"/>
    <x v="144"/>
    <x v="0"/>
    <x v="3"/>
    <x v="0"/>
    <n v="1000"/>
    <n v="1"/>
    <n v="1000"/>
    <n v="1000"/>
    <x v="0"/>
    <x v="24"/>
  </r>
  <r>
    <n v="146"/>
    <x v="145"/>
    <x v="0"/>
    <x v="3"/>
    <x v="0"/>
    <n v="1000"/>
    <n v="1"/>
    <n v="1000"/>
    <n v="1000"/>
    <x v="0"/>
    <x v="25"/>
  </r>
  <r>
    <n v="147"/>
    <x v="146"/>
    <x v="0"/>
    <x v="5"/>
    <x v="1"/>
    <n v="600"/>
    <n v="1"/>
    <n v="600"/>
    <n v="600"/>
    <x v="0"/>
    <x v="26"/>
  </r>
  <r>
    <n v="148"/>
    <x v="147"/>
    <x v="0"/>
    <x v="6"/>
    <x v="2"/>
    <n v="850"/>
    <n v="1"/>
    <n v="850"/>
    <n v="850"/>
    <x v="0"/>
    <x v="27"/>
  </r>
  <r>
    <n v="149"/>
    <x v="148"/>
    <x v="0"/>
    <x v="5"/>
    <x v="1"/>
    <n v="600"/>
    <n v="1"/>
    <n v="600"/>
    <n v="600"/>
    <x v="0"/>
    <x v="28"/>
  </r>
  <r>
    <n v="150"/>
    <x v="149"/>
    <x v="0"/>
    <x v="6"/>
    <x v="2"/>
    <n v="850"/>
    <n v="1"/>
    <n v="850"/>
    <n v="850"/>
    <x v="0"/>
    <x v="29"/>
  </r>
  <r>
    <n v="151"/>
    <x v="150"/>
    <x v="0"/>
    <x v="6"/>
    <x v="2"/>
    <n v="850"/>
    <n v="1"/>
    <n v="850"/>
    <n v="850"/>
    <x v="0"/>
    <x v="30"/>
  </r>
  <r>
    <n v="152"/>
    <x v="151"/>
    <x v="0"/>
    <x v="1"/>
    <x v="0"/>
    <n v="900"/>
    <n v="1"/>
    <n v="900"/>
    <n v="900"/>
    <x v="0"/>
    <x v="0"/>
  </r>
  <r>
    <n v="153"/>
    <x v="152"/>
    <x v="0"/>
    <x v="7"/>
    <x v="2"/>
    <n v="1200"/>
    <n v="2"/>
    <n v="2400"/>
    <n v="2400"/>
    <x v="0"/>
    <x v="1"/>
  </r>
  <r>
    <n v="154"/>
    <x v="153"/>
    <x v="0"/>
    <x v="4"/>
    <x v="1"/>
    <n v="800"/>
    <n v="1"/>
    <n v="800"/>
    <n v="800"/>
    <x v="0"/>
    <x v="2"/>
  </r>
  <r>
    <n v="155"/>
    <x v="154"/>
    <x v="0"/>
    <x v="4"/>
    <x v="1"/>
    <n v="800"/>
    <n v="1"/>
    <n v="800"/>
    <n v="800"/>
    <x v="0"/>
    <x v="3"/>
  </r>
  <r>
    <n v="156"/>
    <x v="155"/>
    <x v="0"/>
    <x v="2"/>
    <x v="0"/>
    <n v="900"/>
    <n v="1"/>
    <n v="900"/>
    <n v="900"/>
    <x v="0"/>
    <x v="4"/>
  </r>
  <r>
    <n v="157"/>
    <x v="156"/>
    <x v="0"/>
    <x v="4"/>
    <x v="1"/>
    <n v="800"/>
    <n v="1"/>
    <n v="800"/>
    <n v="800"/>
    <x v="0"/>
    <x v="5"/>
  </r>
  <r>
    <n v="158"/>
    <x v="157"/>
    <x v="0"/>
    <x v="5"/>
    <x v="1"/>
    <n v="600"/>
    <n v="1"/>
    <n v="600"/>
    <n v="600"/>
    <x v="0"/>
    <x v="6"/>
  </r>
  <r>
    <n v="159"/>
    <x v="158"/>
    <x v="0"/>
    <x v="1"/>
    <x v="0"/>
    <n v="900"/>
    <n v="3"/>
    <n v="2700"/>
    <n v="2700"/>
    <x v="0"/>
    <x v="7"/>
  </r>
  <r>
    <n v="160"/>
    <x v="159"/>
    <x v="0"/>
    <x v="5"/>
    <x v="1"/>
    <n v="600"/>
    <n v="1"/>
    <n v="600"/>
    <n v="600"/>
    <x v="0"/>
    <x v="8"/>
  </r>
  <r>
    <n v="161"/>
    <x v="160"/>
    <x v="0"/>
    <x v="4"/>
    <x v="1"/>
    <n v="800"/>
    <n v="1"/>
    <n v="800"/>
    <n v="800"/>
    <x v="0"/>
    <x v="9"/>
  </r>
  <r>
    <n v="162"/>
    <x v="161"/>
    <x v="0"/>
    <x v="5"/>
    <x v="1"/>
    <n v="600"/>
    <n v="1"/>
    <n v="600"/>
    <n v="600"/>
    <x v="0"/>
    <x v="10"/>
  </r>
  <r>
    <n v="163"/>
    <x v="162"/>
    <x v="0"/>
    <x v="0"/>
    <x v="0"/>
    <n v="1100"/>
    <n v="1"/>
    <n v="1100"/>
    <n v="1100"/>
    <x v="0"/>
    <x v="11"/>
  </r>
  <r>
    <n v="164"/>
    <x v="163"/>
    <x v="0"/>
    <x v="2"/>
    <x v="0"/>
    <n v="900"/>
    <n v="1"/>
    <n v="900"/>
    <n v="900"/>
    <x v="0"/>
    <x v="12"/>
  </r>
  <r>
    <n v="165"/>
    <x v="164"/>
    <x v="0"/>
    <x v="0"/>
    <x v="0"/>
    <n v="1100"/>
    <n v="1"/>
    <n v="1100"/>
    <n v="1100"/>
    <x v="0"/>
    <x v="13"/>
  </r>
  <r>
    <n v="166"/>
    <x v="165"/>
    <x v="0"/>
    <x v="0"/>
    <x v="0"/>
    <n v="1100"/>
    <n v="1"/>
    <n v="1100"/>
    <n v="1100"/>
    <x v="0"/>
    <x v="14"/>
  </r>
  <r>
    <n v="167"/>
    <x v="166"/>
    <x v="0"/>
    <x v="7"/>
    <x v="2"/>
    <n v="1200"/>
    <n v="1"/>
    <n v="1200"/>
    <n v="1200"/>
    <x v="0"/>
    <x v="15"/>
  </r>
  <r>
    <n v="168"/>
    <x v="167"/>
    <x v="0"/>
    <x v="7"/>
    <x v="2"/>
    <n v="1200"/>
    <n v="1"/>
    <n v="1200"/>
    <n v="1200"/>
    <x v="0"/>
    <x v="16"/>
  </r>
  <r>
    <n v="169"/>
    <x v="168"/>
    <x v="0"/>
    <x v="0"/>
    <x v="0"/>
    <n v="1100"/>
    <n v="1"/>
    <n v="1100"/>
    <n v="1100"/>
    <x v="0"/>
    <x v="17"/>
  </r>
  <r>
    <n v="170"/>
    <x v="169"/>
    <x v="0"/>
    <x v="0"/>
    <x v="0"/>
    <n v="1100"/>
    <n v="1"/>
    <n v="1100"/>
    <n v="1100"/>
    <x v="0"/>
    <x v="18"/>
  </r>
  <r>
    <n v="171"/>
    <x v="170"/>
    <x v="0"/>
    <x v="8"/>
    <x v="3"/>
    <n v="900"/>
    <n v="1"/>
    <n v="900"/>
    <n v="900"/>
    <x v="0"/>
    <x v="19"/>
  </r>
  <r>
    <n v="172"/>
    <x v="171"/>
    <x v="0"/>
    <x v="2"/>
    <x v="0"/>
    <n v="900"/>
    <n v="1"/>
    <n v="900"/>
    <n v="900"/>
    <x v="0"/>
    <x v="20"/>
  </r>
  <r>
    <n v="173"/>
    <x v="172"/>
    <x v="0"/>
    <x v="8"/>
    <x v="3"/>
    <n v="800"/>
    <n v="1"/>
    <n v="800"/>
    <n v="800"/>
    <x v="0"/>
    <x v="21"/>
  </r>
  <r>
    <n v="174"/>
    <x v="173"/>
    <x v="0"/>
    <x v="5"/>
    <x v="1"/>
    <n v="600"/>
    <n v="1"/>
    <n v="600"/>
    <n v="600"/>
    <x v="0"/>
    <x v="22"/>
  </r>
  <r>
    <n v="175"/>
    <x v="174"/>
    <x v="0"/>
    <x v="8"/>
    <x v="3"/>
    <n v="800"/>
    <n v="1"/>
    <n v="800"/>
    <n v="800"/>
    <x v="0"/>
    <x v="23"/>
  </r>
  <r>
    <n v="176"/>
    <x v="175"/>
    <x v="0"/>
    <x v="2"/>
    <x v="0"/>
    <n v="900"/>
    <n v="1"/>
    <n v="900"/>
    <n v="900"/>
    <x v="0"/>
    <x v="24"/>
  </r>
  <r>
    <n v="177"/>
    <x v="176"/>
    <x v="0"/>
    <x v="7"/>
    <x v="2"/>
    <n v="1200"/>
    <n v="1"/>
    <n v="1200"/>
    <n v="1200"/>
    <x v="0"/>
    <x v="25"/>
  </r>
  <r>
    <n v="178"/>
    <x v="177"/>
    <x v="0"/>
    <x v="8"/>
    <x v="3"/>
    <n v="800"/>
    <n v="1"/>
    <n v="800"/>
    <n v="800"/>
    <x v="0"/>
    <x v="26"/>
  </r>
  <r>
    <n v="179"/>
    <x v="178"/>
    <x v="0"/>
    <x v="1"/>
    <x v="0"/>
    <n v="900"/>
    <n v="1"/>
    <n v="900"/>
    <n v="900"/>
    <x v="0"/>
    <x v="27"/>
  </r>
  <r>
    <n v="180"/>
    <x v="179"/>
    <x v="0"/>
    <x v="7"/>
    <x v="2"/>
    <n v="1200"/>
    <n v="1"/>
    <n v="1200"/>
    <n v="1200"/>
    <x v="0"/>
    <x v="28"/>
  </r>
  <r>
    <n v="181"/>
    <x v="180"/>
    <x v="0"/>
    <x v="0"/>
    <x v="0"/>
    <n v="1100"/>
    <n v="1"/>
    <n v="1100"/>
    <n v="1100"/>
    <x v="0"/>
    <x v="29"/>
  </r>
  <r>
    <n v="182"/>
    <x v="181"/>
    <x v="0"/>
    <x v="7"/>
    <x v="2"/>
    <n v="1200"/>
    <n v="1"/>
    <n v="1200"/>
    <n v="1200"/>
    <x v="0"/>
    <x v="0"/>
  </r>
  <r>
    <n v="183"/>
    <x v="182"/>
    <x v="0"/>
    <x v="2"/>
    <x v="0"/>
    <n v="900"/>
    <n v="1"/>
    <n v="900"/>
    <n v="900"/>
    <x v="0"/>
    <x v="1"/>
  </r>
  <r>
    <n v="184"/>
    <x v="183"/>
    <x v="0"/>
    <x v="0"/>
    <x v="0"/>
    <n v="1100"/>
    <n v="2"/>
    <n v="2200"/>
    <n v="2200"/>
    <x v="0"/>
    <x v="2"/>
  </r>
  <r>
    <n v="185"/>
    <x v="184"/>
    <x v="0"/>
    <x v="7"/>
    <x v="2"/>
    <n v="1200"/>
    <n v="1"/>
    <n v="1200"/>
    <n v="1200"/>
    <x v="0"/>
    <x v="3"/>
  </r>
  <r>
    <n v="186"/>
    <x v="185"/>
    <x v="0"/>
    <x v="0"/>
    <x v="0"/>
    <n v="1100"/>
    <n v="1"/>
    <n v="1100"/>
    <n v="1100"/>
    <x v="0"/>
    <x v="4"/>
  </r>
  <r>
    <n v="187"/>
    <x v="186"/>
    <x v="0"/>
    <x v="1"/>
    <x v="0"/>
    <n v="900"/>
    <n v="1"/>
    <n v="900"/>
    <n v="900"/>
    <x v="0"/>
    <x v="5"/>
  </r>
  <r>
    <n v="188"/>
    <x v="187"/>
    <x v="0"/>
    <x v="5"/>
    <x v="1"/>
    <n v="600"/>
    <n v="1"/>
    <n v="600"/>
    <n v="600"/>
    <x v="0"/>
    <x v="6"/>
  </r>
  <r>
    <n v="189"/>
    <x v="188"/>
    <x v="0"/>
    <x v="8"/>
    <x v="3"/>
    <n v="900"/>
    <n v="1"/>
    <n v="900"/>
    <n v="900"/>
    <x v="0"/>
    <x v="7"/>
  </r>
  <r>
    <n v="190"/>
    <x v="189"/>
    <x v="0"/>
    <x v="4"/>
    <x v="1"/>
    <n v="800"/>
    <n v="1"/>
    <n v="800"/>
    <n v="800"/>
    <x v="0"/>
    <x v="8"/>
  </r>
  <r>
    <n v="191"/>
    <x v="190"/>
    <x v="0"/>
    <x v="0"/>
    <x v="0"/>
    <n v="1100"/>
    <n v="1"/>
    <n v="1100"/>
    <n v="1100"/>
    <x v="0"/>
    <x v="9"/>
  </r>
  <r>
    <n v="192"/>
    <x v="191"/>
    <x v="0"/>
    <x v="2"/>
    <x v="0"/>
    <n v="900"/>
    <n v="1"/>
    <n v="900"/>
    <n v="900"/>
    <x v="0"/>
    <x v="10"/>
  </r>
  <r>
    <n v="193"/>
    <x v="192"/>
    <x v="0"/>
    <x v="3"/>
    <x v="0"/>
    <n v="1000"/>
    <n v="1"/>
    <n v="1000"/>
    <n v="1000"/>
    <x v="0"/>
    <x v="11"/>
  </r>
  <r>
    <n v="194"/>
    <x v="193"/>
    <x v="0"/>
    <x v="6"/>
    <x v="2"/>
    <n v="850"/>
    <n v="1"/>
    <n v="850"/>
    <n v="850"/>
    <x v="0"/>
    <x v="12"/>
  </r>
  <r>
    <n v="195"/>
    <x v="194"/>
    <x v="0"/>
    <x v="5"/>
    <x v="1"/>
    <n v="600"/>
    <n v="1"/>
    <n v="600"/>
    <n v="600"/>
    <x v="0"/>
    <x v="13"/>
  </r>
  <r>
    <n v="196"/>
    <x v="195"/>
    <x v="0"/>
    <x v="2"/>
    <x v="0"/>
    <n v="900"/>
    <n v="1"/>
    <n v="900"/>
    <n v="900"/>
    <x v="0"/>
    <x v="14"/>
  </r>
  <r>
    <n v="197"/>
    <x v="196"/>
    <x v="0"/>
    <x v="3"/>
    <x v="0"/>
    <n v="1000"/>
    <n v="1"/>
    <n v="1000"/>
    <n v="1000"/>
    <x v="0"/>
    <x v="15"/>
  </r>
  <r>
    <n v="198"/>
    <x v="197"/>
    <x v="0"/>
    <x v="2"/>
    <x v="0"/>
    <n v="900"/>
    <n v="1"/>
    <n v="900"/>
    <n v="900"/>
    <x v="0"/>
    <x v="16"/>
  </r>
  <r>
    <n v="199"/>
    <x v="198"/>
    <x v="0"/>
    <x v="1"/>
    <x v="0"/>
    <n v="900"/>
    <n v="1"/>
    <n v="900"/>
    <n v="900"/>
    <x v="0"/>
    <x v="17"/>
  </r>
  <r>
    <n v="200"/>
    <x v="199"/>
    <x v="0"/>
    <x v="5"/>
    <x v="1"/>
    <n v="600"/>
    <n v="1"/>
    <n v="600"/>
    <n v="600"/>
    <x v="0"/>
    <x v="18"/>
  </r>
  <r>
    <n v="201"/>
    <x v="200"/>
    <x v="0"/>
    <x v="8"/>
    <x v="3"/>
    <n v="900"/>
    <n v="1"/>
    <n v="900"/>
    <n v="900"/>
    <x v="0"/>
    <x v="19"/>
  </r>
  <r>
    <n v="202"/>
    <x v="201"/>
    <x v="0"/>
    <x v="8"/>
    <x v="3"/>
    <n v="800"/>
    <n v="1"/>
    <n v="800"/>
    <n v="800"/>
    <x v="0"/>
    <x v="20"/>
  </r>
  <r>
    <n v="203"/>
    <x v="202"/>
    <x v="0"/>
    <x v="4"/>
    <x v="1"/>
    <n v="800"/>
    <n v="1"/>
    <n v="800"/>
    <n v="800"/>
    <x v="0"/>
    <x v="21"/>
  </r>
  <r>
    <n v="204"/>
    <x v="203"/>
    <x v="0"/>
    <x v="5"/>
    <x v="1"/>
    <n v="600"/>
    <n v="1"/>
    <n v="600"/>
    <n v="600"/>
    <x v="0"/>
    <x v="22"/>
  </r>
  <r>
    <n v="205"/>
    <x v="204"/>
    <x v="0"/>
    <x v="8"/>
    <x v="3"/>
    <n v="500"/>
    <n v="1"/>
    <n v="500"/>
    <n v="500"/>
    <x v="0"/>
    <x v="23"/>
  </r>
  <r>
    <n v="206"/>
    <x v="205"/>
    <x v="0"/>
    <x v="2"/>
    <x v="0"/>
    <n v="900"/>
    <n v="1"/>
    <n v="900"/>
    <n v="900"/>
    <x v="0"/>
    <x v="24"/>
  </r>
  <r>
    <n v="207"/>
    <x v="206"/>
    <x v="0"/>
    <x v="0"/>
    <x v="0"/>
    <n v="1100"/>
    <n v="1"/>
    <n v="1100"/>
    <n v="1100"/>
    <x v="0"/>
    <x v="25"/>
  </r>
  <r>
    <n v="208"/>
    <x v="207"/>
    <x v="0"/>
    <x v="8"/>
    <x v="3"/>
    <n v="500"/>
    <n v="1"/>
    <n v="500"/>
    <n v="500"/>
    <x v="0"/>
    <x v="26"/>
  </r>
  <r>
    <n v="209"/>
    <x v="208"/>
    <x v="0"/>
    <x v="5"/>
    <x v="1"/>
    <n v="600"/>
    <n v="1"/>
    <n v="600"/>
    <n v="600"/>
    <x v="0"/>
    <x v="27"/>
  </r>
  <r>
    <n v="210"/>
    <x v="209"/>
    <x v="0"/>
    <x v="2"/>
    <x v="0"/>
    <n v="900"/>
    <n v="1"/>
    <n v="900"/>
    <n v="900"/>
    <x v="0"/>
    <x v="28"/>
  </r>
  <r>
    <n v="211"/>
    <x v="210"/>
    <x v="0"/>
    <x v="8"/>
    <x v="3"/>
    <n v="500"/>
    <n v="1"/>
    <n v="500"/>
    <n v="500"/>
    <x v="0"/>
    <x v="29"/>
  </r>
  <r>
    <n v="212"/>
    <x v="211"/>
    <x v="0"/>
    <x v="8"/>
    <x v="3"/>
    <n v="500"/>
    <n v="1"/>
    <n v="500"/>
    <n v="500"/>
    <x v="0"/>
    <x v="30"/>
  </r>
  <r>
    <n v="213"/>
    <x v="212"/>
    <x v="0"/>
    <x v="5"/>
    <x v="1"/>
    <n v="600"/>
    <n v="1"/>
    <n v="600"/>
    <n v="600"/>
    <x v="0"/>
    <x v="0"/>
  </r>
  <r>
    <n v="214"/>
    <x v="213"/>
    <x v="0"/>
    <x v="5"/>
    <x v="1"/>
    <n v="600"/>
    <n v="1"/>
    <n v="600"/>
    <n v="600"/>
    <x v="0"/>
    <x v="1"/>
  </r>
  <r>
    <n v="215"/>
    <x v="214"/>
    <x v="0"/>
    <x v="4"/>
    <x v="1"/>
    <n v="800"/>
    <n v="1"/>
    <n v="800"/>
    <n v="800"/>
    <x v="0"/>
    <x v="2"/>
  </r>
  <r>
    <n v="216"/>
    <x v="215"/>
    <x v="0"/>
    <x v="6"/>
    <x v="2"/>
    <n v="850"/>
    <n v="1"/>
    <n v="850"/>
    <n v="850"/>
    <x v="0"/>
    <x v="3"/>
  </r>
  <r>
    <n v="217"/>
    <x v="216"/>
    <x v="0"/>
    <x v="8"/>
    <x v="3"/>
    <n v="500"/>
    <n v="1"/>
    <n v="500"/>
    <n v="500"/>
    <x v="0"/>
    <x v="4"/>
  </r>
  <r>
    <n v="218"/>
    <x v="217"/>
    <x v="0"/>
    <x v="8"/>
    <x v="3"/>
    <n v="500"/>
    <n v="1"/>
    <n v="500"/>
    <n v="500"/>
    <x v="0"/>
    <x v="5"/>
  </r>
  <r>
    <n v="219"/>
    <x v="218"/>
    <x v="0"/>
    <x v="0"/>
    <x v="0"/>
    <n v="1100"/>
    <n v="1"/>
    <n v="1100"/>
    <n v="1100"/>
    <x v="0"/>
    <x v="6"/>
  </r>
  <r>
    <n v="220"/>
    <x v="219"/>
    <x v="0"/>
    <x v="8"/>
    <x v="3"/>
    <n v="500"/>
    <n v="1"/>
    <n v="500"/>
    <n v="500"/>
    <x v="0"/>
    <x v="7"/>
  </r>
  <r>
    <n v="221"/>
    <x v="220"/>
    <x v="0"/>
    <x v="3"/>
    <x v="0"/>
    <n v="1000"/>
    <n v="1"/>
    <n v="1000"/>
    <n v="1000"/>
    <x v="0"/>
    <x v="8"/>
  </r>
  <r>
    <n v="222"/>
    <x v="221"/>
    <x v="0"/>
    <x v="4"/>
    <x v="1"/>
    <n v="800"/>
    <n v="1"/>
    <n v="800"/>
    <n v="800"/>
    <x v="0"/>
    <x v="9"/>
  </r>
  <r>
    <n v="223"/>
    <x v="222"/>
    <x v="0"/>
    <x v="9"/>
    <x v="3"/>
    <n v="600"/>
    <n v="1"/>
    <n v="600"/>
    <n v="600"/>
    <x v="0"/>
    <x v="10"/>
  </r>
  <r>
    <n v="224"/>
    <x v="223"/>
    <x v="0"/>
    <x v="9"/>
    <x v="3"/>
    <n v="600"/>
    <n v="1"/>
    <n v="600"/>
    <n v="600"/>
    <x v="0"/>
    <x v="11"/>
  </r>
  <r>
    <n v="225"/>
    <x v="224"/>
    <x v="0"/>
    <x v="6"/>
    <x v="2"/>
    <n v="850"/>
    <n v="1"/>
    <n v="850"/>
    <n v="850"/>
    <x v="0"/>
    <x v="12"/>
  </r>
  <r>
    <n v="226"/>
    <x v="225"/>
    <x v="0"/>
    <x v="9"/>
    <x v="3"/>
    <n v="600"/>
    <n v="1"/>
    <n v="600"/>
    <n v="600"/>
    <x v="0"/>
    <x v="13"/>
  </r>
  <r>
    <n v="227"/>
    <x v="226"/>
    <x v="0"/>
    <x v="5"/>
    <x v="1"/>
    <n v="600"/>
    <n v="1"/>
    <n v="600"/>
    <n v="600"/>
    <x v="0"/>
    <x v="14"/>
  </r>
  <r>
    <n v="228"/>
    <x v="227"/>
    <x v="0"/>
    <x v="9"/>
    <x v="3"/>
    <n v="600"/>
    <n v="1"/>
    <n v="600"/>
    <n v="600"/>
    <x v="0"/>
    <x v="15"/>
  </r>
  <r>
    <n v="229"/>
    <x v="228"/>
    <x v="0"/>
    <x v="0"/>
    <x v="0"/>
    <n v="1100"/>
    <n v="1"/>
    <n v="1100"/>
    <n v="1100"/>
    <x v="0"/>
    <x v="16"/>
  </r>
  <r>
    <n v="230"/>
    <x v="229"/>
    <x v="0"/>
    <x v="5"/>
    <x v="1"/>
    <n v="600"/>
    <n v="1"/>
    <n v="600"/>
    <n v="600"/>
    <x v="0"/>
    <x v="17"/>
  </r>
  <r>
    <n v="231"/>
    <x v="230"/>
    <x v="0"/>
    <x v="0"/>
    <x v="0"/>
    <n v="1100"/>
    <n v="1"/>
    <n v="1100"/>
    <n v="1100"/>
    <x v="0"/>
    <x v="18"/>
  </r>
  <r>
    <n v="232"/>
    <x v="231"/>
    <x v="0"/>
    <x v="0"/>
    <x v="0"/>
    <n v="1100"/>
    <n v="1"/>
    <n v="1100"/>
    <n v="1100"/>
    <x v="0"/>
    <x v="19"/>
  </r>
  <r>
    <n v="233"/>
    <x v="232"/>
    <x v="0"/>
    <x v="0"/>
    <x v="0"/>
    <n v="1100"/>
    <n v="1"/>
    <n v="1100"/>
    <n v="1100"/>
    <x v="0"/>
    <x v="20"/>
  </r>
  <r>
    <n v="234"/>
    <x v="233"/>
    <x v="0"/>
    <x v="6"/>
    <x v="2"/>
    <n v="850"/>
    <n v="1"/>
    <n v="850"/>
    <n v="850"/>
    <x v="0"/>
    <x v="21"/>
  </r>
  <r>
    <n v="235"/>
    <x v="234"/>
    <x v="0"/>
    <x v="5"/>
    <x v="1"/>
    <n v="600"/>
    <n v="1"/>
    <n v="600"/>
    <n v="600"/>
    <x v="0"/>
    <x v="22"/>
  </r>
  <r>
    <n v="236"/>
    <x v="235"/>
    <x v="0"/>
    <x v="5"/>
    <x v="1"/>
    <n v="600"/>
    <n v="1"/>
    <n v="600"/>
    <n v="600"/>
    <x v="0"/>
    <x v="23"/>
  </r>
  <r>
    <n v="237"/>
    <x v="236"/>
    <x v="0"/>
    <x v="4"/>
    <x v="1"/>
    <n v="800"/>
    <n v="1"/>
    <n v="800"/>
    <n v="800"/>
    <x v="0"/>
    <x v="24"/>
  </r>
  <r>
    <n v="238"/>
    <x v="237"/>
    <x v="0"/>
    <x v="7"/>
    <x v="2"/>
    <n v="1200"/>
    <n v="1"/>
    <n v="1200"/>
    <n v="1200"/>
    <x v="0"/>
    <x v="25"/>
  </r>
  <r>
    <n v="239"/>
    <x v="238"/>
    <x v="0"/>
    <x v="3"/>
    <x v="0"/>
    <n v="1000"/>
    <n v="1"/>
    <n v="1000"/>
    <n v="1000"/>
    <x v="0"/>
    <x v="26"/>
  </r>
  <r>
    <n v="240"/>
    <x v="239"/>
    <x v="0"/>
    <x v="9"/>
    <x v="3"/>
    <n v="600"/>
    <n v="1"/>
    <n v="600"/>
    <n v="600"/>
    <x v="0"/>
    <x v="27"/>
  </r>
  <r>
    <n v="241"/>
    <x v="240"/>
    <x v="0"/>
    <x v="2"/>
    <x v="0"/>
    <n v="900"/>
    <n v="1"/>
    <n v="900"/>
    <n v="900"/>
    <x v="0"/>
    <x v="28"/>
  </r>
  <r>
    <n v="242"/>
    <x v="241"/>
    <x v="0"/>
    <x v="5"/>
    <x v="1"/>
    <n v="600"/>
    <n v="1"/>
    <n v="600"/>
    <n v="600"/>
    <x v="0"/>
    <x v="29"/>
  </r>
  <r>
    <n v="243"/>
    <x v="242"/>
    <x v="0"/>
    <x v="1"/>
    <x v="0"/>
    <n v="900"/>
    <n v="1"/>
    <n v="900"/>
    <n v="900"/>
    <x v="0"/>
    <x v="30"/>
  </r>
  <r>
    <n v="244"/>
    <x v="243"/>
    <x v="0"/>
    <x v="9"/>
    <x v="3"/>
    <n v="600"/>
    <n v="1"/>
    <n v="600"/>
    <n v="600"/>
    <x v="0"/>
    <x v="0"/>
  </r>
  <r>
    <n v="245"/>
    <x v="244"/>
    <x v="0"/>
    <x v="6"/>
    <x v="2"/>
    <n v="850"/>
    <n v="1"/>
    <n v="850"/>
    <n v="850"/>
    <x v="0"/>
    <x v="1"/>
  </r>
  <r>
    <n v="246"/>
    <x v="245"/>
    <x v="0"/>
    <x v="2"/>
    <x v="0"/>
    <n v="900"/>
    <n v="1"/>
    <n v="900"/>
    <n v="900"/>
    <x v="0"/>
    <x v="2"/>
  </r>
  <r>
    <n v="247"/>
    <x v="246"/>
    <x v="0"/>
    <x v="0"/>
    <x v="0"/>
    <n v="1100"/>
    <n v="1"/>
    <n v="1100"/>
    <n v="1100"/>
    <x v="0"/>
    <x v="3"/>
  </r>
  <r>
    <n v="248"/>
    <x v="247"/>
    <x v="0"/>
    <x v="2"/>
    <x v="0"/>
    <n v="900"/>
    <n v="1"/>
    <n v="900"/>
    <n v="900"/>
    <x v="0"/>
    <x v="4"/>
  </r>
  <r>
    <n v="249"/>
    <x v="248"/>
    <x v="0"/>
    <x v="3"/>
    <x v="0"/>
    <n v="1000"/>
    <n v="1"/>
    <n v="1000"/>
    <n v="1000"/>
    <x v="0"/>
    <x v="5"/>
  </r>
  <r>
    <n v="250"/>
    <x v="249"/>
    <x v="0"/>
    <x v="0"/>
    <x v="0"/>
    <n v="1100"/>
    <n v="1"/>
    <n v="1100"/>
    <n v="1100"/>
    <x v="0"/>
    <x v="6"/>
  </r>
  <r>
    <n v="251"/>
    <x v="250"/>
    <x v="0"/>
    <x v="3"/>
    <x v="0"/>
    <n v="1000"/>
    <n v="1"/>
    <n v="1000"/>
    <n v="1000"/>
    <x v="0"/>
    <x v="7"/>
  </r>
  <r>
    <n v="252"/>
    <x v="251"/>
    <x v="0"/>
    <x v="0"/>
    <x v="0"/>
    <n v="1100"/>
    <n v="1"/>
    <n v="1100"/>
    <n v="1100"/>
    <x v="0"/>
    <x v="8"/>
  </r>
  <r>
    <n v="253"/>
    <x v="252"/>
    <x v="0"/>
    <x v="2"/>
    <x v="0"/>
    <n v="900"/>
    <n v="1"/>
    <n v="900"/>
    <n v="900"/>
    <x v="0"/>
    <x v="9"/>
  </r>
  <r>
    <n v="254"/>
    <x v="253"/>
    <x v="0"/>
    <x v="1"/>
    <x v="0"/>
    <n v="900"/>
    <n v="1"/>
    <n v="900"/>
    <n v="900"/>
    <x v="0"/>
    <x v="10"/>
  </r>
  <r>
    <n v="255"/>
    <x v="254"/>
    <x v="0"/>
    <x v="0"/>
    <x v="0"/>
    <n v="1100"/>
    <n v="1"/>
    <n v="1100"/>
    <n v="1100"/>
    <x v="0"/>
    <x v="11"/>
  </r>
  <r>
    <n v="256"/>
    <x v="255"/>
    <x v="0"/>
    <x v="0"/>
    <x v="0"/>
    <n v="1100"/>
    <n v="1"/>
    <n v="1100"/>
    <n v="1100"/>
    <x v="0"/>
    <x v="12"/>
  </r>
  <r>
    <n v="257"/>
    <x v="256"/>
    <x v="0"/>
    <x v="3"/>
    <x v="0"/>
    <n v="1000"/>
    <n v="1"/>
    <n v="1000"/>
    <n v="1000"/>
    <x v="0"/>
    <x v="13"/>
  </r>
  <r>
    <n v="258"/>
    <x v="257"/>
    <x v="0"/>
    <x v="1"/>
    <x v="0"/>
    <n v="900"/>
    <n v="1"/>
    <n v="900"/>
    <n v="900"/>
    <x v="0"/>
    <x v="14"/>
  </r>
  <r>
    <n v="259"/>
    <x v="258"/>
    <x v="0"/>
    <x v="5"/>
    <x v="1"/>
    <n v="600"/>
    <n v="1"/>
    <n v="600"/>
    <n v="600"/>
    <x v="0"/>
    <x v="15"/>
  </r>
  <r>
    <n v="260"/>
    <x v="259"/>
    <x v="0"/>
    <x v="1"/>
    <x v="0"/>
    <n v="900"/>
    <n v="1"/>
    <n v="900"/>
    <n v="900"/>
    <x v="0"/>
    <x v="16"/>
  </r>
  <r>
    <n v="261"/>
    <x v="260"/>
    <x v="0"/>
    <x v="5"/>
    <x v="1"/>
    <n v="600"/>
    <n v="1"/>
    <n v="600"/>
    <n v="600"/>
    <x v="0"/>
    <x v="17"/>
  </r>
  <r>
    <n v="262"/>
    <x v="261"/>
    <x v="0"/>
    <x v="2"/>
    <x v="0"/>
    <n v="900"/>
    <n v="1"/>
    <n v="900"/>
    <n v="900"/>
    <x v="0"/>
    <x v="18"/>
  </r>
  <r>
    <n v="263"/>
    <x v="262"/>
    <x v="0"/>
    <x v="0"/>
    <x v="0"/>
    <n v="1100"/>
    <n v="2"/>
    <n v="2200"/>
    <n v="2200"/>
    <x v="0"/>
    <x v="19"/>
  </r>
  <r>
    <n v="264"/>
    <x v="263"/>
    <x v="0"/>
    <x v="5"/>
    <x v="1"/>
    <n v="600"/>
    <n v="1"/>
    <n v="600"/>
    <n v="600"/>
    <x v="0"/>
    <x v="20"/>
  </r>
  <r>
    <n v="265"/>
    <x v="264"/>
    <x v="0"/>
    <x v="5"/>
    <x v="1"/>
    <n v="600"/>
    <n v="1"/>
    <n v="600"/>
    <n v="600"/>
    <x v="0"/>
    <x v="21"/>
  </r>
  <r>
    <n v="266"/>
    <x v="265"/>
    <x v="0"/>
    <x v="2"/>
    <x v="0"/>
    <n v="900"/>
    <n v="1"/>
    <n v="900"/>
    <n v="900"/>
    <x v="0"/>
    <x v="22"/>
  </r>
  <r>
    <n v="267"/>
    <x v="266"/>
    <x v="0"/>
    <x v="0"/>
    <x v="0"/>
    <n v="1100"/>
    <n v="1"/>
    <n v="1100"/>
    <n v="1100"/>
    <x v="0"/>
    <x v="23"/>
  </r>
  <r>
    <n v="268"/>
    <x v="267"/>
    <x v="0"/>
    <x v="5"/>
    <x v="1"/>
    <n v="600"/>
    <n v="1"/>
    <n v="600"/>
    <n v="600"/>
    <x v="0"/>
    <x v="24"/>
  </r>
  <r>
    <n v="269"/>
    <x v="268"/>
    <x v="0"/>
    <x v="9"/>
    <x v="3"/>
    <n v="600"/>
    <n v="1"/>
    <n v="600"/>
    <n v="600"/>
    <x v="0"/>
    <x v="25"/>
  </r>
  <r>
    <n v="270"/>
    <x v="269"/>
    <x v="0"/>
    <x v="5"/>
    <x v="1"/>
    <n v="600"/>
    <n v="1"/>
    <n v="600"/>
    <n v="600"/>
    <x v="0"/>
    <x v="26"/>
  </r>
  <r>
    <n v="271"/>
    <x v="270"/>
    <x v="0"/>
    <x v="9"/>
    <x v="3"/>
    <n v="600"/>
    <n v="1"/>
    <n v="600"/>
    <n v="600"/>
    <x v="0"/>
    <x v="27"/>
  </r>
  <r>
    <n v="272"/>
    <x v="271"/>
    <x v="0"/>
    <x v="9"/>
    <x v="3"/>
    <n v="600"/>
    <n v="2"/>
    <n v="1200"/>
    <n v="1200"/>
    <x v="0"/>
    <x v="28"/>
  </r>
  <r>
    <n v="273"/>
    <x v="272"/>
    <x v="0"/>
    <x v="5"/>
    <x v="1"/>
    <n v="600"/>
    <n v="1"/>
    <n v="600"/>
    <n v="600"/>
    <x v="0"/>
    <x v="29"/>
  </r>
  <r>
    <n v="274"/>
    <x v="273"/>
    <x v="0"/>
    <x v="0"/>
    <x v="0"/>
    <n v="1100"/>
    <n v="3"/>
    <n v="3300"/>
    <n v="3300"/>
    <x v="0"/>
    <x v="0"/>
  </r>
  <r>
    <n v="275"/>
    <x v="274"/>
    <x v="0"/>
    <x v="0"/>
    <x v="0"/>
    <n v="1100"/>
    <n v="1"/>
    <n v="1100"/>
    <n v="1100"/>
    <x v="0"/>
    <x v="1"/>
  </r>
  <r>
    <n v="276"/>
    <x v="275"/>
    <x v="0"/>
    <x v="6"/>
    <x v="2"/>
    <n v="850"/>
    <n v="1"/>
    <n v="850"/>
    <n v="850"/>
    <x v="0"/>
    <x v="2"/>
  </r>
  <r>
    <n v="277"/>
    <x v="276"/>
    <x v="0"/>
    <x v="7"/>
    <x v="2"/>
    <n v="1200"/>
    <n v="1"/>
    <n v="1200"/>
    <n v="1200"/>
    <x v="0"/>
    <x v="3"/>
  </r>
  <r>
    <n v="278"/>
    <x v="277"/>
    <x v="0"/>
    <x v="4"/>
    <x v="1"/>
    <n v="800"/>
    <n v="1"/>
    <n v="800"/>
    <n v="800"/>
    <x v="0"/>
    <x v="4"/>
  </r>
  <r>
    <n v="279"/>
    <x v="278"/>
    <x v="0"/>
    <x v="2"/>
    <x v="0"/>
    <n v="900"/>
    <n v="1"/>
    <n v="900"/>
    <n v="900"/>
    <x v="0"/>
    <x v="5"/>
  </r>
  <r>
    <n v="280"/>
    <x v="279"/>
    <x v="0"/>
    <x v="0"/>
    <x v="0"/>
    <n v="1100"/>
    <n v="1"/>
    <n v="1100"/>
    <n v="1100"/>
    <x v="0"/>
    <x v="6"/>
  </r>
  <r>
    <n v="281"/>
    <x v="280"/>
    <x v="0"/>
    <x v="1"/>
    <x v="0"/>
    <n v="900"/>
    <n v="1"/>
    <n v="900"/>
    <n v="900"/>
    <x v="0"/>
    <x v="7"/>
  </r>
  <r>
    <n v="282"/>
    <x v="281"/>
    <x v="0"/>
    <x v="0"/>
    <x v="0"/>
    <n v="1100"/>
    <n v="1"/>
    <n v="1100"/>
    <n v="1100"/>
    <x v="0"/>
    <x v="8"/>
  </r>
  <r>
    <n v="283"/>
    <x v="282"/>
    <x v="0"/>
    <x v="8"/>
    <x v="3"/>
    <n v="900"/>
    <n v="1"/>
    <n v="900"/>
    <n v="900"/>
    <x v="0"/>
    <x v="9"/>
  </r>
  <r>
    <n v="284"/>
    <x v="283"/>
    <x v="0"/>
    <x v="8"/>
    <x v="3"/>
    <n v="500"/>
    <n v="1"/>
    <n v="500"/>
    <n v="500"/>
    <x v="0"/>
    <x v="10"/>
  </r>
  <r>
    <n v="285"/>
    <x v="284"/>
    <x v="0"/>
    <x v="3"/>
    <x v="0"/>
    <n v="1000"/>
    <n v="1"/>
    <n v="1000"/>
    <n v="1000"/>
    <x v="0"/>
    <x v="11"/>
  </r>
  <r>
    <n v="286"/>
    <x v="285"/>
    <x v="0"/>
    <x v="9"/>
    <x v="3"/>
    <n v="600"/>
    <n v="1"/>
    <n v="600"/>
    <n v="600"/>
    <x v="0"/>
    <x v="12"/>
  </r>
  <r>
    <n v="287"/>
    <x v="286"/>
    <x v="0"/>
    <x v="1"/>
    <x v="0"/>
    <n v="900"/>
    <n v="2"/>
    <n v="1800"/>
    <n v="1800"/>
    <x v="0"/>
    <x v="13"/>
  </r>
  <r>
    <n v="288"/>
    <x v="287"/>
    <x v="0"/>
    <x v="6"/>
    <x v="2"/>
    <n v="850"/>
    <n v="1"/>
    <n v="850"/>
    <n v="850"/>
    <x v="0"/>
    <x v="14"/>
  </r>
  <r>
    <n v="289"/>
    <x v="288"/>
    <x v="0"/>
    <x v="4"/>
    <x v="1"/>
    <n v="800"/>
    <n v="1"/>
    <n v="800"/>
    <n v="800"/>
    <x v="0"/>
    <x v="15"/>
  </r>
  <r>
    <n v="290"/>
    <x v="289"/>
    <x v="0"/>
    <x v="1"/>
    <x v="0"/>
    <n v="900"/>
    <n v="1"/>
    <n v="900"/>
    <n v="900"/>
    <x v="0"/>
    <x v="16"/>
  </r>
  <r>
    <n v="291"/>
    <x v="290"/>
    <x v="0"/>
    <x v="1"/>
    <x v="0"/>
    <n v="900"/>
    <n v="1"/>
    <n v="900"/>
    <n v="900"/>
    <x v="0"/>
    <x v="17"/>
  </r>
  <r>
    <n v="292"/>
    <x v="291"/>
    <x v="0"/>
    <x v="0"/>
    <x v="0"/>
    <n v="1100"/>
    <n v="1"/>
    <n v="1100"/>
    <n v="1100"/>
    <x v="0"/>
    <x v="18"/>
  </r>
  <r>
    <n v="293"/>
    <x v="292"/>
    <x v="0"/>
    <x v="2"/>
    <x v="0"/>
    <n v="900"/>
    <n v="1"/>
    <n v="900"/>
    <n v="900"/>
    <x v="0"/>
    <x v="19"/>
  </r>
  <r>
    <n v="294"/>
    <x v="293"/>
    <x v="0"/>
    <x v="5"/>
    <x v="1"/>
    <n v="600"/>
    <n v="1"/>
    <n v="600"/>
    <n v="600"/>
    <x v="0"/>
    <x v="20"/>
  </r>
  <r>
    <n v="295"/>
    <x v="294"/>
    <x v="0"/>
    <x v="5"/>
    <x v="1"/>
    <n v="600"/>
    <n v="1"/>
    <n v="600"/>
    <n v="600"/>
    <x v="0"/>
    <x v="21"/>
  </r>
  <r>
    <n v="296"/>
    <x v="295"/>
    <x v="0"/>
    <x v="2"/>
    <x v="0"/>
    <n v="900"/>
    <n v="1"/>
    <n v="900"/>
    <n v="900"/>
    <x v="0"/>
    <x v="22"/>
  </r>
  <r>
    <n v="297"/>
    <x v="296"/>
    <x v="0"/>
    <x v="6"/>
    <x v="2"/>
    <n v="850"/>
    <n v="1"/>
    <n v="850"/>
    <n v="850"/>
    <x v="0"/>
    <x v="23"/>
  </r>
  <r>
    <n v="298"/>
    <x v="297"/>
    <x v="0"/>
    <x v="2"/>
    <x v="0"/>
    <n v="900"/>
    <n v="1"/>
    <n v="900"/>
    <n v="900"/>
    <x v="0"/>
    <x v="24"/>
  </r>
  <r>
    <n v="299"/>
    <x v="298"/>
    <x v="0"/>
    <x v="5"/>
    <x v="1"/>
    <n v="600"/>
    <n v="1"/>
    <n v="600"/>
    <n v="600"/>
    <x v="0"/>
    <x v="25"/>
  </r>
  <r>
    <n v="300"/>
    <x v="299"/>
    <x v="0"/>
    <x v="5"/>
    <x v="1"/>
    <n v="600"/>
    <n v="1"/>
    <n v="600"/>
    <n v="600"/>
    <x v="0"/>
    <x v="26"/>
  </r>
  <r>
    <n v="301"/>
    <x v="300"/>
    <x v="0"/>
    <x v="0"/>
    <x v="0"/>
    <n v="1100"/>
    <n v="1"/>
    <n v="1100"/>
    <n v="1100"/>
    <x v="0"/>
    <x v="27"/>
  </r>
  <r>
    <n v="302"/>
    <x v="301"/>
    <x v="0"/>
    <x v="1"/>
    <x v="0"/>
    <n v="900"/>
    <n v="1"/>
    <n v="900"/>
    <n v="900"/>
    <x v="0"/>
    <x v="28"/>
  </r>
  <r>
    <n v="303"/>
    <x v="302"/>
    <x v="0"/>
    <x v="0"/>
    <x v="0"/>
    <n v="1100"/>
    <n v="1"/>
    <n v="1100"/>
    <n v="1100"/>
    <x v="0"/>
    <x v="29"/>
  </r>
  <r>
    <n v="304"/>
    <x v="303"/>
    <x v="0"/>
    <x v="5"/>
    <x v="1"/>
    <n v="600"/>
    <n v="1"/>
    <n v="600"/>
    <n v="600"/>
    <x v="0"/>
    <x v="30"/>
  </r>
  <r>
    <n v="305"/>
    <x v="304"/>
    <x v="0"/>
    <x v="7"/>
    <x v="2"/>
    <n v="1200"/>
    <n v="1"/>
    <n v="1200"/>
    <n v="1200"/>
    <x v="0"/>
    <x v="0"/>
  </r>
  <r>
    <n v="306"/>
    <x v="305"/>
    <x v="0"/>
    <x v="9"/>
    <x v="3"/>
    <n v="600"/>
    <n v="1"/>
    <n v="600"/>
    <n v="600"/>
    <x v="0"/>
    <x v="1"/>
  </r>
  <r>
    <n v="307"/>
    <x v="306"/>
    <x v="0"/>
    <x v="0"/>
    <x v="0"/>
    <n v="1100"/>
    <n v="1"/>
    <n v="1100"/>
    <n v="1100"/>
    <x v="0"/>
    <x v="2"/>
  </r>
  <r>
    <n v="308"/>
    <x v="307"/>
    <x v="0"/>
    <x v="8"/>
    <x v="3"/>
    <n v="500"/>
    <n v="1"/>
    <n v="500"/>
    <n v="500"/>
    <x v="0"/>
    <x v="3"/>
  </r>
  <r>
    <n v="309"/>
    <x v="308"/>
    <x v="0"/>
    <x v="1"/>
    <x v="0"/>
    <n v="900"/>
    <n v="1"/>
    <n v="900"/>
    <n v="900"/>
    <x v="0"/>
    <x v="4"/>
  </r>
  <r>
    <n v="310"/>
    <x v="309"/>
    <x v="0"/>
    <x v="6"/>
    <x v="2"/>
    <n v="850"/>
    <n v="1"/>
    <n v="850"/>
    <n v="850"/>
    <x v="0"/>
    <x v="5"/>
  </r>
  <r>
    <n v="311"/>
    <x v="310"/>
    <x v="0"/>
    <x v="5"/>
    <x v="1"/>
    <n v="600"/>
    <n v="1"/>
    <n v="600"/>
    <n v="600"/>
    <x v="0"/>
    <x v="6"/>
  </r>
  <r>
    <n v="312"/>
    <x v="311"/>
    <x v="0"/>
    <x v="0"/>
    <x v="0"/>
    <n v="1100"/>
    <n v="1"/>
    <n v="1100"/>
    <n v="1100"/>
    <x v="0"/>
    <x v="7"/>
  </r>
  <r>
    <n v="313"/>
    <x v="312"/>
    <x v="0"/>
    <x v="8"/>
    <x v="3"/>
    <n v="500"/>
    <n v="1"/>
    <n v="500"/>
    <n v="500"/>
    <x v="0"/>
    <x v="8"/>
  </r>
  <r>
    <n v="314"/>
    <x v="313"/>
    <x v="0"/>
    <x v="5"/>
    <x v="1"/>
    <n v="600"/>
    <n v="1"/>
    <n v="600"/>
    <n v="600"/>
    <x v="0"/>
    <x v="9"/>
  </r>
  <r>
    <n v="315"/>
    <x v="314"/>
    <x v="0"/>
    <x v="3"/>
    <x v="0"/>
    <n v="1000"/>
    <n v="1"/>
    <n v="1000"/>
    <n v="1000"/>
    <x v="0"/>
    <x v="10"/>
  </r>
  <r>
    <n v="316"/>
    <x v="315"/>
    <x v="1"/>
    <x v="5"/>
    <x v="1"/>
    <n v="600"/>
    <n v="1"/>
    <n v="600"/>
    <n v="600"/>
    <x v="0"/>
    <x v="11"/>
  </r>
  <r>
    <n v="317"/>
    <x v="316"/>
    <x v="1"/>
    <x v="0"/>
    <x v="0"/>
    <n v="1100"/>
    <n v="1"/>
    <n v="1100"/>
    <n v="1100"/>
    <x v="0"/>
    <x v="12"/>
  </r>
  <r>
    <n v="318"/>
    <x v="317"/>
    <x v="1"/>
    <x v="8"/>
    <x v="3"/>
    <n v="500"/>
    <n v="1"/>
    <n v="500"/>
    <n v="500"/>
    <x v="0"/>
    <x v="13"/>
  </r>
  <r>
    <n v="319"/>
    <x v="318"/>
    <x v="1"/>
    <x v="0"/>
    <x v="0"/>
    <n v="1100"/>
    <n v="2"/>
    <n v="2200"/>
    <n v="2200"/>
    <x v="0"/>
    <x v="14"/>
  </r>
  <r>
    <n v="320"/>
    <x v="319"/>
    <x v="1"/>
    <x v="5"/>
    <x v="1"/>
    <n v="600"/>
    <n v="1"/>
    <n v="600"/>
    <n v="600"/>
    <x v="0"/>
    <x v="15"/>
  </r>
  <r>
    <n v="321"/>
    <x v="320"/>
    <x v="1"/>
    <x v="4"/>
    <x v="1"/>
    <n v="800"/>
    <n v="1"/>
    <n v="800"/>
    <n v="800"/>
    <x v="0"/>
    <x v="16"/>
  </r>
  <r>
    <n v="322"/>
    <x v="321"/>
    <x v="1"/>
    <x v="2"/>
    <x v="0"/>
    <n v="900"/>
    <n v="1"/>
    <n v="900"/>
    <n v="900"/>
    <x v="0"/>
    <x v="17"/>
  </r>
  <r>
    <n v="323"/>
    <x v="322"/>
    <x v="1"/>
    <x v="9"/>
    <x v="3"/>
    <n v="600"/>
    <n v="1"/>
    <n v="600"/>
    <n v="600"/>
    <x v="0"/>
    <x v="18"/>
  </r>
  <r>
    <n v="324"/>
    <x v="323"/>
    <x v="1"/>
    <x v="0"/>
    <x v="0"/>
    <n v="1100"/>
    <n v="2"/>
    <n v="2200"/>
    <n v="2200"/>
    <x v="0"/>
    <x v="19"/>
  </r>
  <r>
    <n v="325"/>
    <x v="324"/>
    <x v="0"/>
    <x v="5"/>
    <x v="1"/>
    <n v="600"/>
    <n v="1"/>
    <n v="600"/>
    <n v="600"/>
    <x v="0"/>
    <x v="20"/>
  </r>
  <r>
    <n v="326"/>
    <x v="325"/>
    <x v="0"/>
    <x v="0"/>
    <x v="0"/>
    <n v="1100"/>
    <n v="1"/>
    <n v="1100"/>
    <n v="1100"/>
    <x v="0"/>
    <x v="21"/>
  </r>
  <r>
    <n v="327"/>
    <x v="326"/>
    <x v="0"/>
    <x v="3"/>
    <x v="0"/>
    <n v="1000"/>
    <n v="1"/>
    <n v="1000"/>
    <n v="1000"/>
    <x v="0"/>
    <x v="22"/>
  </r>
  <r>
    <n v="328"/>
    <x v="327"/>
    <x v="0"/>
    <x v="0"/>
    <x v="0"/>
    <n v="1100"/>
    <n v="1"/>
    <n v="1100"/>
    <n v="1100"/>
    <x v="0"/>
    <x v="23"/>
  </r>
  <r>
    <n v="329"/>
    <x v="328"/>
    <x v="0"/>
    <x v="7"/>
    <x v="2"/>
    <n v="1200"/>
    <n v="1"/>
    <n v="1200"/>
    <n v="1200"/>
    <x v="0"/>
    <x v="24"/>
  </r>
  <r>
    <n v="330"/>
    <x v="329"/>
    <x v="0"/>
    <x v="2"/>
    <x v="0"/>
    <n v="900"/>
    <n v="1"/>
    <n v="900"/>
    <n v="900"/>
    <x v="0"/>
    <x v="25"/>
  </r>
  <r>
    <n v="331"/>
    <x v="330"/>
    <x v="0"/>
    <x v="9"/>
    <x v="3"/>
    <n v="600"/>
    <n v="1"/>
    <n v="600"/>
    <n v="600"/>
    <x v="0"/>
    <x v="26"/>
  </r>
  <r>
    <n v="332"/>
    <x v="331"/>
    <x v="0"/>
    <x v="0"/>
    <x v="0"/>
    <n v="1100"/>
    <n v="2"/>
    <n v="2200"/>
    <n v="2200"/>
    <x v="0"/>
    <x v="27"/>
  </r>
  <r>
    <n v="333"/>
    <x v="332"/>
    <x v="0"/>
    <x v="3"/>
    <x v="0"/>
    <n v="1000"/>
    <n v="1"/>
    <n v="1000"/>
    <n v="1000"/>
    <x v="0"/>
    <x v="28"/>
  </r>
  <r>
    <n v="334"/>
    <x v="333"/>
    <x v="0"/>
    <x v="3"/>
    <x v="0"/>
    <n v="1000"/>
    <n v="1"/>
    <n v="1000"/>
    <n v="1000"/>
    <x v="0"/>
    <x v="29"/>
  </r>
  <r>
    <n v="335"/>
    <x v="334"/>
    <x v="0"/>
    <x v="8"/>
    <x v="3"/>
    <n v="500"/>
    <n v="1"/>
    <n v="500"/>
    <n v="500"/>
    <x v="0"/>
    <x v="0"/>
  </r>
  <r>
    <n v="336"/>
    <x v="335"/>
    <x v="0"/>
    <x v="3"/>
    <x v="0"/>
    <n v="1000"/>
    <n v="1"/>
    <n v="1000"/>
    <n v="1000"/>
    <x v="0"/>
    <x v="1"/>
  </r>
  <r>
    <n v="337"/>
    <x v="336"/>
    <x v="0"/>
    <x v="7"/>
    <x v="2"/>
    <n v="1200"/>
    <n v="1"/>
    <n v="1200"/>
    <n v="1200"/>
    <x v="0"/>
    <x v="2"/>
  </r>
  <r>
    <n v="338"/>
    <x v="337"/>
    <x v="0"/>
    <x v="7"/>
    <x v="2"/>
    <n v="900"/>
    <n v="1"/>
    <n v="900"/>
    <n v="900"/>
    <x v="0"/>
    <x v="3"/>
  </r>
  <r>
    <n v="339"/>
    <x v="338"/>
    <x v="0"/>
    <x v="1"/>
    <x v="0"/>
    <n v="900"/>
    <n v="1"/>
    <n v="900"/>
    <n v="900"/>
    <x v="0"/>
    <x v="4"/>
  </r>
  <r>
    <n v="340"/>
    <x v="339"/>
    <x v="0"/>
    <x v="3"/>
    <x v="0"/>
    <n v="900"/>
    <n v="1"/>
    <n v="900"/>
    <n v="900"/>
    <x v="0"/>
    <x v="5"/>
  </r>
  <r>
    <n v="341"/>
    <x v="340"/>
    <x v="0"/>
    <x v="5"/>
    <x v="1"/>
    <n v="900"/>
    <n v="1"/>
    <n v="900"/>
    <n v="900"/>
    <x v="0"/>
    <x v="6"/>
  </r>
  <r>
    <n v="342"/>
    <x v="341"/>
    <x v="0"/>
    <x v="5"/>
    <x v="1"/>
    <n v="900"/>
    <n v="1"/>
    <n v="900"/>
    <n v="900"/>
    <x v="0"/>
    <x v="7"/>
  </r>
  <r>
    <n v="343"/>
    <x v="342"/>
    <x v="0"/>
    <x v="3"/>
    <x v="0"/>
    <n v="900"/>
    <n v="1"/>
    <n v="900"/>
    <n v="900"/>
    <x v="0"/>
    <x v="8"/>
  </r>
  <r>
    <n v="344"/>
    <x v="343"/>
    <x v="0"/>
    <x v="2"/>
    <x v="0"/>
    <n v="900"/>
    <n v="2"/>
    <n v="1800"/>
    <n v="1800"/>
    <x v="0"/>
    <x v="9"/>
  </r>
  <r>
    <n v="345"/>
    <x v="344"/>
    <x v="0"/>
    <x v="0"/>
    <x v="0"/>
    <n v="1100"/>
    <n v="2"/>
    <n v="2200"/>
    <n v="2200"/>
    <x v="0"/>
    <x v="10"/>
  </r>
  <r>
    <n v="346"/>
    <x v="345"/>
    <x v="1"/>
    <x v="2"/>
    <x v="0"/>
    <n v="900"/>
    <n v="2"/>
    <n v="1800"/>
    <n v="1800"/>
    <x v="0"/>
    <x v="11"/>
  </r>
  <r>
    <n v="347"/>
    <x v="346"/>
    <x v="0"/>
    <x v="8"/>
    <x v="3"/>
    <n v="800"/>
    <n v="1"/>
    <n v="800"/>
    <n v="800"/>
    <x v="0"/>
    <x v="12"/>
  </r>
  <r>
    <n v="348"/>
    <x v="347"/>
    <x v="0"/>
    <x v="0"/>
    <x v="0"/>
    <n v="1100"/>
    <n v="1"/>
    <n v="1100"/>
    <n v="1100"/>
    <x v="0"/>
    <x v="13"/>
  </r>
  <r>
    <n v="349"/>
    <x v="348"/>
    <x v="0"/>
    <x v="9"/>
    <x v="3"/>
    <n v="600"/>
    <n v="1"/>
    <n v="600"/>
    <n v="600"/>
    <x v="0"/>
    <x v="14"/>
  </r>
  <r>
    <n v="350"/>
    <x v="349"/>
    <x v="1"/>
    <x v="0"/>
    <x v="0"/>
    <n v="1100"/>
    <n v="3"/>
    <n v="3300"/>
    <n v="3300"/>
    <x v="0"/>
    <x v="15"/>
  </r>
  <r>
    <n v="351"/>
    <x v="350"/>
    <x v="1"/>
    <x v="6"/>
    <x v="2"/>
    <n v="850"/>
    <n v="1"/>
    <n v="850"/>
    <n v="850"/>
    <x v="0"/>
    <x v="16"/>
  </r>
  <r>
    <n v="352"/>
    <x v="351"/>
    <x v="1"/>
    <x v="9"/>
    <x v="3"/>
    <n v="600"/>
    <n v="1"/>
    <n v="600"/>
    <n v="600"/>
    <x v="0"/>
    <x v="17"/>
  </r>
  <r>
    <n v="353"/>
    <x v="352"/>
    <x v="1"/>
    <x v="9"/>
    <x v="3"/>
    <n v="600"/>
    <n v="1"/>
    <n v="600"/>
    <n v="600"/>
    <x v="0"/>
    <x v="18"/>
  </r>
  <r>
    <n v="354"/>
    <x v="353"/>
    <x v="0"/>
    <x v="0"/>
    <x v="0"/>
    <n v="1100"/>
    <n v="1"/>
    <n v="1100"/>
    <n v="1100"/>
    <x v="0"/>
    <x v="19"/>
  </r>
  <r>
    <n v="355"/>
    <x v="354"/>
    <x v="0"/>
    <x v="3"/>
    <x v="0"/>
    <n v="1000"/>
    <n v="1"/>
    <n v="1000"/>
    <n v="1000"/>
    <x v="0"/>
    <x v="20"/>
  </r>
  <r>
    <n v="356"/>
    <x v="355"/>
    <x v="0"/>
    <x v="2"/>
    <x v="0"/>
    <n v="900"/>
    <n v="1"/>
    <n v="900"/>
    <n v="900"/>
    <x v="0"/>
    <x v="21"/>
  </r>
  <r>
    <n v="357"/>
    <x v="356"/>
    <x v="0"/>
    <x v="9"/>
    <x v="3"/>
    <n v="600"/>
    <n v="1"/>
    <n v="600"/>
    <n v="600"/>
    <x v="0"/>
    <x v="22"/>
  </r>
  <r>
    <n v="358"/>
    <x v="357"/>
    <x v="0"/>
    <x v="2"/>
    <x v="0"/>
    <n v="900"/>
    <n v="1"/>
    <n v="900"/>
    <n v="900"/>
    <x v="0"/>
    <x v="23"/>
  </r>
  <r>
    <n v="359"/>
    <x v="358"/>
    <x v="0"/>
    <x v="5"/>
    <x v="1"/>
    <n v="600"/>
    <n v="1"/>
    <n v="600"/>
    <n v="600"/>
    <x v="0"/>
    <x v="24"/>
  </r>
  <r>
    <n v="360"/>
    <x v="359"/>
    <x v="0"/>
    <x v="1"/>
    <x v="0"/>
    <n v="900"/>
    <n v="1"/>
    <n v="900"/>
    <n v="900"/>
    <x v="0"/>
    <x v="25"/>
  </r>
  <r>
    <n v="361"/>
    <x v="360"/>
    <x v="0"/>
    <x v="5"/>
    <x v="1"/>
    <n v="600"/>
    <n v="1"/>
    <n v="600"/>
    <n v="600"/>
    <x v="0"/>
    <x v="26"/>
  </r>
  <r>
    <n v="362"/>
    <x v="361"/>
    <x v="0"/>
    <x v="2"/>
    <x v="0"/>
    <n v="900"/>
    <n v="1"/>
    <n v="900"/>
    <n v="900"/>
    <x v="0"/>
    <x v="27"/>
  </r>
  <r>
    <n v="363"/>
    <x v="362"/>
    <x v="0"/>
    <x v="9"/>
    <x v="3"/>
    <n v="600"/>
    <n v="1"/>
    <n v="600"/>
    <n v="600"/>
    <x v="0"/>
    <x v="28"/>
  </r>
  <r>
    <n v="364"/>
    <x v="363"/>
    <x v="0"/>
    <x v="0"/>
    <x v="0"/>
    <n v="1100"/>
    <n v="2"/>
    <n v="2200"/>
    <n v="2200"/>
    <x v="0"/>
    <x v="29"/>
  </r>
  <r>
    <n v="365"/>
    <x v="364"/>
    <x v="0"/>
    <x v="0"/>
    <x v="0"/>
    <n v="1100"/>
    <n v="1"/>
    <n v="1100"/>
    <n v="1100"/>
    <x v="0"/>
    <x v="30"/>
  </r>
  <r>
    <n v="366"/>
    <x v="365"/>
    <x v="0"/>
    <x v="0"/>
    <x v="0"/>
    <n v="1100"/>
    <n v="1"/>
    <n v="1100"/>
    <n v="1100"/>
    <x v="1"/>
    <x v="0"/>
  </r>
  <r>
    <n v="367"/>
    <x v="366"/>
    <x v="0"/>
    <x v="5"/>
    <x v="1"/>
    <n v="600"/>
    <n v="2"/>
    <n v="1200"/>
    <n v="1200"/>
    <x v="1"/>
    <x v="1"/>
  </r>
  <r>
    <n v="368"/>
    <x v="367"/>
    <x v="0"/>
    <x v="0"/>
    <x v="0"/>
    <n v="1100"/>
    <n v="1"/>
    <n v="1100"/>
    <n v="1100"/>
    <x v="1"/>
    <x v="2"/>
  </r>
  <r>
    <n v="369"/>
    <x v="368"/>
    <x v="0"/>
    <x v="9"/>
    <x v="3"/>
    <n v="600"/>
    <n v="1"/>
    <n v="600"/>
    <n v="600"/>
    <x v="1"/>
    <x v="3"/>
  </r>
  <r>
    <n v="370"/>
    <x v="369"/>
    <x v="0"/>
    <x v="0"/>
    <x v="0"/>
    <n v="1100"/>
    <n v="1"/>
    <n v="1100"/>
    <n v="1100"/>
    <x v="1"/>
    <x v="4"/>
  </r>
  <r>
    <n v="371"/>
    <x v="370"/>
    <x v="1"/>
    <x v="5"/>
    <x v="1"/>
    <n v="600"/>
    <n v="1"/>
    <n v="600"/>
    <n v="600"/>
    <x v="1"/>
    <x v="5"/>
  </r>
  <r>
    <n v="372"/>
    <x v="371"/>
    <x v="1"/>
    <x v="0"/>
    <x v="0"/>
    <n v="1100"/>
    <n v="1"/>
    <n v="1100"/>
    <n v="1100"/>
    <x v="1"/>
    <x v="6"/>
  </r>
  <r>
    <n v="373"/>
    <x v="372"/>
    <x v="1"/>
    <x v="2"/>
    <x v="0"/>
    <n v="900"/>
    <n v="1"/>
    <n v="900"/>
    <n v="900"/>
    <x v="1"/>
    <x v="7"/>
  </r>
  <r>
    <n v="374"/>
    <x v="373"/>
    <x v="1"/>
    <x v="7"/>
    <x v="2"/>
    <n v="1200"/>
    <n v="1"/>
    <n v="1200"/>
    <n v="1200"/>
    <x v="1"/>
    <x v="8"/>
  </r>
  <r>
    <n v="375"/>
    <x v="374"/>
    <x v="1"/>
    <x v="8"/>
    <x v="3"/>
    <n v="500"/>
    <n v="1"/>
    <n v="500"/>
    <n v="500"/>
    <x v="1"/>
    <x v="9"/>
  </r>
  <r>
    <n v="376"/>
    <x v="375"/>
    <x v="1"/>
    <x v="5"/>
    <x v="1"/>
    <n v="600"/>
    <n v="1"/>
    <n v="600"/>
    <n v="600"/>
    <x v="1"/>
    <x v="10"/>
  </r>
  <r>
    <n v="377"/>
    <x v="376"/>
    <x v="1"/>
    <x v="5"/>
    <x v="1"/>
    <n v="600"/>
    <n v="1"/>
    <n v="600"/>
    <n v="600"/>
    <x v="1"/>
    <x v="11"/>
  </r>
  <r>
    <n v="378"/>
    <x v="377"/>
    <x v="1"/>
    <x v="0"/>
    <x v="0"/>
    <n v="1100"/>
    <n v="1"/>
    <n v="1100"/>
    <n v="1100"/>
    <x v="1"/>
    <x v="12"/>
  </r>
  <r>
    <n v="379"/>
    <x v="378"/>
    <x v="1"/>
    <x v="0"/>
    <x v="0"/>
    <n v="1100"/>
    <n v="1"/>
    <n v="1100"/>
    <n v="1100"/>
    <x v="1"/>
    <x v="13"/>
  </r>
  <r>
    <n v="380"/>
    <x v="379"/>
    <x v="0"/>
    <x v="8"/>
    <x v="3"/>
    <n v="900"/>
    <n v="1"/>
    <n v="900"/>
    <n v="900"/>
    <x v="1"/>
    <x v="14"/>
  </r>
  <r>
    <n v="381"/>
    <x v="380"/>
    <x v="0"/>
    <x v="9"/>
    <x v="3"/>
    <n v="600"/>
    <n v="1"/>
    <n v="600"/>
    <n v="600"/>
    <x v="1"/>
    <x v="15"/>
  </r>
  <r>
    <n v="382"/>
    <x v="381"/>
    <x v="1"/>
    <x v="0"/>
    <x v="0"/>
    <n v="1100"/>
    <n v="1"/>
    <n v="1100"/>
    <n v="1100"/>
    <x v="1"/>
    <x v="16"/>
  </r>
  <r>
    <n v="383"/>
    <x v="382"/>
    <x v="1"/>
    <x v="5"/>
    <x v="1"/>
    <n v="600"/>
    <n v="1"/>
    <n v="600"/>
    <n v="600"/>
    <x v="1"/>
    <x v="17"/>
  </r>
  <r>
    <n v="384"/>
    <x v="383"/>
    <x v="1"/>
    <x v="2"/>
    <x v="0"/>
    <n v="900"/>
    <n v="1"/>
    <n v="900"/>
    <n v="900"/>
    <x v="1"/>
    <x v="18"/>
  </r>
  <r>
    <n v="385"/>
    <x v="384"/>
    <x v="1"/>
    <x v="5"/>
    <x v="1"/>
    <n v="600"/>
    <n v="1"/>
    <n v="600"/>
    <n v="600"/>
    <x v="1"/>
    <x v="19"/>
  </r>
  <r>
    <n v="386"/>
    <x v="385"/>
    <x v="0"/>
    <x v="5"/>
    <x v="1"/>
    <n v="600"/>
    <n v="1"/>
    <n v="600"/>
    <n v="600"/>
    <x v="1"/>
    <x v="20"/>
  </r>
  <r>
    <n v="387"/>
    <x v="386"/>
    <x v="0"/>
    <x v="5"/>
    <x v="1"/>
    <n v="600"/>
    <n v="1"/>
    <n v="600"/>
    <n v="600"/>
    <x v="1"/>
    <x v="21"/>
  </r>
  <r>
    <n v="388"/>
    <x v="387"/>
    <x v="0"/>
    <x v="8"/>
    <x v="3"/>
    <n v="500"/>
    <n v="1"/>
    <n v="500"/>
    <n v="500"/>
    <x v="1"/>
    <x v="22"/>
  </r>
  <r>
    <n v="389"/>
    <x v="388"/>
    <x v="0"/>
    <x v="5"/>
    <x v="1"/>
    <n v="600"/>
    <n v="1"/>
    <n v="600"/>
    <n v="600"/>
    <x v="1"/>
    <x v="23"/>
  </r>
  <r>
    <n v="390"/>
    <x v="389"/>
    <x v="1"/>
    <x v="2"/>
    <x v="0"/>
    <n v="900"/>
    <n v="1"/>
    <n v="900"/>
    <n v="900"/>
    <x v="1"/>
    <x v="24"/>
  </r>
  <r>
    <n v="391"/>
    <x v="390"/>
    <x v="0"/>
    <x v="7"/>
    <x v="2"/>
    <n v="1200"/>
    <n v="2"/>
    <n v="2400"/>
    <n v="2400"/>
    <x v="1"/>
    <x v="25"/>
  </r>
  <r>
    <n v="392"/>
    <x v="391"/>
    <x v="0"/>
    <x v="0"/>
    <x v="0"/>
    <n v="1100"/>
    <n v="1"/>
    <n v="1100"/>
    <n v="1100"/>
    <x v="1"/>
    <x v="26"/>
  </r>
  <r>
    <n v="393"/>
    <x v="392"/>
    <x v="0"/>
    <x v="4"/>
    <x v="1"/>
    <n v="800"/>
    <n v="1"/>
    <n v="800"/>
    <n v="800"/>
    <x v="1"/>
    <x v="27"/>
  </r>
  <r>
    <n v="394"/>
    <x v="393"/>
    <x v="0"/>
    <x v="4"/>
    <x v="1"/>
    <n v="800"/>
    <n v="1"/>
    <n v="800"/>
    <n v="800"/>
    <x v="1"/>
    <x v="28"/>
  </r>
  <r>
    <n v="395"/>
    <x v="394"/>
    <x v="0"/>
    <x v="0"/>
    <x v="0"/>
    <n v="1100"/>
    <n v="1"/>
    <n v="1100"/>
    <n v="1100"/>
    <x v="1"/>
    <x v="29"/>
  </r>
  <r>
    <n v="396"/>
    <x v="395"/>
    <x v="0"/>
    <x v="3"/>
    <x v="0"/>
    <n v="1000"/>
    <n v="1"/>
    <n v="1000"/>
    <n v="1000"/>
    <x v="1"/>
    <x v="30"/>
  </r>
  <r>
    <n v="397"/>
    <x v="396"/>
    <x v="0"/>
    <x v="8"/>
    <x v="3"/>
    <n v="500"/>
    <n v="1"/>
    <n v="500"/>
    <n v="500"/>
    <x v="1"/>
    <x v="0"/>
  </r>
  <r>
    <n v="398"/>
    <x v="397"/>
    <x v="0"/>
    <x v="1"/>
    <x v="0"/>
    <n v="900"/>
    <n v="1"/>
    <n v="900"/>
    <n v="900"/>
    <x v="1"/>
    <x v="1"/>
  </r>
  <r>
    <n v="399"/>
    <x v="398"/>
    <x v="0"/>
    <x v="5"/>
    <x v="1"/>
    <n v="600"/>
    <n v="1"/>
    <n v="600"/>
    <n v="600"/>
    <x v="1"/>
    <x v="2"/>
  </r>
  <r>
    <n v="400"/>
    <x v="399"/>
    <x v="0"/>
    <x v="1"/>
    <x v="0"/>
    <n v="900"/>
    <n v="1"/>
    <n v="900"/>
    <n v="900"/>
    <x v="1"/>
    <x v="3"/>
  </r>
  <r>
    <n v="401"/>
    <x v="400"/>
    <x v="0"/>
    <x v="7"/>
    <x v="2"/>
    <n v="1200"/>
    <n v="1"/>
    <n v="1200"/>
    <n v="1200"/>
    <x v="1"/>
    <x v="4"/>
  </r>
  <r>
    <n v="402"/>
    <x v="401"/>
    <x v="0"/>
    <x v="0"/>
    <x v="0"/>
    <n v="1100"/>
    <n v="1"/>
    <n v="1100"/>
    <n v="1100"/>
    <x v="1"/>
    <x v="5"/>
  </r>
  <r>
    <n v="403"/>
    <x v="402"/>
    <x v="0"/>
    <x v="4"/>
    <x v="1"/>
    <n v="800"/>
    <n v="1"/>
    <n v="800"/>
    <n v="800"/>
    <x v="1"/>
    <x v="6"/>
  </r>
  <r>
    <n v="404"/>
    <x v="403"/>
    <x v="0"/>
    <x v="1"/>
    <x v="0"/>
    <n v="900"/>
    <n v="1"/>
    <n v="900"/>
    <n v="900"/>
    <x v="1"/>
    <x v="7"/>
  </r>
  <r>
    <n v="405"/>
    <x v="404"/>
    <x v="0"/>
    <x v="0"/>
    <x v="0"/>
    <n v="1100"/>
    <n v="1"/>
    <n v="1100"/>
    <n v="1100"/>
    <x v="1"/>
    <x v="8"/>
  </r>
  <r>
    <n v="406"/>
    <x v="405"/>
    <x v="1"/>
    <x v="4"/>
    <x v="1"/>
    <n v="800"/>
    <n v="1"/>
    <n v="800"/>
    <n v="800"/>
    <x v="1"/>
    <x v="9"/>
  </r>
  <r>
    <n v="407"/>
    <x v="406"/>
    <x v="0"/>
    <x v="6"/>
    <x v="2"/>
    <n v="900"/>
    <n v="1"/>
    <n v="900"/>
    <n v="900"/>
    <x v="1"/>
    <x v="10"/>
  </r>
  <r>
    <n v="408"/>
    <x v="407"/>
    <x v="0"/>
    <x v="2"/>
    <x v="0"/>
    <n v="900"/>
    <n v="1"/>
    <n v="900"/>
    <n v="900"/>
    <x v="1"/>
    <x v="11"/>
  </r>
  <r>
    <n v="409"/>
    <x v="408"/>
    <x v="0"/>
    <x v="0"/>
    <x v="0"/>
    <n v="900"/>
    <n v="1"/>
    <n v="900"/>
    <n v="900"/>
    <x v="1"/>
    <x v="12"/>
  </r>
  <r>
    <n v="410"/>
    <x v="409"/>
    <x v="0"/>
    <x v="5"/>
    <x v="1"/>
    <n v="600"/>
    <n v="1"/>
    <n v="600"/>
    <n v="600"/>
    <x v="1"/>
    <x v="13"/>
  </r>
  <r>
    <n v="411"/>
    <x v="410"/>
    <x v="0"/>
    <x v="7"/>
    <x v="2"/>
    <n v="1200"/>
    <n v="1"/>
    <n v="1200"/>
    <n v="1200"/>
    <x v="1"/>
    <x v="14"/>
  </r>
  <r>
    <n v="412"/>
    <x v="411"/>
    <x v="0"/>
    <x v="5"/>
    <x v="1"/>
    <n v="600"/>
    <n v="1"/>
    <n v="600"/>
    <n v="600"/>
    <x v="1"/>
    <x v="15"/>
  </r>
  <r>
    <n v="413"/>
    <x v="412"/>
    <x v="0"/>
    <x v="5"/>
    <x v="1"/>
    <n v="600"/>
    <n v="1"/>
    <n v="600"/>
    <n v="600"/>
    <x v="1"/>
    <x v="16"/>
  </r>
  <r>
    <n v="414"/>
    <x v="413"/>
    <x v="0"/>
    <x v="0"/>
    <x v="0"/>
    <n v="1100"/>
    <n v="1"/>
    <n v="1100"/>
    <n v="1100"/>
    <x v="1"/>
    <x v="17"/>
  </r>
  <r>
    <n v="415"/>
    <x v="414"/>
    <x v="0"/>
    <x v="1"/>
    <x v="0"/>
    <n v="900"/>
    <n v="1"/>
    <n v="900"/>
    <n v="900"/>
    <x v="1"/>
    <x v="18"/>
  </r>
  <r>
    <n v="416"/>
    <x v="415"/>
    <x v="0"/>
    <x v="3"/>
    <x v="0"/>
    <n v="1000"/>
    <n v="1"/>
    <n v="1000"/>
    <n v="1000"/>
    <x v="1"/>
    <x v="19"/>
  </r>
  <r>
    <n v="417"/>
    <x v="416"/>
    <x v="0"/>
    <x v="1"/>
    <x v="0"/>
    <n v="900"/>
    <n v="1"/>
    <n v="900"/>
    <n v="900"/>
    <x v="1"/>
    <x v="20"/>
  </r>
  <r>
    <n v="418"/>
    <x v="417"/>
    <x v="0"/>
    <x v="5"/>
    <x v="1"/>
    <n v="600"/>
    <n v="1"/>
    <n v="600"/>
    <n v="600"/>
    <x v="1"/>
    <x v="21"/>
  </r>
  <r>
    <n v="419"/>
    <x v="418"/>
    <x v="0"/>
    <x v="6"/>
    <x v="2"/>
    <n v="850"/>
    <n v="1"/>
    <n v="850"/>
    <n v="850"/>
    <x v="1"/>
    <x v="22"/>
  </r>
  <r>
    <n v="420"/>
    <x v="419"/>
    <x v="0"/>
    <x v="8"/>
    <x v="3"/>
    <n v="500"/>
    <n v="1"/>
    <n v="500"/>
    <n v="500"/>
    <x v="1"/>
    <x v="23"/>
  </r>
  <r>
    <n v="421"/>
    <x v="420"/>
    <x v="0"/>
    <x v="3"/>
    <x v="0"/>
    <n v="1000"/>
    <n v="1"/>
    <n v="1000"/>
    <n v="1000"/>
    <x v="1"/>
    <x v="24"/>
  </r>
  <r>
    <n v="422"/>
    <x v="421"/>
    <x v="0"/>
    <x v="0"/>
    <x v="0"/>
    <n v="1100"/>
    <n v="1"/>
    <n v="1100"/>
    <n v="1100"/>
    <x v="1"/>
    <x v="25"/>
  </r>
  <r>
    <n v="423"/>
    <x v="422"/>
    <x v="0"/>
    <x v="0"/>
    <x v="0"/>
    <n v="1100"/>
    <n v="2"/>
    <n v="2200"/>
    <n v="2200"/>
    <x v="1"/>
    <x v="26"/>
  </r>
  <r>
    <n v="424"/>
    <x v="423"/>
    <x v="0"/>
    <x v="2"/>
    <x v="0"/>
    <n v="900"/>
    <n v="1"/>
    <n v="900"/>
    <n v="900"/>
    <x v="1"/>
    <x v="27"/>
  </r>
  <r>
    <n v="425"/>
    <x v="424"/>
    <x v="0"/>
    <x v="2"/>
    <x v="0"/>
    <n v="900"/>
    <n v="1"/>
    <n v="900"/>
    <n v="900"/>
    <x v="1"/>
    <x v="28"/>
  </r>
  <r>
    <n v="426"/>
    <x v="425"/>
    <x v="0"/>
    <x v="5"/>
    <x v="1"/>
    <n v="600"/>
    <n v="1"/>
    <n v="600"/>
    <n v="600"/>
    <x v="1"/>
    <x v="0"/>
  </r>
  <r>
    <n v="427"/>
    <x v="426"/>
    <x v="0"/>
    <x v="8"/>
    <x v="3"/>
    <n v="900"/>
    <n v="1"/>
    <n v="900"/>
    <n v="900"/>
    <x v="1"/>
    <x v="1"/>
  </r>
  <r>
    <n v="428"/>
    <x v="427"/>
    <x v="0"/>
    <x v="0"/>
    <x v="0"/>
    <n v="1100"/>
    <n v="1"/>
    <n v="1100"/>
    <n v="1100"/>
    <x v="1"/>
    <x v="2"/>
  </r>
  <r>
    <n v="429"/>
    <x v="428"/>
    <x v="0"/>
    <x v="5"/>
    <x v="1"/>
    <n v="600"/>
    <n v="1"/>
    <n v="600"/>
    <n v="600"/>
    <x v="1"/>
    <x v="3"/>
  </r>
  <r>
    <n v="430"/>
    <x v="429"/>
    <x v="0"/>
    <x v="5"/>
    <x v="1"/>
    <n v="600"/>
    <n v="1"/>
    <n v="600"/>
    <n v="600"/>
    <x v="1"/>
    <x v="4"/>
  </r>
  <r>
    <n v="431"/>
    <x v="430"/>
    <x v="0"/>
    <x v="8"/>
    <x v="3"/>
    <n v="500"/>
    <n v="1"/>
    <n v="500"/>
    <n v="500"/>
    <x v="1"/>
    <x v="5"/>
  </r>
  <r>
    <n v="432"/>
    <x v="431"/>
    <x v="0"/>
    <x v="2"/>
    <x v="0"/>
    <n v="900"/>
    <n v="1"/>
    <n v="900"/>
    <n v="900"/>
    <x v="1"/>
    <x v="6"/>
  </r>
  <r>
    <n v="433"/>
    <x v="432"/>
    <x v="0"/>
    <x v="7"/>
    <x v="2"/>
    <n v="1200"/>
    <n v="1"/>
    <n v="1200"/>
    <n v="1200"/>
    <x v="1"/>
    <x v="7"/>
  </r>
  <r>
    <n v="434"/>
    <x v="433"/>
    <x v="0"/>
    <x v="5"/>
    <x v="1"/>
    <n v="600"/>
    <n v="2"/>
    <n v="1200"/>
    <n v="1200"/>
    <x v="1"/>
    <x v="8"/>
  </r>
  <r>
    <n v="435"/>
    <x v="434"/>
    <x v="0"/>
    <x v="2"/>
    <x v="0"/>
    <n v="900"/>
    <n v="1"/>
    <n v="900"/>
    <n v="900"/>
    <x v="1"/>
    <x v="9"/>
  </r>
  <r>
    <n v="436"/>
    <x v="435"/>
    <x v="0"/>
    <x v="0"/>
    <x v="0"/>
    <n v="1100"/>
    <n v="2"/>
    <n v="2200"/>
    <n v="2200"/>
    <x v="1"/>
    <x v="10"/>
  </r>
  <r>
    <n v="437"/>
    <x v="436"/>
    <x v="0"/>
    <x v="9"/>
    <x v="3"/>
    <n v="600"/>
    <n v="1"/>
    <n v="600"/>
    <n v="600"/>
    <x v="1"/>
    <x v="11"/>
  </r>
  <r>
    <n v="438"/>
    <x v="437"/>
    <x v="0"/>
    <x v="5"/>
    <x v="1"/>
    <n v="600"/>
    <n v="1"/>
    <n v="600"/>
    <n v="600"/>
    <x v="1"/>
    <x v="12"/>
  </r>
  <r>
    <n v="439"/>
    <x v="438"/>
    <x v="0"/>
    <x v="9"/>
    <x v="3"/>
    <n v="300"/>
    <n v="2"/>
    <n v="600"/>
    <n v="600"/>
    <x v="1"/>
    <x v="13"/>
  </r>
  <r>
    <n v="440"/>
    <x v="439"/>
    <x v="0"/>
    <x v="0"/>
    <x v="0"/>
    <n v="1100"/>
    <n v="2"/>
    <n v="2200"/>
    <n v="2200"/>
    <x v="1"/>
    <x v="14"/>
  </r>
  <r>
    <n v="441"/>
    <x v="440"/>
    <x v="0"/>
    <x v="3"/>
    <x v="0"/>
    <n v="1000"/>
    <n v="1"/>
    <n v="1000"/>
    <n v="1000"/>
    <x v="1"/>
    <x v="15"/>
  </r>
  <r>
    <n v="442"/>
    <x v="441"/>
    <x v="0"/>
    <x v="5"/>
    <x v="1"/>
    <n v="600"/>
    <n v="1"/>
    <n v="600"/>
    <n v="600"/>
    <x v="1"/>
    <x v="16"/>
  </r>
  <r>
    <n v="443"/>
    <x v="442"/>
    <x v="0"/>
    <x v="2"/>
    <x v="0"/>
    <n v="900"/>
    <n v="1"/>
    <n v="900"/>
    <n v="900"/>
    <x v="1"/>
    <x v="17"/>
  </r>
  <r>
    <n v="444"/>
    <x v="443"/>
    <x v="0"/>
    <x v="7"/>
    <x v="2"/>
    <n v="1200"/>
    <n v="1"/>
    <n v="1200"/>
    <n v="1200"/>
    <x v="1"/>
    <x v="18"/>
  </r>
  <r>
    <n v="445"/>
    <x v="444"/>
    <x v="0"/>
    <x v="0"/>
    <x v="0"/>
    <n v="1100"/>
    <n v="1"/>
    <n v="1100"/>
    <n v="1100"/>
    <x v="1"/>
    <x v="19"/>
  </r>
  <r>
    <n v="446"/>
    <x v="445"/>
    <x v="0"/>
    <x v="6"/>
    <x v="2"/>
    <n v="850"/>
    <n v="1"/>
    <n v="850"/>
    <n v="850"/>
    <x v="1"/>
    <x v="20"/>
  </r>
  <r>
    <n v="447"/>
    <x v="446"/>
    <x v="0"/>
    <x v="0"/>
    <x v="0"/>
    <n v="1100"/>
    <n v="1"/>
    <n v="1100"/>
    <n v="1100"/>
    <x v="1"/>
    <x v="21"/>
  </r>
  <r>
    <n v="448"/>
    <x v="447"/>
    <x v="0"/>
    <x v="0"/>
    <x v="0"/>
    <n v="1100"/>
    <n v="2"/>
    <n v="2200"/>
    <n v="2200"/>
    <x v="1"/>
    <x v="22"/>
  </r>
  <r>
    <n v="449"/>
    <x v="448"/>
    <x v="0"/>
    <x v="2"/>
    <x v="0"/>
    <n v="900"/>
    <n v="1"/>
    <n v="900"/>
    <n v="900"/>
    <x v="1"/>
    <x v="23"/>
  </r>
  <r>
    <n v="450"/>
    <x v="449"/>
    <x v="0"/>
    <x v="5"/>
    <x v="1"/>
    <n v="600"/>
    <n v="1"/>
    <n v="600"/>
    <n v="600"/>
    <x v="1"/>
    <x v="24"/>
  </r>
  <r>
    <n v="451"/>
    <x v="450"/>
    <x v="0"/>
    <x v="5"/>
    <x v="1"/>
    <n v="600"/>
    <n v="1"/>
    <n v="600"/>
    <n v="600"/>
    <x v="1"/>
    <x v="25"/>
  </r>
  <r>
    <n v="452"/>
    <x v="451"/>
    <x v="0"/>
    <x v="7"/>
    <x v="2"/>
    <n v="1200"/>
    <n v="1"/>
    <n v="1200"/>
    <n v="1200"/>
    <x v="1"/>
    <x v="26"/>
  </r>
  <r>
    <n v="453"/>
    <x v="452"/>
    <x v="0"/>
    <x v="2"/>
    <x v="0"/>
    <n v="900"/>
    <n v="1"/>
    <n v="900"/>
    <n v="900"/>
    <x v="1"/>
    <x v="27"/>
  </r>
  <r>
    <n v="454"/>
    <x v="453"/>
    <x v="0"/>
    <x v="4"/>
    <x v="1"/>
    <n v="800"/>
    <n v="1"/>
    <n v="800"/>
    <n v="800"/>
    <x v="1"/>
    <x v="28"/>
  </r>
  <r>
    <n v="455"/>
    <x v="454"/>
    <x v="0"/>
    <x v="2"/>
    <x v="0"/>
    <n v="900"/>
    <n v="1"/>
    <n v="900"/>
    <n v="900"/>
    <x v="1"/>
    <x v="29"/>
  </r>
  <r>
    <n v="456"/>
    <x v="455"/>
    <x v="0"/>
    <x v="0"/>
    <x v="0"/>
    <n v="1100"/>
    <n v="1"/>
    <n v="1100"/>
    <n v="1100"/>
    <x v="1"/>
    <x v="30"/>
  </r>
  <r>
    <n v="457"/>
    <x v="456"/>
    <x v="0"/>
    <x v="9"/>
    <x v="3"/>
    <n v="600"/>
    <n v="1"/>
    <n v="600"/>
    <n v="600"/>
    <x v="1"/>
    <x v="0"/>
  </r>
  <r>
    <n v="458"/>
    <x v="457"/>
    <x v="0"/>
    <x v="0"/>
    <x v="0"/>
    <n v="1100"/>
    <n v="1"/>
    <n v="1100"/>
    <n v="1100"/>
    <x v="1"/>
    <x v="1"/>
  </r>
  <r>
    <n v="459"/>
    <x v="458"/>
    <x v="0"/>
    <x v="4"/>
    <x v="1"/>
    <n v="800"/>
    <n v="1"/>
    <n v="800"/>
    <n v="800"/>
    <x v="1"/>
    <x v="2"/>
  </r>
  <r>
    <n v="460"/>
    <x v="459"/>
    <x v="0"/>
    <x v="2"/>
    <x v="0"/>
    <n v="900"/>
    <n v="1"/>
    <n v="900"/>
    <n v="900"/>
    <x v="1"/>
    <x v="3"/>
  </r>
  <r>
    <n v="461"/>
    <x v="460"/>
    <x v="0"/>
    <x v="0"/>
    <x v="0"/>
    <n v="1100"/>
    <n v="1"/>
    <n v="1100"/>
    <n v="1100"/>
    <x v="1"/>
    <x v="4"/>
  </r>
  <r>
    <n v="462"/>
    <x v="461"/>
    <x v="0"/>
    <x v="2"/>
    <x v="0"/>
    <n v="900"/>
    <n v="1"/>
    <n v="900"/>
    <n v="900"/>
    <x v="1"/>
    <x v="5"/>
  </r>
  <r>
    <n v="463"/>
    <x v="462"/>
    <x v="0"/>
    <x v="5"/>
    <x v="1"/>
    <n v="600"/>
    <n v="1"/>
    <n v="600"/>
    <n v="600"/>
    <x v="1"/>
    <x v="6"/>
  </r>
  <r>
    <n v="464"/>
    <x v="463"/>
    <x v="0"/>
    <x v="0"/>
    <x v="0"/>
    <n v="1100"/>
    <n v="1"/>
    <n v="1100"/>
    <n v="1100"/>
    <x v="1"/>
    <x v="7"/>
  </r>
  <r>
    <n v="465"/>
    <x v="464"/>
    <x v="0"/>
    <x v="0"/>
    <x v="0"/>
    <n v="1100"/>
    <n v="2"/>
    <n v="2200"/>
    <n v="2200"/>
    <x v="1"/>
    <x v="8"/>
  </r>
  <r>
    <n v="466"/>
    <x v="465"/>
    <x v="0"/>
    <x v="0"/>
    <x v="0"/>
    <n v="1100"/>
    <n v="1"/>
    <n v="1100"/>
    <n v="1100"/>
    <x v="1"/>
    <x v="9"/>
  </r>
  <r>
    <n v="467"/>
    <x v="466"/>
    <x v="0"/>
    <x v="0"/>
    <x v="0"/>
    <n v="1100"/>
    <n v="1"/>
    <n v="1100"/>
    <n v="1100"/>
    <x v="1"/>
    <x v="10"/>
  </r>
  <r>
    <n v="468"/>
    <x v="467"/>
    <x v="0"/>
    <x v="0"/>
    <x v="0"/>
    <n v="1100"/>
    <n v="1"/>
    <n v="1100"/>
    <n v="1100"/>
    <x v="1"/>
    <x v="11"/>
  </r>
  <r>
    <n v="469"/>
    <x v="468"/>
    <x v="0"/>
    <x v="5"/>
    <x v="1"/>
    <n v="600"/>
    <n v="1"/>
    <n v="600"/>
    <n v="600"/>
    <x v="1"/>
    <x v="12"/>
  </r>
  <r>
    <n v="470"/>
    <x v="469"/>
    <x v="0"/>
    <x v="0"/>
    <x v="0"/>
    <n v="1100"/>
    <n v="1"/>
    <n v="1100"/>
    <n v="1100"/>
    <x v="1"/>
    <x v="13"/>
  </r>
  <r>
    <n v="471"/>
    <x v="470"/>
    <x v="0"/>
    <x v="5"/>
    <x v="1"/>
    <n v="600"/>
    <n v="1"/>
    <n v="600"/>
    <n v="600"/>
    <x v="1"/>
    <x v="14"/>
  </r>
  <r>
    <n v="472"/>
    <x v="471"/>
    <x v="0"/>
    <x v="2"/>
    <x v="0"/>
    <n v="900"/>
    <n v="1"/>
    <n v="900"/>
    <n v="900"/>
    <x v="1"/>
    <x v="15"/>
  </r>
  <r>
    <n v="473"/>
    <x v="472"/>
    <x v="0"/>
    <x v="0"/>
    <x v="0"/>
    <n v="1100"/>
    <n v="1"/>
    <n v="1100"/>
    <n v="1100"/>
    <x v="1"/>
    <x v="16"/>
  </r>
  <r>
    <n v="474"/>
    <x v="473"/>
    <x v="0"/>
    <x v="5"/>
    <x v="1"/>
    <n v="600"/>
    <n v="1"/>
    <n v="600"/>
    <n v="600"/>
    <x v="1"/>
    <x v="17"/>
  </r>
  <r>
    <n v="475"/>
    <x v="474"/>
    <x v="0"/>
    <x v="5"/>
    <x v="1"/>
    <n v="600"/>
    <n v="1"/>
    <n v="600"/>
    <n v="600"/>
    <x v="1"/>
    <x v="18"/>
  </r>
  <r>
    <n v="476"/>
    <x v="475"/>
    <x v="0"/>
    <x v="6"/>
    <x v="2"/>
    <n v="850"/>
    <n v="1"/>
    <n v="850"/>
    <n v="850"/>
    <x v="1"/>
    <x v="19"/>
  </r>
  <r>
    <n v="477"/>
    <x v="476"/>
    <x v="0"/>
    <x v="5"/>
    <x v="1"/>
    <n v="600"/>
    <n v="1"/>
    <n v="600"/>
    <n v="600"/>
    <x v="1"/>
    <x v="20"/>
  </r>
  <r>
    <n v="478"/>
    <x v="477"/>
    <x v="0"/>
    <x v="0"/>
    <x v="0"/>
    <n v="1100"/>
    <n v="1"/>
    <n v="1100"/>
    <n v="1100"/>
    <x v="1"/>
    <x v="21"/>
  </r>
  <r>
    <n v="479"/>
    <x v="478"/>
    <x v="0"/>
    <x v="9"/>
    <x v="3"/>
    <n v="300"/>
    <n v="1"/>
    <n v="300"/>
    <n v="300"/>
    <x v="1"/>
    <x v="22"/>
  </r>
  <r>
    <n v="480"/>
    <x v="479"/>
    <x v="0"/>
    <x v="9"/>
    <x v="3"/>
    <n v="300"/>
    <n v="1"/>
    <n v="300"/>
    <n v="300"/>
    <x v="1"/>
    <x v="23"/>
  </r>
  <r>
    <n v="481"/>
    <x v="480"/>
    <x v="0"/>
    <x v="5"/>
    <x v="1"/>
    <n v="600"/>
    <n v="1"/>
    <n v="600"/>
    <n v="600"/>
    <x v="1"/>
    <x v="24"/>
  </r>
  <r>
    <n v="482"/>
    <x v="481"/>
    <x v="0"/>
    <x v="8"/>
    <x v="3"/>
    <n v="800"/>
    <n v="1"/>
    <n v="800"/>
    <n v="800"/>
    <x v="1"/>
    <x v="25"/>
  </r>
  <r>
    <n v="483"/>
    <x v="482"/>
    <x v="0"/>
    <x v="5"/>
    <x v="1"/>
    <n v="600"/>
    <n v="1"/>
    <n v="600"/>
    <n v="600"/>
    <x v="1"/>
    <x v="26"/>
  </r>
  <r>
    <n v="484"/>
    <x v="483"/>
    <x v="0"/>
    <x v="8"/>
    <x v="3"/>
    <n v="500"/>
    <n v="1"/>
    <n v="500"/>
    <n v="500"/>
    <x v="1"/>
    <x v="27"/>
  </r>
  <r>
    <n v="485"/>
    <x v="484"/>
    <x v="0"/>
    <x v="0"/>
    <x v="0"/>
    <n v="1100"/>
    <n v="1"/>
    <n v="1100"/>
    <n v="1100"/>
    <x v="1"/>
    <x v="28"/>
  </r>
  <r>
    <n v="486"/>
    <x v="485"/>
    <x v="0"/>
    <x v="5"/>
    <x v="1"/>
    <n v="600"/>
    <n v="1"/>
    <n v="600"/>
    <n v="600"/>
    <x v="1"/>
    <x v="29"/>
  </r>
  <r>
    <n v="487"/>
    <x v="486"/>
    <x v="0"/>
    <x v="1"/>
    <x v="0"/>
    <n v="900"/>
    <n v="1"/>
    <n v="900"/>
    <n v="900"/>
    <x v="1"/>
    <x v="0"/>
  </r>
  <r>
    <n v="488"/>
    <x v="487"/>
    <x v="0"/>
    <x v="0"/>
    <x v="0"/>
    <n v="1100"/>
    <n v="1"/>
    <n v="1100"/>
    <n v="1100"/>
    <x v="1"/>
    <x v="1"/>
  </r>
  <r>
    <n v="489"/>
    <x v="488"/>
    <x v="0"/>
    <x v="7"/>
    <x v="2"/>
    <n v="1200"/>
    <n v="1"/>
    <n v="1200"/>
    <n v="1200"/>
    <x v="1"/>
    <x v="2"/>
  </r>
  <r>
    <n v="490"/>
    <x v="489"/>
    <x v="0"/>
    <x v="0"/>
    <x v="0"/>
    <n v="1100"/>
    <n v="1"/>
    <n v="1100"/>
    <n v="1100"/>
    <x v="1"/>
    <x v="3"/>
  </r>
  <r>
    <n v="491"/>
    <x v="490"/>
    <x v="0"/>
    <x v="1"/>
    <x v="0"/>
    <n v="900"/>
    <n v="1"/>
    <n v="900"/>
    <n v="900"/>
    <x v="1"/>
    <x v="4"/>
  </r>
  <r>
    <n v="492"/>
    <x v="491"/>
    <x v="0"/>
    <x v="8"/>
    <x v="3"/>
    <n v="900"/>
    <n v="1"/>
    <n v="900"/>
    <n v="900"/>
    <x v="1"/>
    <x v="5"/>
  </r>
  <r>
    <n v="493"/>
    <x v="492"/>
    <x v="0"/>
    <x v="9"/>
    <x v="3"/>
    <n v="600"/>
    <n v="1"/>
    <n v="600"/>
    <n v="600"/>
    <x v="1"/>
    <x v="6"/>
  </r>
  <r>
    <n v="494"/>
    <x v="493"/>
    <x v="0"/>
    <x v="0"/>
    <x v="0"/>
    <n v="1100"/>
    <n v="1"/>
    <n v="1100"/>
    <n v="1100"/>
    <x v="1"/>
    <x v="7"/>
  </r>
  <r>
    <n v="495"/>
    <x v="494"/>
    <x v="0"/>
    <x v="0"/>
    <x v="0"/>
    <n v="1100"/>
    <n v="1"/>
    <n v="1100"/>
    <n v="1100"/>
    <x v="1"/>
    <x v="8"/>
  </r>
  <r>
    <n v="496"/>
    <x v="495"/>
    <x v="0"/>
    <x v="8"/>
    <x v="3"/>
    <n v="500"/>
    <n v="1"/>
    <n v="500"/>
    <n v="500"/>
    <x v="1"/>
    <x v="9"/>
  </r>
  <r>
    <n v="497"/>
    <x v="496"/>
    <x v="0"/>
    <x v="6"/>
    <x v="2"/>
    <n v="850"/>
    <n v="1"/>
    <n v="850"/>
    <n v="850"/>
    <x v="1"/>
    <x v="10"/>
  </r>
  <r>
    <n v="498"/>
    <x v="497"/>
    <x v="0"/>
    <x v="0"/>
    <x v="0"/>
    <n v="1100"/>
    <n v="1"/>
    <n v="1100"/>
    <n v="1100"/>
    <x v="1"/>
    <x v="11"/>
  </r>
  <r>
    <n v="499"/>
    <x v="498"/>
    <x v="0"/>
    <x v="9"/>
    <x v="3"/>
    <n v="300"/>
    <n v="1"/>
    <n v="300"/>
    <n v="300"/>
    <x v="1"/>
    <x v="12"/>
  </r>
  <r>
    <n v="500"/>
    <x v="499"/>
    <x v="0"/>
    <x v="4"/>
    <x v="1"/>
    <n v="800"/>
    <n v="1"/>
    <n v="800"/>
    <n v="800"/>
    <x v="1"/>
    <x v="13"/>
  </r>
  <r>
    <n v="501"/>
    <x v="500"/>
    <x v="0"/>
    <x v="1"/>
    <x v="0"/>
    <n v="900"/>
    <n v="1"/>
    <n v="900"/>
    <n v="900"/>
    <x v="1"/>
    <x v="14"/>
  </r>
  <r>
    <n v="502"/>
    <x v="501"/>
    <x v="0"/>
    <x v="0"/>
    <x v="0"/>
    <n v="1100"/>
    <n v="1"/>
    <n v="1100"/>
    <n v="1100"/>
    <x v="1"/>
    <x v="15"/>
  </r>
  <r>
    <n v="503"/>
    <x v="502"/>
    <x v="0"/>
    <x v="8"/>
    <x v="3"/>
    <n v="500"/>
    <n v="1"/>
    <n v="500"/>
    <n v="500"/>
    <x v="1"/>
    <x v="16"/>
  </r>
  <r>
    <n v="504"/>
    <x v="503"/>
    <x v="0"/>
    <x v="5"/>
    <x v="1"/>
    <n v="600"/>
    <n v="1"/>
    <n v="600"/>
    <n v="600"/>
    <x v="1"/>
    <x v="17"/>
  </r>
  <r>
    <n v="505"/>
    <x v="504"/>
    <x v="0"/>
    <x v="2"/>
    <x v="0"/>
    <n v="900"/>
    <n v="1"/>
    <n v="900"/>
    <n v="900"/>
    <x v="1"/>
    <x v="18"/>
  </r>
  <r>
    <n v="506"/>
    <x v="505"/>
    <x v="0"/>
    <x v="9"/>
    <x v="3"/>
    <n v="600"/>
    <n v="1"/>
    <n v="600"/>
    <n v="600"/>
    <x v="1"/>
    <x v="19"/>
  </r>
  <r>
    <n v="507"/>
    <x v="506"/>
    <x v="0"/>
    <x v="5"/>
    <x v="1"/>
    <n v="600"/>
    <n v="1"/>
    <n v="600"/>
    <n v="600"/>
    <x v="1"/>
    <x v="20"/>
  </r>
  <r>
    <n v="508"/>
    <x v="507"/>
    <x v="0"/>
    <x v="0"/>
    <x v="0"/>
    <n v="1100"/>
    <n v="1"/>
    <n v="1100"/>
    <n v="1100"/>
    <x v="1"/>
    <x v="21"/>
  </r>
  <r>
    <n v="509"/>
    <x v="508"/>
    <x v="0"/>
    <x v="0"/>
    <x v="0"/>
    <n v="1100"/>
    <n v="2"/>
    <n v="2200"/>
    <n v="2200"/>
    <x v="1"/>
    <x v="22"/>
  </r>
  <r>
    <n v="510"/>
    <x v="509"/>
    <x v="0"/>
    <x v="0"/>
    <x v="0"/>
    <n v="1100"/>
    <n v="1"/>
    <n v="1100"/>
    <n v="1100"/>
    <x v="1"/>
    <x v="23"/>
  </r>
  <r>
    <n v="511"/>
    <x v="510"/>
    <x v="0"/>
    <x v="6"/>
    <x v="2"/>
    <n v="850"/>
    <n v="1"/>
    <n v="850"/>
    <n v="850"/>
    <x v="1"/>
    <x v="24"/>
  </r>
  <r>
    <n v="512"/>
    <x v="511"/>
    <x v="0"/>
    <x v="0"/>
    <x v="0"/>
    <n v="1100"/>
    <n v="1"/>
    <n v="1100"/>
    <n v="1100"/>
    <x v="1"/>
    <x v="25"/>
  </r>
  <r>
    <n v="513"/>
    <x v="512"/>
    <x v="0"/>
    <x v="1"/>
    <x v="0"/>
    <n v="900"/>
    <n v="1"/>
    <n v="900"/>
    <n v="900"/>
    <x v="1"/>
    <x v="26"/>
  </r>
  <r>
    <n v="514"/>
    <x v="513"/>
    <x v="0"/>
    <x v="2"/>
    <x v="0"/>
    <n v="900"/>
    <n v="1"/>
    <n v="900"/>
    <n v="900"/>
    <x v="1"/>
    <x v="27"/>
  </r>
  <r>
    <n v="515"/>
    <x v="514"/>
    <x v="0"/>
    <x v="1"/>
    <x v="0"/>
    <n v="900"/>
    <n v="1"/>
    <n v="900"/>
    <n v="900"/>
    <x v="1"/>
    <x v="28"/>
  </r>
  <r>
    <n v="516"/>
    <x v="515"/>
    <x v="0"/>
    <x v="3"/>
    <x v="0"/>
    <n v="1000"/>
    <n v="1"/>
    <n v="1000"/>
    <n v="1000"/>
    <x v="1"/>
    <x v="29"/>
  </r>
  <r>
    <n v="517"/>
    <x v="516"/>
    <x v="0"/>
    <x v="7"/>
    <x v="2"/>
    <n v="1200"/>
    <n v="1"/>
    <n v="1200"/>
    <n v="1200"/>
    <x v="1"/>
    <x v="30"/>
  </r>
  <r>
    <n v="518"/>
    <x v="517"/>
    <x v="0"/>
    <x v="2"/>
    <x v="0"/>
    <n v="900"/>
    <n v="1"/>
    <n v="900"/>
    <n v="900"/>
    <x v="1"/>
    <x v="0"/>
  </r>
  <r>
    <n v="519"/>
    <x v="518"/>
    <x v="0"/>
    <x v="5"/>
    <x v="1"/>
    <n v="600"/>
    <n v="1"/>
    <n v="600"/>
    <n v="600"/>
    <x v="1"/>
    <x v="1"/>
  </r>
  <r>
    <n v="520"/>
    <x v="519"/>
    <x v="0"/>
    <x v="9"/>
    <x v="3"/>
    <n v="600"/>
    <n v="1"/>
    <n v="600"/>
    <n v="600"/>
    <x v="1"/>
    <x v="2"/>
  </r>
  <r>
    <n v="521"/>
    <x v="520"/>
    <x v="0"/>
    <x v="4"/>
    <x v="1"/>
    <n v="800"/>
    <n v="1"/>
    <n v="800"/>
    <n v="800"/>
    <x v="1"/>
    <x v="3"/>
  </r>
  <r>
    <n v="522"/>
    <x v="521"/>
    <x v="0"/>
    <x v="9"/>
    <x v="3"/>
    <n v="600"/>
    <n v="1"/>
    <n v="600"/>
    <n v="600"/>
    <x v="1"/>
    <x v="4"/>
  </r>
  <r>
    <n v="523"/>
    <x v="522"/>
    <x v="0"/>
    <x v="0"/>
    <x v="0"/>
    <n v="1100"/>
    <n v="1"/>
    <n v="1100"/>
    <n v="1100"/>
    <x v="1"/>
    <x v="5"/>
  </r>
  <r>
    <n v="524"/>
    <x v="523"/>
    <x v="0"/>
    <x v="0"/>
    <x v="0"/>
    <n v="1100"/>
    <n v="1"/>
    <n v="1100"/>
    <n v="1100"/>
    <x v="1"/>
    <x v="6"/>
  </r>
  <r>
    <n v="525"/>
    <x v="524"/>
    <x v="0"/>
    <x v="6"/>
    <x v="2"/>
    <n v="850"/>
    <n v="1"/>
    <n v="850"/>
    <n v="850"/>
    <x v="1"/>
    <x v="7"/>
  </r>
  <r>
    <n v="526"/>
    <x v="525"/>
    <x v="0"/>
    <x v="0"/>
    <x v="0"/>
    <n v="1100"/>
    <n v="1"/>
    <n v="1100"/>
    <n v="1100"/>
    <x v="1"/>
    <x v="8"/>
  </r>
  <r>
    <n v="527"/>
    <x v="526"/>
    <x v="0"/>
    <x v="0"/>
    <x v="0"/>
    <n v="1100"/>
    <n v="2"/>
    <n v="2200"/>
    <n v="2200"/>
    <x v="1"/>
    <x v="9"/>
  </r>
  <r>
    <n v="528"/>
    <x v="527"/>
    <x v="0"/>
    <x v="9"/>
    <x v="3"/>
    <n v="300"/>
    <n v="1"/>
    <n v="300"/>
    <n v="300"/>
    <x v="1"/>
    <x v="10"/>
  </r>
  <r>
    <n v="529"/>
    <x v="528"/>
    <x v="0"/>
    <x v="5"/>
    <x v="1"/>
    <n v="600"/>
    <n v="1"/>
    <n v="600"/>
    <n v="600"/>
    <x v="1"/>
    <x v="11"/>
  </r>
  <r>
    <n v="530"/>
    <x v="529"/>
    <x v="0"/>
    <x v="5"/>
    <x v="1"/>
    <n v="600"/>
    <n v="1"/>
    <n v="600"/>
    <n v="600"/>
    <x v="1"/>
    <x v="12"/>
  </r>
  <r>
    <n v="531"/>
    <x v="530"/>
    <x v="0"/>
    <x v="0"/>
    <x v="0"/>
    <n v="1100"/>
    <n v="1"/>
    <n v="1100"/>
    <n v="1100"/>
    <x v="1"/>
    <x v="13"/>
  </r>
  <r>
    <n v="532"/>
    <x v="531"/>
    <x v="0"/>
    <x v="2"/>
    <x v="0"/>
    <n v="900"/>
    <n v="1"/>
    <n v="900"/>
    <n v="900"/>
    <x v="1"/>
    <x v="14"/>
  </r>
  <r>
    <n v="533"/>
    <x v="532"/>
    <x v="0"/>
    <x v="1"/>
    <x v="0"/>
    <n v="900"/>
    <n v="1"/>
    <n v="900"/>
    <n v="900"/>
    <x v="1"/>
    <x v="15"/>
  </r>
  <r>
    <n v="534"/>
    <x v="533"/>
    <x v="0"/>
    <x v="1"/>
    <x v="0"/>
    <n v="900"/>
    <n v="1"/>
    <n v="900"/>
    <n v="900"/>
    <x v="1"/>
    <x v="16"/>
  </r>
  <r>
    <n v="535"/>
    <x v="534"/>
    <x v="0"/>
    <x v="0"/>
    <x v="0"/>
    <n v="1100"/>
    <n v="1"/>
    <n v="1100"/>
    <n v="1100"/>
    <x v="1"/>
    <x v="17"/>
  </r>
  <r>
    <n v="536"/>
    <x v="535"/>
    <x v="0"/>
    <x v="9"/>
    <x v="3"/>
    <n v="600"/>
    <n v="2"/>
    <n v="1200"/>
    <n v="1200"/>
    <x v="1"/>
    <x v="18"/>
  </r>
  <r>
    <n v="537"/>
    <x v="536"/>
    <x v="0"/>
    <x v="6"/>
    <x v="2"/>
    <n v="850"/>
    <n v="1"/>
    <n v="850"/>
    <n v="850"/>
    <x v="1"/>
    <x v="19"/>
  </r>
  <r>
    <n v="538"/>
    <x v="537"/>
    <x v="0"/>
    <x v="1"/>
    <x v="0"/>
    <n v="900"/>
    <n v="1"/>
    <n v="900"/>
    <n v="900"/>
    <x v="1"/>
    <x v="20"/>
  </r>
  <r>
    <n v="539"/>
    <x v="538"/>
    <x v="0"/>
    <x v="5"/>
    <x v="1"/>
    <n v="600"/>
    <n v="1"/>
    <n v="600"/>
    <n v="600"/>
    <x v="1"/>
    <x v="21"/>
  </r>
  <r>
    <n v="540"/>
    <x v="539"/>
    <x v="0"/>
    <x v="5"/>
    <x v="1"/>
    <n v="600"/>
    <n v="1"/>
    <n v="600"/>
    <n v="600"/>
    <x v="1"/>
    <x v="22"/>
  </r>
  <r>
    <n v="541"/>
    <x v="540"/>
    <x v="0"/>
    <x v="0"/>
    <x v="0"/>
    <n v="1100"/>
    <n v="1"/>
    <n v="1100"/>
    <n v="1100"/>
    <x v="1"/>
    <x v="23"/>
  </r>
  <r>
    <n v="542"/>
    <x v="541"/>
    <x v="0"/>
    <x v="0"/>
    <x v="0"/>
    <n v="1100"/>
    <n v="1"/>
    <n v="1100"/>
    <n v="1100"/>
    <x v="1"/>
    <x v="24"/>
  </r>
  <r>
    <n v="543"/>
    <x v="542"/>
    <x v="0"/>
    <x v="0"/>
    <x v="0"/>
    <n v="1100"/>
    <n v="1"/>
    <n v="1100"/>
    <n v="1100"/>
    <x v="1"/>
    <x v="25"/>
  </r>
  <r>
    <n v="544"/>
    <x v="543"/>
    <x v="0"/>
    <x v="0"/>
    <x v="0"/>
    <n v="1100"/>
    <n v="1"/>
    <n v="1100"/>
    <n v="1100"/>
    <x v="1"/>
    <x v="26"/>
  </r>
  <r>
    <n v="545"/>
    <x v="544"/>
    <x v="0"/>
    <x v="1"/>
    <x v="0"/>
    <n v="1100"/>
    <n v="1"/>
    <n v="1100"/>
    <n v="1100"/>
    <x v="1"/>
    <x v="27"/>
  </r>
  <r>
    <n v="546"/>
    <x v="545"/>
    <x v="0"/>
    <x v="1"/>
    <x v="0"/>
    <n v="1100"/>
    <n v="1"/>
    <n v="1100"/>
    <n v="1100"/>
    <x v="1"/>
    <x v="28"/>
  </r>
  <r>
    <n v="547"/>
    <x v="546"/>
    <x v="0"/>
    <x v="1"/>
    <x v="0"/>
    <n v="1100"/>
    <n v="1"/>
    <n v="1100"/>
    <n v="1100"/>
    <x v="1"/>
    <x v="29"/>
  </r>
  <r>
    <n v="548"/>
    <x v="547"/>
    <x v="0"/>
    <x v="1"/>
    <x v="0"/>
    <n v="1100"/>
    <n v="2"/>
    <n v="2200"/>
    <n v="2200"/>
    <x v="1"/>
    <x v="0"/>
  </r>
  <r>
    <n v="549"/>
    <x v="548"/>
    <x v="0"/>
    <x v="1"/>
    <x v="0"/>
    <n v="1100"/>
    <n v="1"/>
    <n v="1100"/>
    <n v="1100"/>
    <x v="1"/>
    <x v="1"/>
  </r>
  <r>
    <n v="550"/>
    <x v="549"/>
    <x v="0"/>
    <x v="1"/>
    <x v="0"/>
    <n v="1100"/>
    <n v="1"/>
    <n v="1100"/>
    <n v="1100"/>
    <x v="1"/>
    <x v="2"/>
  </r>
  <r>
    <n v="551"/>
    <x v="550"/>
    <x v="0"/>
    <x v="1"/>
    <x v="0"/>
    <n v="900"/>
    <n v="1"/>
    <n v="900"/>
    <n v="900"/>
    <x v="1"/>
    <x v="3"/>
  </r>
  <r>
    <n v="552"/>
    <x v="551"/>
    <x v="0"/>
    <x v="1"/>
    <x v="0"/>
    <n v="900"/>
    <n v="1"/>
    <n v="900"/>
    <n v="900"/>
    <x v="1"/>
    <x v="4"/>
  </r>
  <r>
    <n v="553"/>
    <x v="552"/>
    <x v="0"/>
    <x v="1"/>
    <x v="0"/>
    <n v="900"/>
    <n v="1"/>
    <n v="900"/>
    <n v="900"/>
    <x v="1"/>
    <x v="5"/>
  </r>
  <r>
    <n v="554"/>
    <x v="553"/>
    <x v="0"/>
    <x v="1"/>
    <x v="0"/>
    <n v="900"/>
    <n v="2"/>
    <n v="1800"/>
    <n v="1800"/>
    <x v="1"/>
    <x v="6"/>
  </r>
  <r>
    <n v="555"/>
    <x v="554"/>
    <x v="0"/>
    <x v="1"/>
    <x v="0"/>
    <n v="900"/>
    <n v="1"/>
    <n v="900"/>
    <n v="900"/>
    <x v="1"/>
    <x v="7"/>
  </r>
  <r>
    <n v="556"/>
    <x v="555"/>
    <x v="0"/>
    <x v="1"/>
    <x v="0"/>
    <n v="900"/>
    <n v="1"/>
    <n v="900"/>
    <n v="900"/>
    <x v="1"/>
    <x v="8"/>
  </r>
  <r>
    <n v="557"/>
    <x v="556"/>
    <x v="0"/>
    <x v="1"/>
    <x v="0"/>
    <n v="1100"/>
    <n v="1"/>
    <n v="1100"/>
    <n v="1100"/>
    <x v="1"/>
    <x v="9"/>
  </r>
  <r>
    <n v="558"/>
    <x v="557"/>
    <x v="1"/>
    <x v="1"/>
    <x v="0"/>
    <n v="900"/>
    <n v="1"/>
    <n v="900"/>
    <n v="900"/>
    <x v="1"/>
    <x v="10"/>
  </r>
  <r>
    <n v="559"/>
    <x v="558"/>
    <x v="1"/>
    <x v="1"/>
    <x v="0"/>
    <n v="1100"/>
    <n v="2"/>
    <n v="2200"/>
    <n v="2200"/>
    <x v="1"/>
    <x v="11"/>
  </r>
  <r>
    <n v="560"/>
    <x v="559"/>
    <x v="1"/>
    <x v="1"/>
    <x v="0"/>
    <n v="1100"/>
    <n v="1"/>
    <n v="1100"/>
    <n v="1100"/>
    <x v="1"/>
    <x v="12"/>
  </r>
  <r>
    <n v="561"/>
    <x v="560"/>
    <x v="1"/>
    <x v="1"/>
    <x v="0"/>
    <n v="900"/>
    <n v="1"/>
    <n v="900"/>
    <n v="900"/>
    <x v="1"/>
    <x v="13"/>
  </r>
  <r>
    <n v="562"/>
    <x v="561"/>
    <x v="1"/>
    <x v="1"/>
    <x v="0"/>
    <n v="900"/>
    <n v="1"/>
    <n v="900"/>
    <n v="900"/>
    <x v="1"/>
    <x v="14"/>
  </r>
  <r>
    <n v="563"/>
    <x v="562"/>
    <x v="1"/>
    <x v="2"/>
    <x v="0"/>
    <n v="900"/>
    <n v="1"/>
    <n v="900"/>
    <n v="900"/>
    <x v="1"/>
    <x v="15"/>
  </r>
  <r>
    <n v="564"/>
    <x v="563"/>
    <x v="1"/>
    <x v="1"/>
    <x v="0"/>
    <n v="1100"/>
    <n v="1"/>
    <n v="1100"/>
    <n v="1100"/>
    <x v="1"/>
    <x v="16"/>
  </r>
  <r>
    <n v="565"/>
    <x v="564"/>
    <x v="1"/>
    <x v="1"/>
    <x v="0"/>
    <n v="1100"/>
    <n v="1"/>
    <n v="1100"/>
    <n v="1100"/>
    <x v="1"/>
    <x v="17"/>
  </r>
  <r>
    <n v="566"/>
    <x v="565"/>
    <x v="1"/>
    <x v="2"/>
    <x v="0"/>
    <n v="900"/>
    <n v="1"/>
    <n v="900"/>
    <n v="900"/>
    <x v="1"/>
    <x v="18"/>
  </r>
  <r>
    <n v="567"/>
    <x v="566"/>
    <x v="0"/>
    <x v="1"/>
    <x v="0"/>
    <n v="900"/>
    <n v="1"/>
    <n v="900"/>
    <n v="900"/>
    <x v="1"/>
    <x v="19"/>
  </r>
  <r>
    <n v="568"/>
    <x v="567"/>
    <x v="0"/>
    <x v="2"/>
    <x v="0"/>
    <n v="900"/>
    <n v="1"/>
    <n v="900"/>
    <n v="900"/>
    <x v="1"/>
    <x v="20"/>
  </r>
  <r>
    <n v="569"/>
    <x v="568"/>
    <x v="0"/>
    <x v="1"/>
    <x v="0"/>
    <n v="1100"/>
    <n v="1"/>
    <n v="1100"/>
    <n v="1100"/>
    <x v="1"/>
    <x v="21"/>
  </r>
  <r>
    <n v="570"/>
    <x v="569"/>
    <x v="0"/>
    <x v="1"/>
    <x v="0"/>
    <n v="1100"/>
    <n v="1"/>
    <n v="1100"/>
    <n v="1100"/>
    <x v="1"/>
    <x v="22"/>
  </r>
  <r>
    <n v="571"/>
    <x v="570"/>
    <x v="0"/>
    <x v="2"/>
    <x v="0"/>
    <n v="900"/>
    <n v="1"/>
    <n v="900"/>
    <n v="900"/>
    <x v="1"/>
    <x v="23"/>
  </r>
  <r>
    <n v="572"/>
    <x v="571"/>
    <x v="0"/>
    <x v="2"/>
    <x v="0"/>
    <n v="900"/>
    <n v="1"/>
    <n v="900"/>
    <n v="900"/>
    <x v="1"/>
    <x v="24"/>
  </r>
  <r>
    <n v="573"/>
    <x v="572"/>
    <x v="0"/>
    <x v="2"/>
    <x v="0"/>
    <n v="900"/>
    <n v="1"/>
    <n v="900"/>
    <n v="900"/>
    <x v="1"/>
    <x v="25"/>
  </r>
  <r>
    <n v="574"/>
    <x v="573"/>
    <x v="0"/>
    <x v="2"/>
    <x v="0"/>
    <n v="900"/>
    <n v="1"/>
    <n v="900"/>
    <n v="900"/>
    <x v="1"/>
    <x v="26"/>
  </r>
  <r>
    <n v="575"/>
    <x v="574"/>
    <x v="0"/>
    <x v="2"/>
    <x v="0"/>
    <n v="900"/>
    <n v="1"/>
    <n v="900"/>
    <n v="900"/>
    <x v="1"/>
    <x v="27"/>
  </r>
  <r>
    <n v="576"/>
    <x v="575"/>
    <x v="0"/>
    <x v="1"/>
    <x v="0"/>
    <n v="900"/>
    <n v="1"/>
    <n v="900"/>
    <n v="900"/>
    <x v="1"/>
    <x v="28"/>
  </r>
  <r>
    <n v="577"/>
    <x v="576"/>
    <x v="0"/>
    <x v="1"/>
    <x v="0"/>
    <n v="900"/>
    <n v="1"/>
    <n v="900"/>
    <n v="900"/>
    <x v="1"/>
    <x v="29"/>
  </r>
  <r>
    <n v="578"/>
    <x v="577"/>
    <x v="0"/>
    <x v="1"/>
    <x v="0"/>
    <n v="900"/>
    <n v="1"/>
    <n v="900"/>
    <n v="900"/>
    <x v="1"/>
    <x v="30"/>
  </r>
  <r>
    <n v="579"/>
    <x v="578"/>
    <x v="0"/>
    <x v="1"/>
    <x v="0"/>
    <n v="1100"/>
    <n v="1"/>
    <n v="1100"/>
    <n v="1100"/>
    <x v="1"/>
    <x v="0"/>
  </r>
  <r>
    <n v="580"/>
    <x v="579"/>
    <x v="0"/>
    <x v="1"/>
    <x v="0"/>
    <n v="1100"/>
    <n v="1"/>
    <n v="1100"/>
    <n v="1100"/>
    <x v="1"/>
    <x v="1"/>
  </r>
  <r>
    <n v="581"/>
    <x v="580"/>
    <x v="0"/>
    <x v="3"/>
    <x v="0"/>
    <n v="1000"/>
    <n v="1"/>
    <n v="1000"/>
    <n v="1000"/>
    <x v="1"/>
    <x v="2"/>
  </r>
  <r>
    <n v="582"/>
    <x v="581"/>
    <x v="0"/>
    <x v="3"/>
    <x v="0"/>
    <n v="1000"/>
    <n v="1"/>
    <n v="1000"/>
    <n v="1000"/>
    <x v="1"/>
    <x v="3"/>
  </r>
  <r>
    <n v="583"/>
    <x v="582"/>
    <x v="0"/>
    <x v="1"/>
    <x v="0"/>
    <n v="1100"/>
    <n v="1"/>
    <n v="1100"/>
    <n v="1100"/>
    <x v="1"/>
    <x v="4"/>
  </r>
  <r>
    <n v="584"/>
    <x v="583"/>
    <x v="0"/>
    <x v="3"/>
    <x v="0"/>
    <n v="1000"/>
    <n v="1"/>
    <n v="1000"/>
    <n v="1000"/>
    <x v="1"/>
    <x v="5"/>
  </r>
  <r>
    <n v="585"/>
    <x v="584"/>
    <x v="0"/>
    <x v="1"/>
    <x v="0"/>
    <n v="900"/>
    <n v="1"/>
    <n v="900"/>
    <n v="900"/>
    <x v="1"/>
    <x v="6"/>
  </r>
  <r>
    <n v="586"/>
    <x v="585"/>
    <x v="0"/>
    <x v="1"/>
    <x v="0"/>
    <n v="900"/>
    <n v="2"/>
    <n v="1800"/>
    <n v="1800"/>
    <x v="1"/>
    <x v="7"/>
  </r>
  <r>
    <n v="587"/>
    <x v="586"/>
    <x v="0"/>
    <x v="1"/>
    <x v="0"/>
    <n v="1100"/>
    <n v="1"/>
    <n v="1100"/>
    <n v="1100"/>
    <x v="1"/>
    <x v="8"/>
  </r>
  <r>
    <n v="588"/>
    <x v="587"/>
    <x v="0"/>
    <x v="1"/>
    <x v="0"/>
    <n v="900"/>
    <n v="1"/>
    <n v="900"/>
    <n v="900"/>
    <x v="1"/>
    <x v="9"/>
  </r>
  <r>
    <n v="589"/>
    <x v="588"/>
    <x v="0"/>
    <x v="1"/>
    <x v="0"/>
    <n v="1100"/>
    <n v="1"/>
    <n v="1100"/>
    <n v="1100"/>
    <x v="1"/>
    <x v="10"/>
  </r>
  <r>
    <n v="590"/>
    <x v="589"/>
    <x v="0"/>
    <x v="4"/>
    <x v="1"/>
    <n v="800"/>
    <n v="1"/>
    <n v="800"/>
    <n v="800"/>
    <x v="1"/>
    <x v="11"/>
  </r>
  <r>
    <n v="591"/>
    <x v="590"/>
    <x v="0"/>
    <x v="4"/>
    <x v="1"/>
    <n v="800"/>
    <n v="2"/>
    <n v="1600"/>
    <n v="1600"/>
    <x v="1"/>
    <x v="12"/>
  </r>
  <r>
    <n v="592"/>
    <x v="591"/>
    <x v="0"/>
    <x v="2"/>
    <x v="0"/>
    <n v="900"/>
    <n v="1"/>
    <n v="900"/>
    <n v="900"/>
    <x v="1"/>
    <x v="13"/>
  </r>
  <r>
    <n v="593"/>
    <x v="592"/>
    <x v="0"/>
    <x v="1"/>
    <x v="0"/>
    <n v="1100"/>
    <n v="1"/>
    <n v="1100"/>
    <n v="1100"/>
    <x v="1"/>
    <x v="14"/>
  </r>
  <r>
    <n v="594"/>
    <x v="593"/>
    <x v="0"/>
    <x v="4"/>
    <x v="1"/>
    <n v="800"/>
    <n v="1"/>
    <n v="800"/>
    <n v="800"/>
    <x v="1"/>
    <x v="15"/>
  </r>
  <r>
    <n v="595"/>
    <x v="594"/>
    <x v="0"/>
    <x v="3"/>
    <x v="0"/>
    <n v="1000"/>
    <n v="1"/>
    <n v="1000"/>
    <n v="1000"/>
    <x v="1"/>
    <x v="16"/>
  </r>
  <r>
    <n v="596"/>
    <x v="595"/>
    <x v="0"/>
    <x v="4"/>
    <x v="1"/>
    <n v="800"/>
    <n v="1"/>
    <n v="800"/>
    <n v="800"/>
    <x v="1"/>
    <x v="17"/>
  </r>
  <r>
    <n v="597"/>
    <x v="596"/>
    <x v="0"/>
    <x v="5"/>
    <x v="1"/>
    <n v="600"/>
    <n v="1"/>
    <n v="600"/>
    <n v="600"/>
    <x v="1"/>
    <x v="18"/>
  </r>
  <r>
    <n v="598"/>
    <x v="597"/>
    <x v="0"/>
    <x v="1"/>
    <x v="0"/>
    <n v="900"/>
    <n v="1"/>
    <n v="900"/>
    <n v="900"/>
    <x v="1"/>
    <x v="19"/>
  </r>
  <r>
    <n v="599"/>
    <x v="598"/>
    <x v="0"/>
    <x v="1"/>
    <x v="0"/>
    <n v="1100"/>
    <n v="1"/>
    <n v="1100"/>
    <n v="1100"/>
    <x v="1"/>
    <x v="20"/>
  </r>
  <r>
    <n v="600"/>
    <x v="599"/>
    <x v="0"/>
    <x v="3"/>
    <x v="0"/>
    <n v="1000"/>
    <n v="1"/>
    <n v="1000"/>
    <n v="1000"/>
    <x v="1"/>
    <x v="21"/>
  </r>
  <r>
    <n v="601"/>
    <x v="600"/>
    <x v="0"/>
    <x v="1"/>
    <x v="0"/>
    <n v="900"/>
    <n v="1"/>
    <n v="900"/>
    <n v="900"/>
    <x v="1"/>
    <x v="22"/>
  </r>
  <r>
    <n v="602"/>
    <x v="601"/>
    <x v="0"/>
    <x v="1"/>
    <x v="0"/>
    <n v="1100"/>
    <n v="2"/>
    <n v="2200"/>
    <n v="2200"/>
    <x v="1"/>
    <x v="23"/>
  </r>
  <r>
    <n v="603"/>
    <x v="602"/>
    <x v="0"/>
    <x v="5"/>
    <x v="1"/>
    <n v="600"/>
    <n v="1"/>
    <n v="600"/>
    <n v="600"/>
    <x v="1"/>
    <x v="24"/>
  </r>
  <r>
    <n v="604"/>
    <x v="603"/>
    <x v="0"/>
    <x v="5"/>
    <x v="1"/>
    <n v="600"/>
    <n v="1"/>
    <n v="600"/>
    <n v="600"/>
    <x v="1"/>
    <x v="25"/>
  </r>
  <r>
    <n v="605"/>
    <x v="604"/>
    <x v="0"/>
    <x v="5"/>
    <x v="1"/>
    <n v="600"/>
    <n v="1"/>
    <n v="600"/>
    <n v="600"/>
    <x v="1"/>
    <x v="26"/>
  </r>
  <r>
    <n v="606"/>
    <x v="605"/>
    <x v="0"/>
    <x v="1"/>
    <x v="0"/>
    <n v="900"/>
    <n v="1"/>
    <n v="900"/>
    <n v="900"/>
    <x v="1"/>
    <x v="27"/>
  </r>
  <r>
    <n v="607"/>
    <x v="606"/>
    <x v="0"/>
    <x v="5"/>
    <x v="1"/>
    <n v="600"/>
    <n v="1"/>
    <n v="600"/>
    <n v="600"/>
    <x v="1"/>
    <x v="28"/>
  </r>
  <r>
    <n v="608"/>
    <x v="607"/>
    <x v="0"/>
    <x v="5"/>
    <x v="1"/>
    <n v="600"/>
    <n v="1"/>
    <n v="600"/>
    <n v="600"/>
    <x v="1"/>
    <x v="29"/>
  </r>
  <r>
    <n v="609"/>
    <x v="608"/>
    <x v="0"/>
    <x v="1"/>
    <x v="0"/>
    <n v="1100"/>
    <n v="1"/>
    <n v="1100"/>
    <n v="1100"/>
    <x v="1"/>
    <x v="30"/>
  </r>
  <r>
    <n v="610"/>
    <x v="609"/>
    <x v="0"/>
    <x v="2"/>
    <x v="0"/>
    <n v="900"/>
    <n v="3"/>
    <n v="2700"/>
    <n v="2700"/>
    <x v="1"/>
    <x v="0"/>
  </r>
  <r>
    <n v="611"/>
    <x v="610"/>
    <x v="0"/>
    <x v="1"/>
    <x v="0"/>
    <n v="1100"/>
    <n v="2"/>
    <n v="2200"/>
    <n v="2200"/>
    <x v="1"/>
    <x v="1"/>
  </r>
  <r>
    <n v="612"/>
    <x v="611"/>
    <x v="0"/>
    <x v="1"/>
    <x v="0"/>
    <n v="1100"/>
    <n v="1"/>
    <n v="1100"/>
    <n v="1100"/>
    <x v="1"/>
    <x v="2"/>
  </r>
  <r>
    <n v="613"/>
    <x v="612"/>
    <x v="0"/>
    <x v="5"/>
    <x v="1"/>
    <n v="600"/>
    <n v="1"/>
    <n v="600"/>
    <n v="600"/>
    <x v="1"/>
    <x v="3"/>
  </r>
  <r>
    <n v="614"/>
    <x v="613"/>
    <x v="0"/>
    <x v="1"/>
    <x v="0"/>
    <n v="900"/>
    <n v="1"/>
    <n v="900"/>
    <n v="900"/>
    <x v="1"/>
    <x v="4"/>
  </r>
  <r>
    <n v="615"/>
    <x v="614"/>
    <x v="0"/>
    <x v="5"/>
    <x v="1"/>
    <n v="600"/>
    <n v="1"/>
    <n v="600"/>
    <n v="600"/>
    <x v="1"/>
    <x v="5"/>
  </r>
  <r>
    <n v="616"/>
    <x v="615"/>
    <x v="0"/>
    <x v="5"/>
    <x v="1"/>
    <n v="600"/>
    <n v="1"/>
    <n v="600"/>
    <n v="600"/>
    <x v="1"/>
    <x v="6"/>
  </r>
  <r>
    <n v="617"/>
    <x v="616"/>
    <x v="0"/>
    <x v="1"/>
    <x v="0"/>
    <n v="900"/>
    <n v="3"/>
    <n v="2700"/>
    <n v="2700"/>
    <x v="1"/>
    <x v="7"/>
  </r>
  <r>
    <n v="618"/>
    <x v="617"/>
    <x v="0"/>
    <x v="5"/>
    <x v="1"/>
    <n v="600"/>
    <n v="1"/>
    <n v="600"/>
    <n v="600"/>
    <x v="1"/>
    <x v="8"/>
  </r>
  <r>
    <n v="619"/>
    <x v="618"/>
    <x v="0"/>
    <x v="4"/>
    <x v="1"/>
    <n v="800"/>
    <n v="1"/>
    <n v="800"/>
    <n v="800"/>
    <x v="1"/>
    <x v="9"/>
  </r>
  <r>
    <n v="620"/>
    <x v="619"/>
    <x v="0"/>
    <x v="5"/>
    <x v="1"/>
    <n v="600"/>
    <n v="1"/>
    <n v="600"/>
    <n v="600"/>
    <x v="1"/>
    <x v="10"/>
  </r>
  <r>
    <n v="621"/>
    <x v="620"/>
    <x v="0"/>
    <x v="1"/>
    <x v="0"/>
    <n v="1100"/>
    <n v="1"/>
    <n v="1100"/>
    <n v="1100"/>
    <x v="1"/>
    <x v="11"/>
  </r>
  <r>
    <n v="622"/>
    <x v="621"/>
    <x v="0"/>
    <x v="2"/>
    <x v="0"/>
    <n v="900"/>
    <n v="1"/>
    <n v="900"/>
    <n v="900"/>
    <x v="1"/>
    <x v="12"/>
  </r>
  <r>
    <n v="623"/>
    <x v="622"/>
    <x v="0"/>
    <x v="1"/>
    <x v="0"/>
    <n v="1100"/>
    <n v="1"/>
    <n v="1100"/>
    <n v="1100"/>
    <x v="1"/>
    <x v="13"/>
  </r>
  <r>
    <n v="624"/>
    <x v="623"/>
    <x v="0"/>
    <x v="1"/>
    <x v="0"/>
    <n v="1100"/>
    <n v="1"/>
    <n v="1100"/>
    <n v="1100"/>
    <x v="1"/>
    <x v="14"/>
  </r>
  <r>
    <n v="625"/>
    <x v="624"/>
    <x v="0"/>
    <x v="1"/>
    <x v="0"/>
    <n v="1100"/>
    <n v="1"/>
    <n v="1100"/>
    <n v="1100"/>
    <x v="1"/>
    <x v="15"/>
  </r>
  <r>
    <n v="626"/>
    <x v="625"/>
    <x v="0"/>
    <x v="3"/>
    <x v="0"/>
    <n v="1000"/>
    <n v="1"/>
    <n v="1000"/>
    <n v="1000"/>
    <x v="1"/>
    <x v="16"/>
  </r>
  <r>
    <n v="627"/>
    <x v="626"/>
    <x v="0"/>
    <x v="5"/>
    <x v="1"/>
    <n v="600"/>
    <n v="1"/>
    <n v="600"/>
    <n v="600"/>
    <x v="1"/>
    <x v="17"/>
  </r>
  <r>
    <n v="628"/>
    <x v="627"/>
    <x v="0"/>
    <x v="4"/>
    <x v="1"/>
    <n v="800"/>
    <n v="1"/>
    <n v="800"/>
    <n v="800"/>
    <x v="1"/>
    <x v="18"/>
  </r>
  <r>
    <n v="629"/>
    <x v="628"/>
    <x v="0"/>
    <x v="1"/>
    <x v="0"/>
    <n v="1100"/>
    <n v="1"/>
    <n v="1100"/>
    <n v="1100"/>
    <x v="1"/>
    <x v="19"/>
  </r>
  <r>
    <n v="630"/>
    <x v="629"/>
    <x v="0"/>
    <x v="5"/>
    <x v="1"/>
    <n v="600"/>
    <n v="1"/>
    <n v="600"/>
    <n v="600"/>
    <x v="1"/>
    <x v="20"/>
  </r>
  <r>
    <n v="631"/>
    <x v="630"/>
    <x v="0"/>
    <x v="6"/>
    <x v="2"/>
    <n v="850"/>
    <n v="1"/>
    <n v="850"/>
    <n v="850"/>
    <x v="1"/>
    <x v="21"/>
  </r>
  <r>
    <n v="632"/>
    <x v="631"/>
    <x v="0"/>
    <x v="2"/>
    <x v="0"/>
    <n v="900"/>
    <n v="1"/>
    <n v="900"/>
    <n v="900"/>
    <x v="1"/>
    <x v="22"/>
  </r>
  <r>
    <n v="633"/>
    <x v="632"/>
    <x v="0"/>
    <x v="3"/>
    <x v="0"/>
    <n v="1000"/>
    <n v="1"/>
    <n v="1000"/>
    <n v="1000"/>
    <x v="1"/>
    <x v="23"/>
  </r>
  <r>
    <n v="634"/>
    <x v="633"/>
    <x v="0"/>
    <x v="6"/>
    <x v="2"/>
    <n v="850"/>
    <n v="1"/>
    <n v="850"/>
    <n v="850"/>
    <x v="1"/>
    <x v="24"/>
  </r>
  <r>
    <n v="635"/>
    <x v="634"/>
    <x v="0"/>
    <x v="6"/>
    <x v="2"/>
    <n v="850"/>
    <n v="1"/>
    <n v="850"/>
    <n v="850"/>
    <x v="1"/>
    <x v="25"/>
  </r>
  <r>
    <n v="636"/>
    <x v="635"/>
    <x v="0"/>
    <x v="3"/>
    <x v="0"/>
    <n v="1000"/>
    <n v="1"/>
    <n v="1000"/>
    <n v="1000"/>
    <x v="1"/>
    <x v="26"/>
  </r>
  <r>
    <n v="637"/>
    <x v="636"/>
    <x v="0"/>
    <x v="4"/>
    <x v="1"/>
    <n v="800"/>
    <n v="1"/>
    <n v="800"/>
    <n v="800"/>
    <x v="1"/>
    <x v="27"/>
  </r>
  <r>
    <n v="638"/>
    <x v="637"/>
    <x v="0"/>
    <x v="1"/>
    <x v="0"/>
    <n v="1100"/>
    <n v="1"/>
    <n v="1100"/>
    <n v="1100"/>
    <x v="1"/>
    <x v="28"/>
  </r>
  <r>
    <n v="639"/>
    <x v="638"/>
    <x v="0"/>
    <x v="1"/>
    <x v="0"/>
    <n v="1100"/>
    <n v="1"/>
    <n v="1100"/>
    <n v="1100"/>
    <x v="1"/>
    <x v="29"/>
  </r>
  <r>
    <n v="640"/>
    <x v="639"/>
    <x v="0"/>
    <x v="1"/>
    <x v="0"/>
    <n v="1100"/>
    <n v="1"/>
    <n v="1100"/>
    <n v="1100"/>
    <x v="1"/>
    <x v="0"/>
  </r>
  <r>
    <n v="641"/>
    <x v="640"/>
    <x v="0"/>
    <x v="1"/>
    <x v="0"/>
    <n v="1100"/>
    <n v="1"/>
    <n v="1100"/>
    <n v="1100"/>
    <x v="1"/>
    <x v="1"/>
  </r>
  <r>
    <n v="642"/>
    <x v="641"/>
    <x v="0"/>
    <x v="1"/>
    <x v="0"/>
    <n v="1100"/>
    <n v="1"/>
    <n v="1100"/>
    <n v="1100"/>
    <x v="1"/>
    <x v="2"/>
  </r>
  <r>
    <n v="643"/>
    <x v="642"/>
    <x v="0"/>
    <x v="1"/>
    <x v="0"/>
    <n v="1100"/>
    <n v="1"/>
    <n v="1100"/>
    <n v="1100"/>
    <x v="1"/>
    <x v="3"/>
  </r>
  <r>
    <n v="644"/>
    <x v="643"/>
    <x v="0"/>
    <x v="1"/>
    <x v="0"/>
    <n v="1100"/>
    <n v="2"/>
    <n v="2200"/>
    <n v="2200"/>
    <x v="1"/>
    <x v="4"/>
  </r>
  <r>
    <n v="645"/>
    <x v="644"/>
    <x v="0"/>
    <x v="1"/>
    <x v="0"/>
    <n v="1100"/>
    <n v="1"/>
    <n v="1100"/>
    <n v="1100"/>
    <x v="1"/>
    <x v="5"/>
  </r>
  <r>
    <n v="646"/>
    <x v="645"/>
    <x v="0"/>
    <x v="1"/>
    <x v="0"/>
    <n v="1100"/>
    <n v="1"/>
    <n v="1100"/>
    <n v="1100"/>
    <x v="1"/>
    <x v="6"/>
  </r>
  <r>
    <n v="647"/>
    <x v="646"/>
    <x v="0"/>
    <x v="1"/>
    <x v="0"/>
    <n v="900"/>
    <n v="1"/>
    <n v="900"/>
    <n v="900"/>
    <x v="1"/>
    <x v="7"/>
  </r>
  <r>
    <n v="648"/>
    <x v="647"/>
    <x v="0"/>
    <x v="1"/>
    <x v="0"/>
    <n v="900"/>
    <n v="1"/>
    <n v="900"/>
    <n v="900"/>
    <x v="1"/>
    <x v="8"/>
  </r>
  <r>
    <n v="649"/>
    <x v="648"/>
    <x v="0"/>
    <x v="1"/>
    <x v="0"/>
    <n v="900"/>
    <n v="1"/>
    <n v="900"/>
    <n v="900"/>
    <x v="1"/>
    <x v="9"/>
  </r>
  <r>
    <n v="650"/>
    <x v="649"/>
    <x v="0"/>
    <x v="1"/>
    <x v="0"/>
    <n v="900"/>
    <n v="2"/>
    <n v="1800"/>
    <n v="1800"/>
    <x v="1"/>
    <x v="10"/>
  </r>
  <r>
    <n v="651"/>
    <x v="650"/>
    <x v="0"/>
    <x v="1"/>
    <x v="0"/>
    <n v="900"/>
    <n v="1"/>
    <n v="900"/>
    <n v="900"/>
    <x v="1"/>
    <x v="11"/>
  </r>
  <r>
    <n v="652"/>
    <x v="651"/>
    <x v="0"/>
    <x v="1"/>
    <x v="0"/>
    <n v="900"/>
    <n v="1"/>
    <n v="900"/>
    <n v="900"/>
    <x v="1"/>
    <x v="12"/>
  </r>
  <r>
    <n v="653"/>
    <x v="652"/>
    <x v="0"/>
    <x v="1"/>
    <x v="0"/>
    <n v="1100"/>
    <n v="1"/>
    <n v="1100"/>
    <n v="1100"/>
    <x v="1"/>
    <x v="13"/>
  </r>
  <r>
    <n v="654"/>
    <x v="653"/>
    <x v="0"/>
    <x v="1"/>
    <x v="0"/>
    <n v="900"/>
    <n v="1"/>
    <n v="900"/>
    <n v="900"/>
    <x v="1"/>
    <x v="14"/>
  </r>
  <r>
    <n v="655"/>
    <x v="654"/>
    <x v="0"/>
    <x v="1"/>
    <x v="0"/>
    <n v="1100"/>
    <n v="2"/>
    <n v="2200"/>
    <n v="2200"/>
    <x v="1"/>
    <x v="15"/>
  </r>
  <r>
    <n v="656"/>
    <x v="655"/>
    <x v="0"/>
    <x v="1"/>
    <x v="0"/>
    <n v="1100"/>
    <n v="1"/>
    <n v="1100"/>
    <n v="1100"/>
    <x v="1"/>
    <x v="16"/>
  </r>
  <r>
    <n v="657"/>
    <x v="656"/>
    <x v="0"/>
    <x v="1"/>
    <x v="0"/>
    <n v="900"/>
    <n v="1"/>
    <n v="900"/>
    <n v="900"/>
    <x v="1"/>
    <x v="17"/>
  </r>
  <r>
    <n v="658"/>
    <x v="657"/>
    <x v="0"/>
    <x v="1"/>
    <x v="0"/>
    <n v="900"/>
    <n v="1"/>
    <n v="900"/>
    <n v="900"/>
    <x v="1"/>
    <x v="18"/>
  </r>
  <r>
    <n v="659"/>
    <x v="658"/>
    <x v="0"/>
    <x v="2"/>
    <x v="0"/>
    <n v="900"/>
    <n v="1"/>
    <n v="900"/>
    <n v="900"/>
    <x v="1"/>
    <x v="19"/>
  </r>
  <r>
    <n v="660"/>
    <x v="659"/>
    <x v="0"/>
    <x v="1"/>
    <x v="0"/>
    <n v="1100"/>
    <n v="1"/>
    <n v="1100"/>
    <n v="1100"/>
    <x v="1"/>
    <x v="20"/>
  </r>
  <r>
    <n v="661"/>
    <x v="660"/>
    <x v="0"/>
    <x v="1"/>
    <x v="0"/>
    <n v="1100"/>
    <n v="1"/>
    <n v="1100"/>
    <n v="1100"/>
    <x v="1"/>
    <x v="21"/>
  </r>
  <r>
    <n v="662"/>
    <x v="661"/>
    <x v="0"/>
    <x v="2"/>
    <x v="0"/>
    <n v="900"/>
    <n v="1"/>
    <n v="900"/>
    <n v="900"/>
    <x v="1"/>
    <x v="22"/>
  </r>
  <r>
    <n v="663"/>
    <x v="662"/>
    <x v="0"/>
    <x v="1"/>
    <x v="0"/>
    <n v="900"/>
    <n v="1"/>
    <n v="900"/>
    <n v="900"/>
    <x v="1"/>
    <x v="23"/>
  </r>
  <r>
    <n v="664"/>
    <x v="663"/>
    <x v="0"/>
    <x v="2"/>
    <x v="0"/>
    <n v="900"/>
    <n v="1"/>
    <n v="900"/>
    <n v="900"/>
    <x v="1"/>
    <x v="24"/>
  </r>
  <r>
    <n v="665"/>
    <x v="664"/>
    <x v="0"/>
    <x v="1"/>
    <x v="0"/>
    <n v="1100"/>
    <n v="1"/>
    <n v="1100"/>
    <n v="1100"/>
    <x v="1"/>
    <x v="25"/>
  </r>
  <r>
    <n v="666"/>
    <x v="665"/>
    <x v="0"/>
    <x v="1"/>
    <x v="0"/>
    <n v="1100"/>
    <n v="1"/>
    <n v="1100"/>
    <n v="1100"/>
    <x v="1"/>
    <x v="26"/>
  </r>
  <r>
    <n v="667"/>
    <x v="666"/>
    <x v="0"/>
    <x v="2"/>
    <x v="0"/>
    <n v="900"/>
    <n v="1"/>
    <n v="900"/>
    <n v="900"/>
    <x v="1"/>
    <x v="27"/>
  </r>
  <r>
    <n v="668"/>
    <x v="667"/>
    <x v="0"/>
    <x v="2"/>
    <x v="0"/>
    <n v="900"/>
    <n v="1"/>
    <n v="900"/>
    <n v="900"/>
    <x v="1"/>
    <x v="28"/>
  </r>
  <r>
    <n v="669"/>
    <x v="668"/>
    <x v="0"/>
    <x v="2"/>
    <x v="0"/>
    <n v="900"/>
    <n v="1"/>
    <n v="900"/>
    <n v="900"/>
    <x v="1"/>
    <x v="29"/>
  </r>
  <r>
    <n v="670"/>
    <x v="669"/>
    <x v="0"/>
    <x v="2"/>
    <x v="0"/>
    <n v="900"/>
    <n v="1"/>
    <n v="900"/>
    <n v="900"/>
    <x v="1"/>
    <x v="30"/>
  </r>
  <r>
    <n v="671"/>
    <x v="670"/>
    <x v="0"/>
    <x v="2"/>
    <x v="0"/>
    <n v="900"/>
    <n v="1"/>
    <n v="900"/>
    <n v="900"/>
    <x v="1"/>
    <x v="0"/>
  </r>
  <r>
    <n v="672"/>
    <x v="671"/>
    <x v="0"/>
    <x v="1"/>
    <x v="0"/>
    <n v="900"/>
    <n v="1"/>
    <n v="900"/>
    <n v="900"/>
    <x v="1"/>
    <x v="1"/>
  </r>
  <r>
    <n v="673"/>
    <x v="672"/>
    <x v="0"/>
    <x v="1"/>
    <x v="0"/>
    <n v="900"/>
    <n v="1"/>
    <n v="900"/>
    <n v="900"/>
    <x v="1"/>
    <x v="2"/>
  </r>
  <r>
    <n v="674"/>
    <x v="673"/>
    <x v="0"/>
    <x v="1"/>
    <x v="0"/>
    <n v="900"/>
    <n v="1"/>
    <n v="900"/>
    <n v="900"/>
    <x v="1"/>
    <x v="3"/>
  </r>
  <r>
    <n v="675"/>
    <x v="674"/>
    <x v="0"/>
    <x v="1"/>
    <x v="0"/>
    <n v="1100"/>
    <n v="1"/>
    <n v="1100"/>
    <n v="1100"/>
    <x v="1"/>
    <x v="4"/>
  </r>
  <r>
    <n v="676"/>
    <x v="675"/>
    <x v="0"/>
    <x v="1"/>
    <x v="0"/>
    <n v="1100"/>
    <n v="1"/>
    <n v="1100"/>
    <n v="1100"/>
    <x v="1"/>
    <x v="5"/>
  </r>
  <r>
    <n v="677"/>
    <x v="676"/>
    <x v="0"/>
    <x v="3"/>
    <x v="0"/>
    <n v="1000"/>
    <n v="1"/>
    <n v="1000"/>
    <n v="1000"/>
    <x v="1"/>
    <x v="6"/>
  </r>
  <r>
    <n v="678"/>
    <x v="677"/>
    <x v="0"/>
    <x v="3"/>
    <x v="0"/>
    <n v="1000"/>
    <n v="1"/>
    <n v="1000"/>
    <n v="1000"/>
    <x v="1"/>
    <x v="7"/>
  </r>
  <r>
    <n v="679"/>
    <x v="678"/>
    <x v="0"/>
    <x v="1"/>
    <x v="0"/>
    <n v="1100"/>
    <n v="1"/>
    <n v="1100"/>
    <n v="1100"/>
    <x v="1"/>
    <x v="8"/>
  </r>
  <r>
    <n v="680"/>
    <x v="679"/>
    <x v="0"/>
    <x v="3"/>
    <x v="0"/>
    <n v="1000"/>
    <n v="1"/>
    <n v="1000"/>
    <n v="1000"/>
    <x v="1"/>
    <x v="9"/>
  </r>
  <r>
    <n v="681"/>
    <x v="680"/>
    <x v="0"/>
    <x v="1"/>
    <x v="0"/>
    <n v="900"/>
    <n v="1"/>
    <n v="900"/>
    <n v="900"/>
    <x v="1"/>
    <x v="10"/>
  </r>
  <r>
    <n v="682"/>
    <x v="681"/>
    <x v="0"/>
    <x v="1"/>
    <x v="0"/>
    <n v="900"/>
    <n v="2"/>
    <n v="1800"/>
    <n v="1800"/>
    <x v="1"/>
    <x v="11"/>
  </r>
  <r>
    <n v="683"/>
    <x v="682"/>
    <x v="0"/>
    <x v="1"/>
    <x v="0"/>
    <n v="1100"/>
    <n v="1"/>
    <n v="1100"/>
    <n v="1100"/>
    <x v="1"/>
    <x v="12"/>
  </r>
  <r>
    <n v="684"/>
    <x v="683"/>
    <x v="0"/>
    <x v="1"/>
    <x v="0"/>
    <n v="900"/>
    <n v="1"/>
    <n v="900"/>
    <n v="900"/>
    <x v="1"/>
    <x v="13"/>
  </r>
  <r>
    <n v="685"/>
    <x v="684"/>
    <x v="0"/>
    <x v="1"/>
    <x v="0"/>
    <n v="1100"/>
    <n v="1"/>
    <n v="1100"/>
    <n v="1100"/>
    <x v="1"/>
    <x v="14"/>
  </r>
  <r>
    <n v="686"/>
    <x v="685"/>
    <x v="0"/>
    <x v="4"/>
    <x v="1"/>
    <n v="800"/>
    <n v="1"/>
    <n v="800"/>
    <n v="800"/>
    <x v="1"/>
    <x v="15"/>
  </r>
  <r>
    <n v="687"/>
    <x v="686"/>
    <x v="0"/>
    <x v="4"/>
    <x v="1"/>
    <n v="800"/>
    <n v="2"/>
    <n v="1600"/>
    <n v="1600"/>
    <x v="1"/>
    <x v="16"/>
  </r>
  <r>
    <n v="688"/>
    <x v="687"/>
    <x v="0"/>
    <x v="2"/>
    <x v="0"/>
    <n v="900"/>
    <n v="1"/>
    <n v="900"/>
    <n v="900"/>
    <x v="1"/>
    <x v="17"/>
  </r>
  <r>
    <n v="689"/>
    <x v="688"/>
    <x v="0"/>
    <x v="1"/>
    <x v="0"/>
    <n v="1100"/>
    <n v="1"/>
    <n v="1100"/>
    <n v="1100"/>
    <x v="1"/>
    <x v="18"/>
  </r>
  <r>
    <n v="690"/>
    <x v="689"/>
    <x v="0"/>
    <x v="4"/>
    <x v="1"/>
    <n v="800"/>
    <n v="1"/>
    <n v="800"/>
    <n v="800"/>
    <x v="1"/>
    <x v="19"/>
  </r>
  <r>
    <n v="691"/>
    <x v="690"/>
    <x v="0"/>
    <x v="3"/>
    <x v="0"/>
    <n v="1000"/>
    <n v="1"/>
    <n v="1000"/>
    <n v="1000"/>
    <x v="1"/>
    <x v="20"/>
  </r>
  <r>
    <n v="692"/>
    <x v="691"/>
    <x v="0"/>
    <x v="4"/>
    <x v="1"/>
    <n v="800"/>
    <n v="1"/>
    <n v="800"/>
    <n v="800"/>
    <x v="1"/>
    <x v="21"/>
  </r>
  <r>
    <n v="693"/>
    <x v="692"/>
    <x v="0"/>
    <x v="5"/>
    <x v="1"/>
    <n v="600"/>
    <n v="1"/>
    <n v="600"/>
    <n v="600"/>
    <x v="1"/>
    <x v="22"/>
  </r>
  <r>
    <n v="694"/>
    <x v="693"/>
    <x v="0"/>
    <x v="1"/>
    <x v="0"/>
    <n v="900"/>
    <n v="1"/>
    <n v="900"/>
    <n v="900"/>
    <x v="1"/>
    <x v="23"/>
  </r>
  <r>
    <n v="695"/>
    <x v="694"/>
    <x v="0"/>
    <x v="1"/>
    <x v="0"/>
    <n v="1100"/>
    <n v="1"/>
    <n v="1100"/>
    <n v="1100"/>
    <x v="1"/>
    <x v="24"/>
  </r>
  <r>
    <n v="696"/>
    <x v="695"/>
    <x v="0"/>
    <x v="3"/>
    <x v="0"/>
    <n v="1000"/>
    <n v="1"/>
    <n v="1000"/>
    <n v="1000"/>
    <x v="1"/>
    <x v="25"/>
  </r>
  <r>
    <n v="697"/>
    <x v="696"/>
    <x v="0"/>
    <x v="1"/>
    <x v="0"/>
    <n v="900"/>
    <n v="1"/>
    <n v="900"/>
    <n v="900"/>
    <x v="1"/>
    <x v="26"/>
  </r>
  <r>
    <n v="698"/>
    <x v="697"/>
    <x v="0"/>
    <x v="1"/>
    <x v="0"/>
    <n v="1100"/>
    <n v="2"/>
    <n v="2200"/>
    <n v="2200"/>
    <x v="1"/>
    <x v="27"/>
  </r>
  <r>
    <n v="699"/>
    <x v="698"/>
    <x v="0"/>
    <x v="5"/>
    <x v="1"/>
    <n v="600"/>
    <n v="1"/>
    <n v="600"/>
    <n v="600"/>
    <x v="1"/>
    <x v="28"/>
  </r>
  <r>
    <n v="700"/>
    <x v="699"/>
    <x v="0"/>
    <x v="5"/>
    <x v="1"/>
    <n v="600"/>
    <n v="1"/>
    <n v="600"/>
    <n v="600"/>
    <x v="1"/>
    <x v="29"/>
  </r>
  <r>
    <n v="701"/>
    <x v="700"/>
    <x v="0"/>
    <x v="5"/>
    <x v="1"/>
    <n v="600"/>
    <n v="1"/>
    <n v="600"/>
    <n v="600"/>
    <x v="1"/>
    <x v="0"/>
  </r>
  <r>
    <n v="702"/>
    <x v="701"/>
    <x v="0"/>
    <x v="1"/>
    <x v="0"/>
    <n v="900"/>
    <n v="1"/>
    <n v="900"/>
    <n v="900"/>
    <x v="1"/>
    <x v="1"/>
  </r>
  <r>
    <n v="703"/>
    <x v="702"/>
    <x v="0"/>
    <x v="5"/>
    <x v="1"/>
    <n v="600"/>
    <n v="1"/>
    <n v="600"/>
    <n v="600"/>
    <x v="1"/>
    <x v="2"/>
  </r>
  <r>
    <n v="704"/>
    <x v="703"/>
    <x v="0"/>
    <x v="5"/>
    <x v="1"/>
    <n v="600"/>
    <n v="1"/>
    <n v="600"/>
    <n v="600"/>
    <x v="1"/>
    <x v="3"/>
  </r>
  <r>
    <n v="705"/>
    <x v="704"/>
    <x v="0"/>
    <x v="1"/>
    <x v="0"/>
    <n v="1100"/>
    <n v="1"/>
    <n v="1100"/>
    <n v="1100"/>
    <x v="1"/>
    <x v="4"/>
  </r>
  <r>
    <n v="706"/>
    <x v="705"/>
    <x v="0"/>
    <x v="2"/>
    <x v="0"/>
    <n v="900"/>
    <n v="3"/>
    <n v="2700"/>
    <n v="2700"/>
    <x v="1"/>
    <x v="5"/>
  </r>
  <r>
    <n v="707"/>
    <x v="706"/>
    <x v="0"/>
    <x v="0"/>
    <x v="0"/>
    <n v="1100"/>
    <n v="2"/>
    <n v="2200"/>
    <n v="2200"/>
    <x v="1"/>
    <x v="6"/>
  </r>
  <r>
    <n v="708"/>
    <x v="707"/>
    <x v="0"/>
    <x v="0"/>
    <x v="0"/>
    <n v="1100"/>
    <n v="1"/>
    <n v="1100"/>
    <n v="1100"/>
    <x v="1"/>
    <x v="7"/>
  </r>
  <r>
    <n v="709"/>
    <x v="708"/>
    <x v="0"/>
    <x v="5"/>
    <x v="1"/>
    <n v="600"/>
    <n v="1"/>
    <n v="600"/>
    <n v="600"/>
    <x v="1"/>
    <x v="8"/>
  </r>
  <r>
    <n v="710"/>
    <x v="709"/>
    <x v="0"/>
    <x v="1"/>
    <x v="0"/>
    <n v="900"/>
    <n v="1"/>
    <n v="900"/>
    <n v="900"/>
    <x v="1"/>
    <x v="9"/>
  </r>
  <r>
    <n v="711"/>
    <x v="710"/>
    <x v="0"/>
    <x v="5"/>
    <x v="1"/>
    <n v="600"/>
    <n v="1"/>
    <n v="600"/>
    <n v="600"/>
    <x v="1"/>
    <x v="10"/>
  </r>
  <r>
    <n v="712"/>
    <x v="711"/>
    <x v="0"/>
    <x v="5"/>
    <x v="1"/>
    <n v="600"/>
    <n v="1"/>
    <n v="600"/>
    <n v="600"/>
    <x v="1"/>
    <x v="11"/>
  </r>
  <r>
    <n v="713"/>
    <x v="712"/>
    <x v="1"/>
    <x v="1"/>
    <x v="0"/>
    <n v="900"/>
    <n v="3"/>
    <n v="2700"/>
    <n v="2700"/>
    <x v="1"/>
    <x v="12"/>
  </r>
  <r>
    <n v="714"/>
    <x v="713"/>
    <x v="1"/>
    <x v="5"/>
    <x v="1"/>
    <n v="600"/>
    <n v="1"/>
    <n v="600"/>
    <n v="600"/>
    <x v="1"/>
    <x v="13"/>
  </r>
  <r>
    <n v="715"/>
    <x v="714"/>
    <x v="1"/>
    <x v="4"/>
    <x v="1"/>
    <n v="800"/>
    <n v="1"/>
    <n v="800"/>
    <n v="800"/>
    <x v="1"/>
    <x v="14"/>
  </r>
  <r>
    <n v="716"/>
    <x v="715"/>
    <x v="1"/>
    <x v="5"/>
    <x v="1"/>
    <n v="600"/>
    <n v="1"/>
    <n v="600"/>
    <n v="600"/>
    <x v="1"/>
    <x v="15"/>
  </r>
  <r>
    <n v="717"/>
    <x v="716"/>
    <x v="1"/>
    <x v="0"/>
    <x v="0"/>
    <n v="1100"/>
    <n v="1"/>
    <n v="1100"/>
    <n v="1100"/>
    <x v="1"/>
    <x v="16"/>
  </r>
  <r>
    <n v="718"/>
    <x v="717"/>
    <x v="1"/>
    <x v="2"/>
    <x v="0"/>
    <n v="900"/>
    <n v="1"/>
    <n v="900"/>
    <n v="900"/>
    <x v="1"/>
    <x v="17"/>
  </r>
  <r>
    <n v="719"/>
    <x v="718"/>
    <x v="1"/>
    <x v="0"/>
    <x v="0"/>
    <n v="1100"/>
    <n v="1"/>
    <n v="1100"/>
    <n v="1100"/>
    <x v="1"/>
    <x v="18"/>
  </r>
  <r>
    <n v="720"/>
    <x v="719"/>
    <x v="1"/>
    <x v="0"/>
    <x v="0"/>
    <n v="1100"/>
    <n v="1"/>
    <n v="1100"/>
    <n v="1100"/>
    <x v="1"/>
    <x v="19"/>
  </r>
  <r>
    <n v="721"/>
    <x v="720"/>
    <x v="1"/>
    <x v="0"/>
    <x v="0"/>
    <n v="1100"/>
    <n v="1"/>
    <n v="1100"/>
    <n v="1100"/>
    <x v="1"/>
    <x v="20"/>
  </r>
  <r>
    <n v="722"/>
    <x v="721"/>
    <x v="0"/>
    <x v="3"/>
    <x v="0"/>
    <n v="1000"/>
    <n v="1"/>
    <n v="1000"/>
    <n v="1000"/>
    <x v="1"/>
    <x v="21"/>
  </r>
  <r>
    <n v="723"/>
    <x v="722"/>
    <x v="0"/>
    <x v="5"/>
    <x v="1"/>
    <n v="600"/>
    <n v="1"/>
    <n v="600"/>
    <n v="600"/>
    <x v="1"/>
    <x v="22"/>
  </r>
  <r>
    <n v="724"/>
    <x v="723"/>
    <x v="0"/>
    <x v="4"/>
    <x v="1"/>
    <n v="800"/>
    <n v="1"/>
    <n v="800"/>
    <n v="800"/>
    <x v="1"/>
    <x v="23"/>
  </r>
  <r>
    <n v="725"/>
    <x v="724"/>
    <x v="0"/>
    <x v="0"/>
    <x v="0"/>
    <n v="1100"/>
    <n v="1"/>
    <n v="1100"/>
    <n v="1100"/>
    <x v="1"/>
    <x v="24"/>
  </r>
  <r>
    <n v="726"/>
    <x v="725"/>
    <x v="0"/>
    <x v="5"/>
    <x v="1"/>
    <n v="600"/>
    <n v="1"/>
    <n v="600"/>
    <n v="600"/>
    <x v="1"/>
    <x v="25"/>
  </r>
  <r>
    <n v="727"/>
    <x v="726"/>
    <x v="0"/>
    <x v="6"/>
    <x v="2"/>
    <n v="850"/>
    <n v="1"/>
    <n v="850"/>
    <n v="850"/>
    <x v="1"/>
    <x v="26"/>
  </r>
  <r>
    <n v="728"/>
    <x v="727"/>
    <x v="0"/>
    <x v="2"/>
    <x v="0"/>
    <n v="900"/>
    <n v="1"/>
    <n v="900"/>
    <n v="900"/>
    <x v="1"/>
    <x v="27"/>
  </r>
  <r>
    <n v="729"/>
    <x v="728"/>
    <x v="0"/>
    <x v="3"/>
    <x v="0"/>
    <n v="1000"/>
    <n v="1"/>
    <n v="1000"/>
    <n v="1000"/>
    <x v="1"/>
    <x v="28"/>
  </r>
  <r>
    <n v="730"/>
    <x v="729"/>
    <x v="0"/>
    <x v="6"/>
    <x v="2"/>
    <n v="850"/>
    <n v="1"/>
    <n v="850"/>
    <n v="850"/>
    <x v="1"/>
    <x v="29"/>
  </r>
  <r>
    <n v="731"/>
    <x v="730"/>
    <x v="0"/>
    <x v="6"/>
    <x v="2"/>
    <n v="850"/>
    <n v="1"/>
    <n v="850"/>
    <n v="850"/>
    <x v="1"/>
    <x v="30"/>
  </r>
  <r>
    <n v="732"/>
    <x v="731"/>
    <x v="0"/>
    <x v="3"/>
    <x v="0"/>
    <n v="1000"/>
    <n v="1"/>
    <n v="1000"/>
    <n v="1000"/>
    <x v="2"/>
    <x v="0"/>
  </r>
  <r>
    <n v="733"/>
    <x v="732"/>
    <x v="0"/>
    <x v="4"/>
    <x v="1"/>
    <n v="800"/>
    <n v="1"/>
    <n v="800"/>
    <n v="800"/>
    <x v="2"/>
    <x v="1"/>
  </r>
  <r>
    <n v="734"/>
    <x v="733"/>
    <x v="0"/>
    <x v="5"/>
    <x v="1"/>
    <n v="600"/>
    <n v="1"/>
    <n v="600"/>
    <n v="600"/>
    <x v="2"/>
    <x v="2"/>
  </r>
  <r>
    <n v="735"/>
    <x v="734"/>
    <x v="0"/>
    <x v="4"/>
    <x v="1"/>
    <n v="800"/>
    <n v="1"/>
    <n v="800"/>
    <n v="800"/>
    <x v="2"/>
    <x v="3"/>
  </r>
  <r>
    <n v="736"/>
    <x v="735"/>
    <x v="0"/>
    <x v="0"/>
    <x v="0"/>
    <n v="1100"/>
    <n v="1"/>
    <n v="1100"/>
    <n v="1100"/>
    <x v="2"/>
    <x v="4"/>
  </r>
  <r>
    <n v="737"/>
    <x v="736"/>
    <x v="0"/>
    <x v="6"/>
    <x v="2"/>
    <n v="850"/>
    <n v="1"/>
    <n v="850"/>
    <n v="850"/>
    <x v="2"/>
    <x v="5"/>
  </r>
  <r>
    <n v="738"/>
    <x v="737"/>
    <x v="0"/>
    <x v="6"/>
    <x v="2"/>
    <n v="850"/>
    <n v="1"/>
    <n v="850"/>
    <n v="850"/>
    <x v="2"/>
    <x v="6"/>
  </r>
  <r>
    <n v="739"/>
    <x v="738"/>
    <x v="0"/>
    <x v="6"/>
    <x v="2"/>
    <n v="850"/>
    <n v="1"/>
    <n v="850"/>
    <n v="850"/>
    <x v="2"/>
    <x v="7"/>
  </r>
  <r>
    <n v="740"/>
    <x v="739"/>
    <x v="0"/>
    <x v="5"/>
    <x v="1"/>
    <n v="600"/>
    <n v="1"/>
    <n v="600"/>
    <n v="600"/>
    <x v="2"/>
    <x v="8"/>
  </r>
  <r>
    <n v="741"/>
    <x v="740"/>
    <x v="0"/>
    <x v="6"/>
    <x v="2"/>
    <n v="850"/>
    <n v="1"/>
    <n v="850"/>
    <n v="850"/>
    <x v="2"/>
    <x v="9"/>
  </r>
  <r>
    <n v="742"/>
    <x v="741"/>
    <x v="0"/>
    <x v="6"/>
    <x v="2"/>
    <n v="850"/>
    <n v="1"/>
    <n v="850"/>
    <n v="850"/>
    <x v="2"/>
    <x v="10"/>
  </r>
  <r>
    <n v="743"/>
    <x v="742"/>
    <x v="0"/>
    <x v="0"/>
    <x v="0"/>
    <n v="1100"/>
    <n v="1"/>
    <n v="1100"/>
    <n v="1100"/>
    <x v="2"/>
    <x v="11"/>
  </r>
  <r>
    <n v="744"/>
    <x v="743"/>
    <x v="0"/>
    <x v="3"/>
    <x v="0"/>
    <n v="1000"/>
    <n v="1"/>
    <n v="1000"/>
    <n v="1000"/>
    <x v="2"/>
    <x v="12"/>
  </r>
  <r>
    <n v="745"/>
    <x v="744"/>
    <x v="0"/>
    <x v="0"/>
    <x v="0"/>
    <n v="1100"/>
    <n v="1"/>
    <n v="1100"/>
    <n v="1100"/>
    <x v="2"/>
    <x v="13"/>
  </r>
  <r>
    <n v="746"/>
    <x v="745"/>
    <x v="0"/>
    <x v="5"/>
    <x v="1"/>
    <n v="600"/>
    <n v="1"/>
    <n v="600"/>
    <n v="600"/>
    <x v="2"/>
    <x v="14"/>
  </r>
  <r>
    <n v="747"/>
    <x v="746"/>
    <x v="0"/>
    <x v="5"/>
    <x v="1"/>
    <n v="600"/>
    <n v="2"/>
    <n v="1200"/>
    <n v="1200"/>
    <x v="2"/>
    <x v="15"/>
  </r>
  <r>
    <n v="748"/>
    <x v="747"/>
    <x v="0"/>
    <x v="5"/>
    <x v="1"/>
    <n v="600"/>
    <n v="1"/>
    <n v="600"/>
    <n v="600"/>
    <x v="2"/>
    <x v="16"/>
  </r>
  <r>
    <n v="749"/>
    <x v="748"/>
    <x v="0"/>
    <x v="5"/>
    <x v="1"/>
    <n v="600"/>
    <n v="1"/>
    <n v="600"/>
    <n v="600"/>
    <x v="2"/>
    <x v="17"/>
  </r>
  <r>
    <n v="750"/>
    <x v="749"/>
    <x v="0"/>
    <x v="0"/>
    <x v="0"/>
    <n v="1100"/>
    <n v="1"/>
    <n v="1100"/>
    <n v="1100"/>
    <x v="2"/>
    <x v="18"/>
  </r>
  <r>
    <n v="751"/>
    <x v="750"/>
    <x v="0"/>
    <x v="2"/>
    <x v="0"/>
    <n v="900"/>
    <n v="1"/>
    <n v="900"/>
    <n v="900"/>
    <x v="2"/>
    <x v="19"/>
  </r>
  <r>
    <n v="752"/>
    <x v="751"/>
    <x v="0"/>
    <x v="5"/>
    <x v="1"/>
    <n v="600"/>
    <n v="1"/>
    <n v="600"/>
    <n v="600"/>
    <x v="2"/>
    <x v="20"/>
  </r>
  <r>
    <n v="753"/>
    <x v="752"/>
    <x v="0"/>
    <x v="2"/>
    <x v="0"/>
    <n v="900"/>
    <n v="1"/>
    <n v="900"/>
    <n v="900"/>
    <x v="2"/>
    <x v="21"/>
  </r>
  <r>
    <n v="754"/>
    <x v="753"/>
    <x v="0"/>
    <x v="1"/>
    <x v="0"/>
    <n v="900"/>
    <n v="1"/>
    <n v="900"/>
    <n v="900"/>
    <x v="2"/>
    <x v="22"/>
  </r>
  <r>
    <n v="755"/>
    <x v="754"/>
    <x v="0"/>
    <x v="5"/>
    <x v="1"/>
    <n v="600"/>
    <n v="1"/>
    <n v="600"/>
    <n v="600"/>
    <x v="2"/>
    <x v="23"/>
  </r>
  <r>
    <n v="756"/>
    <x v="755"/>
    <x v="0"/>
    <x v="5"/>
    <x v="1"/>
    <n v="600"/>
    <n v="1"/>
    <n v="600"/>
    <n v="600"/>
    <x v="2"/>
    <x v="24"/>
  </r>
  <r>
    <n v="757"/>
    <x v="756"/>
    <x v="0"/>
    <x v="5"/>
    <x v="1"/>
    <n v="600"/>
    <n v="1"/>
    <n v="600"/>
    <n v="600"/>
    <x v="2"/>
    <x v="25"/>
  </r>
  <r>
    <n v="758"/>
    <x v="757"/>
    <x v="0"/>
    <x v="0"/>
    <x v="0"/>
    <n v="1100"/>
    <n v="1"/>
    <n v="1100"/>
    <n v="1100"/>
    <x v="2"/>
    <x v="26"/>
  </r>
  <r>
    <n v="759"/>
    <x v="758"/>
    <x v="0"/>
    <x v="5"/>
    <x v="1"/>
    <n v="600"/>
    <n v="1"/>
    <n v="600"/>
    <n v="600"/>
    <x v="2"/>
    <x v="27"/>
  </r>
  <r>
    <n v="760"/>
    <x v="759"/>
    <x v="0"/>
    <x v="5"/>
    <x v="1"/>
    <n v="600"/>
    <n v="1"/>
    <n v="600"/>
    <n v="600"/>
    <x v="2"/>
    <x v="28"/>
  </r>
  <r>
    <n v="761"/>
    <x v="760"/>
    <x v="0"/>
    <x v="5"/>
    <x v="1"/>
    <n v="600"/>
    <n v="1"/>
    <n v="600"/>
    <n v="600"/>
    <x v="2"/>
    <x v="29"/>
  </r>
  <r>
    <n v="762"/>
    <x v="761"/>
    <x v="0"/>
    <x v="1"/>
    <x v="0"/>
    <n v="900"/>
    <n v="1"/>
    <n v="900"/>
    <n v="900"/>
    <x v="2"/>
    <x v="30"/>
  </r>
  <r>
    <n v="763"/>
    <x v="762"/>
    <x v="0"/>
    <x v="5"/>
    <x v="1"/>
    <n v="600"/>
    <n v="1"/>
    <n v="600"/>
    <n v="600"/>
    <x v="2"/>
    <x v="0"/>
  </r>
  <r>
    <n v="764"/>
    <x v="763"/>
    <x v="0"/>
    <x v="2"/>
    <x v="0"/>
    <n v="900"/>
    <n v="1"/>
    <n v="900"/>
    <n v="900"/>
    <x v="2"/>
    <x v="1"/>
  </r>
  <r>
    <n v="765"/>
    <x v="764"/>
    <x v="0"/>
    <x v="7"/>
    <x v="2"/>
    <n v="1200"/>
    <n v="1"/>
    <n v="1200"/>
    <n v="1200"/>
    <x v="2"/>
    <x v="2"/>
  </r>
  <r>
    <n v="766"/>
    <x v="765"/>
    <x v="0"/>
    <x v="0"/>
    <x v="0"/>
    <n v="1100"/>
    <n v="1"/>
    <n v="1100"/>
    <n v="1100"/>
    <x v="2"/>
    <x v="3"/>
  </r>
  <r>
    <n v="767"/>
    <x v="766"/>
    <x v="0"/>
    <x v="0"/>
    <x v="0"/>
    <n v="1100"/>
    <n v="1"/>
    <n v="1100"/>
    <n v="1100"/>
    <x v="2"/>
    <x v="4"/>
  </r>
  <r>
    <n v="768"/>
    <x v="767"/>
    <x v="0"/>
    <x v="5"/>
    <x v="1"/>
    <n v="600"/>
    <n v="1"/>
    <n v="600"/>
    <n v="600"/>
    <x v="2"/>
    <x v="5"/>
  </r>
  <r>
    <n v="769"/>
    <x v="768"/>
    <x v="0"/>
    <x v="5"/>
    <x v="1"/>
    <n v="600"/>
    <n v="2"/>
    <n v="1200"/>
    <n v="1200"/>
    <x v="2"/>
    <x v="6"/>
  </r>
  <r>
    <n v="770"/>
    <x v="769"/>
    <x v="0"/>
    <x v="7"/>
    <x v="2"/>
    <n v="1200"/>
    <n v="1"/>
    <n v="1200"/>
    <n v="1200"/>
    <x v="2"/>
    <x v="7"/>
  </r>
  <r>
    <n v="771"/>
    <x v="770"/>
    <x v="0"/>
    <x v="7"/>
    <x v="2"/>
    <n v="1200"/>
    <n v="1"/>
    <n v="1200"/>
    <n v="1200"/>
    <x v="2"/>
    <x v="8"/>
  </r>
  <r>
    <n v="772"/>
    <x v="771"/>
    <x v="0"/>
    <x v="3"/>
    <x v="0"/>
    <n v="1000"/>
    <n v="1"/>
    <n v="1000"/>
    <n v="1000"/>
    <x v="2"/>
    <x v="9"/>
  </r>
  <r>
    <n v="773"/>
    <x v="772"/>
    <x v="0"/>
    <x v="4"/>
    <x v="1"/>
    <n v="800"/>
    <n v="2"/>
    <n v="1600"/>
    <n v="1600"/>
    <x v="2"/>
    <x v="10"/>
  </r>
  <r>
    <n v="774"/>
    <x v="773"/>
    <x v="0"/>
    <x v="7"/>
    <x v="2"/>
    <n v="1200"/>
    <n v="1"/>
    <n v="1200"/>
    <n v="1200"/>
    <x v="2"/>
    <x v="11"/>
  </r>
  <r>
    <n v="775"/>
    <x v="774"/>
    <x v="0"/>
    <x v="2"/>
    <x v="0"/>
    <n v="900"/>
    <n v="1"/>
    <n v="900"/>
    <n v="900"/>
    <x v="2"/>
    <x v="12"/>
  </r>
  <r>
    <n v="776"/>
    <x v="775"/>
    <x v="0"/>
    <x v="3"/>
    <x v="0"/>
    <n v="1000"/>
    <n v="1"/>
    <n v="1000"/>
    <n v="1000"/>
    <x v="2"/>
    <x v="13"/>
  </r>
  <r>
    <n v="777"/>
    <x v="776"/>
    <x v="0"/>
    <x v="4"/>
    <x v="1"/>
    <n v="800"/>
    <n v="1"/>
    <n v="800"/>
    <n v="800"/>
    <x v="2"/>
    <x v="14"/>
  </r>
  <r>
    <n v="778"/>
    <x v="777"/>
    <x v="0"/>
    <x v="7"/>
    <x v="2"/>
    <n v="1200"/>
    <n v="1"/>
    <n v="1200"/>
    <n v="1200"/>
    <x v="2"/>
    <x v="15"/>
  </r>
  <r>
    <n v="779"/>
    <x v="778"/>
    <x v="0"/>
    <x v="7"/>
    <x v="2"/>
    <n v="1200"/>
    <n v="1"/>
    <n v="1200"/>
    <n v="1200"/>
    <x v="2"/>
    <x v="16"/>
  </r>
  <r>
    <n v="780"/>
    <x v="779"/>
    <x v="0"/>
    <x v="4"/>
    <x v="1"/>
    <n v="800"/>
    <n v="2"/>
    <n v="1600"/>
    <n v="1600"/>
    <x v="2"/>
    <x v="17"/>
  </r>
  <r>
    <n v="781"/>
    <x v="780"/>
    <x v="0"/>
    <x v="1"/>
    <x v="0"/>
    <n v="900"/>
    <n v="1"/>
    <n v="900"/>
    <n v="900"/>
    <x v="2"/>
    <x v="18"/>
  </r>
  <r>
    <n v="782"/>
    <x v="781"/>
    <x v="0"/>
    <x v="3"/>
    <x v="0"/>
    <n v="1000"/>
    <n v="1"/>
    <n v="1000"/>
    <n v="1000"/>
    <x v="2"/>
    <x v="19"/>
  </r>
  <r>
    <n v="783"/>
    <x v="782"/>
    <x v="0"/>
    <x v="3"/>
    <x v="0"/>
    <n v="1000"/>
    <n v="1"/>
    <n v="1000"/>
    <n v="1000"/>
    <x v="2"/>
    <x v="20"/>
  </r>
  <r>
    <n v="784"/>
    <x v="783"/>
    <x v="0"/>
    <x v="5"/>
    <x v="1"/>
    <n v="600"/>
    <n v="1"/>
    <n v="600"/>
    <n v="600"/>
    <x v="2"/>
    <x v="21"/>
  </r>
  <r>
    <n v="785"/>
    <x v="784"/>
    <x v="0"/>
    <x v="6"/>
    <x v="2"/>
    <n v="850"/>
    <n v="1"/>
    <n v="850"/>
    <n v="850"/>
    <x v="2"/>
    <x v="22"/>
  </r>
  <r>
    <n v="786"/>
    <x v="785"/>
    <x v="0"/>
    <x v="5"/>
    <x v="1"/>
    <n v="600"/>
    <n v="1"/>
    <n v="600"/>
    <n v="600"/>
    <x v="2"/>
    <x v="23"/>
  </r>
  <r>
    <n v="787"/>
    <x v="786"/>
    <x v="0"/>
    <x v="6"/>
    <x v="2"/>
    <n v="850"/>
    <n v="1"/>
    <n v="850"/>
    <n v="850"/>
    <x v="2"/>
    <x v="24"/>
  </r>
  <r>
    <n v="788"/>
    <x v="787"/>
    <x v="0"/>
    <x v="6"/>
    <x v="2"/>
    <n v="850"/>
    <n v="1"/>
    <n v="850"/>
    <n v="850"/>
    <x v="2"/>
    <x v="25"/>
  </r>
  <r>
    <n v="789"/>
    <x v="788"/>
    <x v="0"/>
    <x v="1"/>
    <x v="0"/>
    <n v="900"/>
    <n v="1"/>
    <n v="900"/>
    <n v="900"/>
    <x v="2"/>
    <x v="26"/>
  </r>
  <r>
    <n v="790"/>
    <x v="789"/>
    <x v="0"/>
    <x v="7"/>
    <x v="2"/>
    <n v="1200"/>
    <n v="2"/>
    <n v="2400"/>
    <n v="2400"/>
    <x v="2"/>
    <x v="27"/>
  </r>
  <r>
    <n v="791"/>
    <x v="790"/>
    <x v="0"/>
    <x v="4"/>
    <x v="1"/>
    <n v="800"/>
    <n v="1"/>
    <n v="800"/>
    <n v="800"/>
    <x v="2"/>
    <x v="0"/>
  </r>
  <r>
    <n v="792"/>
    <x v="791"/>
    <x v="0"/>
    <x v="4"/>
    <x v="1"/>
    <n v="800"/>
    <n v="1"/>
    <n v="800"/>
    <n v="800"/>
    <x v="2"/>
    <x v="1"/>
  </r>
  <r>
    <n v="793"/>
    <x v="792"/>
    <x v="0"/>
    <x v="2"/>
    <x v="0"/>
    <n v="900"/>
    <n v="1"/>
    <n v="900"/>
    <n v="900"/>
    <x v="2"/>
    <x v="2"/>
  </r>
  <r>
    <n v="794"/>
    <x v="793"/>
    <x v="0"/>
    <x v="4"/>
    <x v="1"/>
    <n v="800"/>
    <n v="1"/>
    <n v="800"/>
    <n v="800"/>
    <x v="2"/>
    <x v="3"/>
  </r>
  <r>
    <n v="795"/>
    <x v="794"/>
    <x v="0"/>
    <x v="5"/>
    <x v="1"/>
    <n v="600"/>
    <n v="1"/>
    <n v="600"/>
    <n v="600"/>
    <x v="2"/>
    <x v="4"/>
  </r>
  <r>
    <n v="796"/>
    <x v="795"/>
    <x v="0"/>
    <x v="1"/>
    <x v="0"/>
    <n v="900"/>
    <n v="3"/>
    <n v="2700"/>
    <n v="2700"/>
    <x v="2"/>
    <x v="5"/>
  </r>
  <r>
    <n v="797"/>
    <x v="796"/>
    <x v="0"/>
    <x v="5"/>
    <x v="1"/>
    <n v="600"/>
    <n v="1"/>
    <n v="600"/>
    <n v="600"/>
    <x v="2"/>
    <x v="6"/>
  </r>
  <r>
    <n v="798"/>
    <x v="797"/>
    <x v="0"/>
    <x v="4"/>
    <x v="1"/>
    <n v="800"/>
    <n v="1"/>
    <n v="800"/>
    <n v="800"/>
    <x v="2"/>
    <x v="7"/>
  </r>
  <r>
    <n v="799"/>
    <x v="798"/>
    <x v="0"/>
    <x v="5"/>
    <x v="1"/>
    <n v="600"/>
    <n v="1"/>
    <n v="600"/>
    <n v="600"/>
    <x v="2"/>
    <x v="8"/>
  </r>
  <r>
    <n v="800"/>
    <x v="799"/>
    <x v="0"/>
    <x v="0"/>
    <x v="0"/>
    <n v="1100"/>
    <n v="1"/>
    <n v="1100"/>
    <n v="1100"/>
    <x v="2"/>
    <x v="9"/>
  </r>
  <r>
    <n v="801"/>
    <x v="800"/>
    <x v="0"/>
    <x v="2"/>
    <x v="0"/>
    <n v="900"/>
    <n v="1"/>
    <n v="900"/>
    <n v="900"/>
    <x v="2"/>
    <x v="10"/>
  </r>
  <r>
    <n v="802"/>
    <x v="801"/>
    <x v="0"/>
    <x v="0"/>
    <x v="0"/>
    <n v="1100"/>
    <n v="1"/>
    <n v="1100"/>
    <n v="1100"/>
    <x v="2"/>
    <x v="11"/>
  </r>
  <r>
    <n v="803"/>
    <x v="802"/>
    <x v="0"/>
    <x v="0"/>
    <x v="0"/>
    <n v="1100"/>
    <n v="1"/>
    <n v="1100"/>
    <n v="1100"/>
    <x v="2"/>
    <x v="12"/>
  </r>
  <r>
    <n v="804"/>
    <x v="803"/>
    <x v="0"/>
    <x v="7"/>
    <x v="2"/>
    <n v="1200"/>
    <n v="1"/>
    <n v="1200"/>
    <n v="1200"/>
    <x v="2"/>
    <x v="13"/>
  </r>
  <r>
    <n v="805"/>
    <x v="804"/>
    <x v="0"/>
    <x v="7"/>
    <x v="2"/>
    <n v="1200"/>
    <n v="1"/>
    <n v="1200"/>
    <n v="1200"/>
    <x v="2"/>
    <x v="14"/>
  </r>
  <r>
    <n v="806"/>
    <x v="805"/>
    <x v="0"/>
    <x v="0"/>
    <x v="0"/>
    <n v="1100"/>
    <n v="1"/>
    <n v="1100"/>
    <n v="1100"/>
    <x v="2"/>
    <x v="15"/>
  </r>
  <r>
    <n v="807"/>
    <x v="806"/>
    <x v="0"/>
    <x v="0"/>
    <x v="0"/>
    <n v="1100"/>
    <n v="1"/>
    <n v="1100"/>
    <n v="1100"/>
    <x v="2"/>
    <x v="16"/>
  </r>
  <r>
    <n v="808"/>
    <x v="807"/>
    <x v="0"/>
    <x v="8"/>
    <x v="3"/>
    <n v="900"/>
    <n v="1"/>
    <n v="900"/>
    <n v="900"/>
    <x v="2"/>
    <x v="17"/>
  </r>
  <r>
    <n v="809"/>
    <x v="808"/>
    <x v="0"/>
    <x v="2"/>
    <x v="0"/>
    <n v="900"/>
    <n v="1"/>
    <n v="900"/>
    <n v="900"/>
    <x v="2"/>
    <x v="18"/>
  </r>
  <r>
    <n v="810"/>
    <x v="809"/>
    <x v="0"/>
    <x v="8"/>
    <x v="3"/>
    <n v="800"/>
    <n v="1"/>
    <n v="800"/>
    <n v="800"/>
    <x v="2"/>
    <x v="19"/>
  </r>
  <r>
    <n v="811"/>
    <x v="810"/>
    <x v="0"/>
    <x v="5"/>
    <x v="1"/>
    <n v="600"/>
    <n v="1"/>
    <n v="600"/>
    <n v="600"/>
    <x v="2"/>
    <x v="20"/>
  </r>
  <r>
    <n v="812"/>
    <x v="811"/>
    <x v="0"/>
    <x v="8"/>
    <x v="3"/>
    <n v="800"/>
    <n v="1"/>
    <n v="800"/>
    <n v="800"/>
    <x v="2"/>
    <x v="21"/>
  </r>
  <r>
    <n v="813"/>
    <x v="812"/>
    <x v="0"/>
    <x v="2"/>
    <x v="0"/>
    <n v="900"/>
    <n v="1"/>
    <n v="900"/>
    <n v="900"/>
    <x v="2"/>
    <x v="22"/>
  </r>
  <r>
    <n v="814"/>
    <x v="813"/>
    <x v="0"/>
    <x v="7"/>
    <x v="2"/>
    <n v="1200"/>
    <n v="1"/>
    <n v="1200"/>
    <n v="1200"/>
    <x v="2"/>
    <x v="23"/>
  </r>
  <r>
    <n v="815"/>
    <x v="814"/>
    <x v="0"/>
    <x v="8"/>
    <x v="3"/>
    <n v="800"/>
    <n v="1"/>
    <n v="800"/>
    <n v="800"/>
    <x v="2"/>
    <x v="24"/>
  </r>
  <r>
    <n v="816"/>
    <x v="815"/>
    <x v="0"/>
    <x v="1"/>
    <x v="0"/>
    <n v="900"/>
    <n v="1"/>
    <n v="900"/>
    <n v="900"/>
    <x v="2"/>
    <x v="25"/>
  </r>
  <r>
    <n v="817"/>
    <x v="816"/>
    <x v="0"/>
    <x v="7"/>
    <x v="2"/>
    <n v="1200"/>
    <n v="1"/>
    <n v="1200"/>
    <n v="1200"/>
    <x v="2"/>
    <x v="26"/>
  </r>
  <r>
    <n v="818"/>
    <x v="817"/>
    <x v="0"/>
    <x v="0"/>
    <x v="0"/>
    <n v="1100"/>
    <n v="1"/>
    <n v="1100"/>
    <n v="1100"/>
    <x v="2"/>
    <x v="27"/>
  </r>
  <r>
    <n v="819"/>
    <x v="818"/>
    <x v="0"/>
    <x v="7"/>
    <x v="2"/>
    <n v="1200"/>
    <n v="1"/>
    <n v="1200"/>
    <n v="1200"/>
    <x v="2"/>
    <x v="28"/>
  </r>
  <r>
    <n v="820"/>
    <x v="819"/>
    <x v="0"/>
    <x v="2"/>
    <x v="0"/>
    <n v="900"/>
    <n v="1"/>
    <n v="900"/>
    <n v="900"/>
    <x v="2"/>
    <x v="29"/>
  </r>
  <r>
    <n v="821"/>
    <x v="820"/>
    <x v="0"/>
    <x v="0"/>
    <x v="0"/>
    <n v="1100"/>
    <n v="2"/>
    <n v="2200"/>
    <n v="2200"/>
    <x v="2"/>
    <x v="30"/>
  </r>
  <r>
    <n v="822"/>
    <x v="821"/>
    <x v="0"/>
    <x v="7"/>
    <x v="2"/>
    <n v="1200"/>
    <n v="1"/>
    <n v="1200"/>
    <n v="1200"/>
    <x v="2"/>
    <x v="0"/>
  </r>
  <r>
    <n v="823"/>
    <x v="822"/>
    <x v="0"/>
    <x v="0"/>
    <x v="0"/>
    <n v="1100"/>
    <n v="1"/>
    <n v="1100"/>
    <n v="1100"/>
    <x v="2"/>
    <x v="1"/>
  </r>
  <r>
    <n v="824"/>
    <x v="823"/>
    <x v="0"/>
    <x v="1"/>
    <x v="0"/>
    <n v="900"/>
    <n v="1"/>
    <n v="900"/>
    <n v="900"/>
    <x v="2"/>
    <x v="2"/>
  </r>
  <r>
    <n v="825"/>
    <x v="824"/>
    <x v="0"/>
    <x v="5"/>
    <x v="1"/>
    <n v="600"/>
    <n v="1"/>
    <n v="600"/>
    <n v="600"/>
    <x v="2"/>
    <x v="3"/>
  </r>
  <r>
    <n v="826"/>
    <x v="825"/>
    <x v="0"/>
    <x v="8"/>
    <x v="3"/>
    <n v="900"/>
    <n v="1"/>
    <n v="900"/>
    <n v="900"/>
    <x v="2"/>
    <x v="4"/>
  </r>
  <r>
    <n v="827"/>
    <x v="826"/>
    <x v="0"/>
    <x v="4"/>
    <x v="1"/>
    <n v="800"/>
    <n v="1"/>
    <n v="800"/>
    <n v="800"/>
    <x v="2"/>
    <x v="5"/>
  </r>
  <r>
    <n v="828"/>
    <x v="827"/>
    <x v="0"/>
    <x v="0"/>
    <x v="0"/>
    <n v="1100"/>
    <n v="1"/>
    <n v="1100"/>
    <n v="1100"/>
    <x v="2"/>
    <x v="6"/>
  </r>
  <r>
    <n v="829"/>
    <x v="828"/>
    <x v="0"/>
    <x v="2"/>
    <x v="0"/>
    <n v="900"/>
    <n v="1"/>
    <n v="900"/>
    <n v="900"/>
    <x v="2"/>
    <x v="7"/>
  </r>
  <r>
    <n v="830"/>
    <x v="829"/>
    <x v="0"/>
    <x v="3"/>
    <x v="0"/>
    <n v="1000"/>
    <n v="1"/>
    <n v="1000"/>
    <n v="1000"/>
    <x v="2"/>
    <x v="8"/>
  </r>
  <r>
    <n v="831"/>
    <x v="830"/>
    <x v="0"/>
    <x v="6"/>
    <x v="2"/>
    <n v="850"/>
    <n v="1"/>
    <n v="850"/>
    <n v="850"/>
    <x v="2"/>
    <x v="9"/>
  </r>
  <r>
    <n v="832"/>
    <x v="831"/>
    <x v="0"/>
    <x v="5"/>
    <x v="1"/>
    <n v="600"/>
    <n v="1"/>
    <n v="600"/>
    <n v="600"/>
    <x v="2"/>
    <x v="10"/>
  </r>
  <r>
    <n v="833"/>
    <x v="832"/>
    <x v="0"/>
    <x v="2"/>
    <x v="0"/>
    <n v="900"/>
    <n v="1"/>
    <n v="900"/>
    <n v="900"/>
    <x v="2"/>
    <x v="11"/>
  </r>
  <r>
    <n v="834"/>
    <x v="833"/>
    <x v="0"/>
    <x v="3"/>
    <x v="0"/>
    <n v="1000"/>
    <n v="1"/>
    <n v="1000"/>
    <n v="1000"/>
    <x v="2"/>
    <x v="12"/>
  </r>
  <r>
    <n v="835"/>
    <x v="834"/>
    <x v="0"/>
    <x v="2"/>
    <x v="0"/>
    <n v="900"/>
    <n v="1"/>
    <n v="900"/>
    <n v="900"/>
    <x v="2"/>
    <x v="13"/>
  </r>
  <r>
    <n v="836"/>
    <x v="835"/>
    <x v="0"/>
    <x v="1"/>
    <x v="0"/>
    <n v="900"/>
    <n v="1"/>
    <n v="900"/>
    <n v="900"/>
    <x v="2"/>
    <x v="14"/>
  </r>
  <r>
    <n v="837"/>
    <x v="836"/>
    <x v="0"/>
    <x v="5"/>
    <x v="1"/>
    <n v="600"/>
    <n v="1"/>
    <n v="600"/>
    <n v="600"/>
    <x v="2"/>
    <x v="15"/>
  </r>
  <r>
    <n v="838"/>
    <x v="837"/>
    <x v="0"/>
    <x v="8"/>
    <x v="3"/>
    <n v="900"/>
    <n v="1"/>
    <n v="900"/>
    <n v="900"/>
    <x v="2"/>
    <x v="16"/>
  </r>
  <r>
    <n v="839"/>
    <x v="838"/>
    <x v="0"/>
    <x v="8"/>
    <x v="3"/>
    <n v="800"/>
    <n v="1"/>
    <n v="800"/>
    <n v="800"/>
    <x v="2"/>
    <x v="17"/>
  </r>
  <r>
    <n v="840"/>
    <x v="839"/>
    <x v="0"/>
    <x v="4"/>
    <x v="1"/>
    <n v="800"/>
    <n v="1"/>
    <n v="800"/>
    <n v="800"/>
    <x v="2"/>
    <x v="18"/>
  </r>
  <r>
    <n v="841"/>
    <x v="840"/>
    <x v="0"/>
    <x v="5"/>
    <x v="1"/>
    <n v="600"/>
    <n v="1"/>
    <n v="600"/>
    <n v="600"/>
    <x v="2"/>
    <x v="19"/>
  </r>
  <r>
    <n v="842"/>
    <x v="841"/>
    <x v="0"/>
    <x v="8"/>
    <x v="3"/>
    <n v="500"/>
    <n v="1"/>
    <n v="500"/>
    <n v="500"/>
    <x v="2"/>
    <x v="20"/>
  </r>
  <r>
    <n v="843"/>
    <x v="842"/>
    <x v="0"/>
    <x v="2"/>
    <x v="0"/>
    <n v="900"/>
    <n v="1"/>
    <n v="900"/>
    <n v="900"/>
    <x v="2"/>
    <x v="21"/>
  </r>
  <r>
    <n v="844"/>
    <x v="843"/>
    <x v="0"/>
    <x v="0"/>
    <x v="0"/>
    <n v="1100"/>
    <n v="1"/>
    <n v="1100"/>
    <n v="1100"/>
    <x v="2"/>
    <x v="22"/>
  </r>
  <r>
    <n v="845"/>
    <x v="844"/>
    <x v="0"/>
    <x v="8"/>
    <x v="3"/>
    <n v="500"/>
    <n v="1"/>
    <n v="500"/>
    <n v="500"/>
    <x v="2"/>
    <x v="23"/>
  </r>
  <r>
    <n v="846"/>
    <x v="845"/>
    <x v="0"/>
    <x v="5"/>
    <x v="1"/>
    <n v="600"/>
    <n v="1"/>
    <n v="600"/>
    <n v="600"/>
    <x v="2"/>
    <x v="24"/>
  </r>
  <r>
    <n v="847"/>
    <x v="846"/>
    <x v="0"/>
    <x v="2"/>
    <x v="0"/>
    <n v="900"/>
    <n v="1"/>
    <n v="900"/>
    <n v="900"/>
    <x v="2"/>
    <x v="25"/>
  </r>
  <r>
    <n v="848"/>
    <x v="847"/>
    <x v="0"/>
    <x v="8"/>
    <x v="3"/>
    <n v="500"/>
    <n v="1"/>
    <n v="500"/>
    <n v="500"/>
    <x v="2"/>
    <x v="26"/>
  </r>
  <r>
    <n v="849"/>
    <x v="848"/>
    <x v="0"/>
    <x v="8"/>
    <x v="3"/>
    <n v="500"/>
    <n v="1"/>
    <n v="500"/>
    <n v="500"/>
    <x v="2"/>
    <x v="27"/>
  </r>
  <r>
    <n v="850"/>
    <x v="849"/>
    <x v="0"/>
    <x v="5"/>
    <x v="1"/>
    <n v="600"/>
    <n v="1"/>
    <n v="600"/>
    <n v="600"/>
    <x v="2"/>
    <x v="28"/>
  </r>
  <r>
    <n v="851"/>
    <x v="850"/>
    <x v="0"/>
    <x v="5"/>
    <x v="1"/>
    <n v="600"/>
    <n v="1"/>
    <n v="600"/>
    <n v="600"/>
    <x v="2"/>
    <x v="29"/>
  </r>
  <r>
    <n v="852"/>
    <x v="851"/>
    <x v="0"/>
    <x v="4"/>
    <x v="1"/>
    <n v="800"/>
    <n v="1"/>
    <n v="800"/>
    <n v="800"/>
    <x v="2"/>
    <x v="0"/>
  </r>
  <r>
    <n v="853"/>
    <x v="852"/>
    <x v="0"/>
    <x v="6"/>
    <x v="2"/>
    <n v="850"/>
    <n v="1"/>
    <n v="850"/>
    <n v="850"/>
    <x v="2"/>
    <x v="1"/>
  </r>
  <r>
    <n v="854"/>
    <x v="853"/>
    <x v="0"/>
    <x v="8"/>
    <x v="3"/>
    <n v="500"/>
    <n v="1"/>
    <n v="500"/>
    <n v="500"/>
    <x v="2"/>
    <x v="2"/>
  </r>
  <r>
    <n v="855"/>
    <x v="854"/>
    <x v="0"/>
    <x v="8"/>
    <x v="3"/>
    <n v="500"/>
    <n v="1"/>
    <n v="500"/>
    <n v="500"/>
    <x v="2"/>
    <x v="3"/>
  </r>
  <r>
    <n v="856"/>
    <x v="855"/>
    <x v="0"/>
    <x v="0"/>
    <x v="0"/>
    <n v="1100"/>
    <n v="1"/>
    <n v="1100"/>
    <n v="1100"/>
    <x v="2"/>
    <x v="4"/>
  </r>
  <r>
    <n v="857"/>
    <x v="856"/>
    <x v="0"/>
    <x v="8"/>
    <x v="3"/>
    <n v="500"/>
    <n v="1"/>
    <n v="500"/>
    <n v="500"/>
    <x v="2"/>
    <x v="5"/>
  </r>
  <r>
    <n v="858"/>
    <x v="857"/>
    <x v="0"/>
    <x v="3"/>
    <x v="0"/>
    <n v="1000"/>
    <n v="1"/>
    <n v="1000"/>
    <n v="1000"/>
    <x v="2"/>
    <x v="6"/>
  </r>
  <r>
    <n v="859"/>
    <x v="858"/>
    <x v="0"/>
    <x v="4"/>
    <x v="1"/>
    <n v="800"/>
    <n v="1"/>
    <n v="800"/>
    <n v="800"/>
    <x v="2"/>
    <x v="7"/>
  </r>
  <r>
    <n v="860"/>
    <x v="859"/>
    <x v="0"/>
    <x v="9"/>
    <x v="3"/>
    <n v="600"/>
    <n v="1"/>
    <n v="600"/>
    <n v="600"/>
    <x v="2"/>
    <x v="8"/>
  </r>
  <r>
    <n v="861"/>
    <x v="860"/>
    <x v="0"/>
    <x v="9"/>
    <x v="3"/>
    <n v="600"/>
    <n v="1"/>
    <n v="600"/>
    <n v="600"/>
    <x v="2"/>
    <x v="9"/>
  </r>
  <r>
    <n v="862"/>
    <x v="861"/>
    <x v="0"/>
    <x v="6"/>
    <x v="2"/>
    <n v="850"/>
    <n v="1"/>
    <n v="850"/>
    <n v="850"/>
    <x v="2"/>
    <x v="10"/>
  </r>
  <r>
    <n v="863"/>
    <x v="862"/>
    <x v="0"/>
    <x v="9"/>
    <x v="3"/>
    <n v="600"/>
    <n v="1"/>
    <n v="600"/>
    <n v="600"/>
    <x v="2"/>
    <x v="11"/>
  </r>
  <r>
    <n v="864"/>
    <x v="863"/>
    <x v="0"/>
    <x v="5"/>
    <x v="1"/>
    <n v="600"/>
    <n v="1"/>
    <n v="600"/>
    <n v="600"/>
    <x v="2"/>
    <x v="12"/>
  </r>
  <r>
    <n v="865"/>
    <x v="864"/>
    <x v="0"/>
    <x v="9"/>
    <x v="3"/>
    <n v="600"/>
    <n v="1"/>
    <n v="600"/>
    <n v="600"/>
    <x v="2"/>
    <x v="13"/>
  </r>
  <r>
    <n v="866"/>
    <x v="865"/>
    <x v="0"/>
    <x v="0"/>
    <x v="0"/>
    <n v="1100"/>
    <n v="1"/>
    <n v="1100"/>
    <n v="1100"/>
    <x v="2"/>
    <x v="14"/>
  </r>
  <r>
    <n v="867"/>
    <x v="866"/>
    <x v="0"/>
    <x v="5"/>
    <x v="1"/>
    <n v="600"/>
    <n v="1"/>
    <n v="600"/>
    <n v="600"/>
    <x v="2"/>
    <x v="15"/>
  </r>
  <r>
    <n v="868"/>
    <x v="867"/>
    <x v="0"/>
    <x v="0"/>
    <x v="0"/>
    <n v="1100"/>
    <n v="1"/>
    <n v="1100"/>
    <n v="1100"/>
    <x v="2"/>
    <x v="16"/>
  </r>
  <r>
    <n v="869"/>
    <x v="868"/>
    <x v="0"/>
    <x v="0"/>
    <x v="0"/>
    <n v="1100"/>
    <n v="1"/>
    <n v="1100"/>
    <n v="1100"/>
    <x v="2"/>
    <x v="17"/>
  </r>
  <r>
    <n v="870"/>
    <x v="869"/>
    <x v="0"/>
    <x v="0"/>
    <x v="0"/>
    <n v="1100"/>
    <n v="1"/>
    <n v="1100"/>
    <n v="1100"/>
    <x v="2"/>
    <x v="18"/>
  </r>
  <r>
    <n v="871"/>
    <x v="870"/>
    <x v="0"/>
    <x v="6"/>
    <x v="2"/>
    <n v="850"/>
    <n v="1"/>
    <n v="850"/>
    <n v="850"/>
    <x v="2"/>
    <x v="19"/>
  </r>
  <r>
    <n v="872"/>
    <x v="871"/>
    <x v="0"/>
    <x v="5"/>
    <x v="1"/>
    <n v="600"/>
    <n v="1"/>
    <n v="600"/>
    <n v="600"/>
    <x v="2"/>
    <x v="20"/>
  </r>
  <r>
    <n v="873"/>
    <x v="872"/>
    <x v="0"/>
    <x v="5"/>
    <x v="1"/>
    <n v="600"/>
    <n v="1"/>
    <n v="600"/>
    <n v="600"/>
    <x v="2"/>
    <x v="21"/>
  </r>
  <r>
    <n v="874"/>
    <x v="873"/>
    <x v="0"/>
    <x v="4"/>
    <x v="1"/>
    <n v="800"/>
    <n v="1"/>
    <n v="800"/>
    <n v="800"/>
    <x v="2"/>
    <x v="22"/>
  </r>
  <r>
    <n v="875"/>
    <x v="874"/>
    <x v="0"/>
    <x v="7"/>
    <x v="2"/>
    <n v="1200"/>
    <n v="1"/>
    <n v="1200"/>
    <n v="1200"/>
    <x v="2"/>
    <x v="23"/>
  </r>
  <r>
    <n v="876"/>
    <x v="875"/>
    <x v="0"/>
    <x v="3"/>
    <x v="0"/>
    <n v="1000"/>
    <n v="1"/>
    <n v="1000"/>
    <n v="1000"/>
    <x v="2"/>
    <x v="24"/>
  </r>
  <r>
    <n v="877"/>
    <x v="876"/>
    <x v="0"/>
    <x v="9"/>
    <x v="3"/>
    <n v="600"/>
    <n v="1"/>
    <n v="600"/>
    <n v="600"/>
    <x v="2"/>
    <x v="25"/>
  </r>
  <r>
    <n v="878"/>
    <x v="877"/>
    <x v="0"/>
    <x v="2"/>
    <x v="0"/>
    <n v="900"/>
    <n v="1"/>
    <n v="900"/>
    <n v="900"/>
    <x v="2"/>
    <x v="26"/>
  </r>
  <r>
    <n v="879"/>
    <x v="878"/>
    <x v="0"/>
    <x v="5"/>
    <x v="1"/>
    <n v="600"/>
    <n v="1"/>
    <n v="600"/>
    <n v="600"/>
    <x v="2"/>
    <x v="27"/>
  </r>
  <r>
    <n v="880"/>
    <x v="879"/>
    <x v="0"/>
    <x v="1"/>
    <x v="0"/>
    <n v="900"/>
    <n v="1"/>
    <n v="900"/>
    <n v="900"/>
    <x v="2"/>
    <x v="28"/>
  </r>
  <r>
    <n v="881"/>
    <x v="880"/>
    <x v="0"/>
    <x v="9"/>
    <x v="3"/>
    <n v="600"/>
    <n v="1"/>
    <n v="600"/>
    <n v="600"/>
    <x v="2"/>
    <x v="29"/>
  </r>
  <r>
    <n v="882"/>
    <x v="881"/>
    <x v="0"/>
    <x v="6"/>
    <x v="2"/>
    <n v="850"/>
    <n v="1"/>
    <n v="850"/>
    <n v="850"/>
    <x v="2"/>
    <x v="30"/>
  </r>
  <r>
    <n v="883"/>
    <x v="882"/>
    <x v="0"/>
    <x v="2"/>
    <x v="0"/>
    <n v="900"/>
    <n v="1"/>
    <n v="900"/>
    <n v="900"/>
    <x v="2"/>
    <x v="0"/>
  </r>
  <r>
    <n v="884"/>
    <x v="883"/>
    <x v="0"/>
    <x v="0"/>
    <x v="0"/>
    <n v="1100"/>
    <n v="1"/>
    <n v="1100"/>
    <n v="1100"/>
    <x v="2"/>
    <x v="1"/>
  </r>
  <r>
    <n v="885"/>
    <x v="884"/>
    <x v="0"/>
    <x v="2"/>
    <x v="0"/>
    <n v="900"/>
    <n v="1"/>
    <n v="900"/>
    <n v="900"/>
    <x v="2"/>
    <x v="2"/>
  </r>
  <r>
    <n v="886"/>
    <x v="885"/>
    <x v="0"/>
    <x v="3"/>
    <x v="0"/>
    <n v="1000"/>
    <n v="1"/>
    <n v="1000"/>
    <n v="1000"/>
    <x v="2"/>
    <x v="3"/>
  </r>
  <r>
    <n v="887"/>
    <x v="886"/>
    <x v="0"/>
    <x v="0"/>
    <x v="0"/>
    <n v="1100"/>
    <n v="1"/>
    <n v="1100"/>
    <n v="1100"/>
    <x v="2"/>
    <x v="4"/>
  </r>
  <r>
    <n v="888"/>
    <x v="887"/>
    <x v="0"/>
    <x v="3"/>
    <x v="0"/>
    <n v="1000"/>
    <n v="1"/>
    <n v="1000"/>
    <n v="1000"/>
    <x v="2"/>
    <x v="5"/>
  </r>
  <r>
    <n v="889"/>
    <x v="888"/>
    <x v="0"/>
    <x v="0"/>
    <x v="0"/>
    <n v="1100"/>
    <n v="1"/>
    <n v="1100"/>
    <n v="1100"/>
    <x v="2"/>
    <x v="6"/>
  </r>
  <r>
    <n v="890"/>
    <x v="889"/>
    <x v="0"/>
    <x v="2"/>
    <x v="0"/>
    <n v="900"/>
    <n v="1"/>
    <n v="900"/>
    <n v="900"/>
    <x v="2"/>
    <x v="7"/>
  </r>
  <r>
    <n v="891"/>
    <x v="890"/>
    <x v="0"/>
    <x v="1"/>
    <x v="0"/>
    <n v="900"/>
    <n v="1"/>
    <n v="900"/>
    <n v="900"/>
    <x v="2"/>
    <x v="8"/>
  </r>
  <r>
    <n v="892"/>
    <x v="891"/>
    <x v="0"/>
    <x v="0"/>
    <x v="0"/>
    <n v="1100"/>
    <n v="1"/>
    <n v="1100"/>
    <n v="1100"/>
    <x v="2"/>
    <x v="9"/>
  </r>
  <r>
    <n v="893"/>
    <x v="892"/>
    <x v="0"/>
    <x v="0"/>
    <x v="0"/>
    <n v="1100"/>
    <n v="1"/>
    <n v="1100"/>
    <n v="1100"/>
    <x v="2"/>
    <x v="10"/>
  </r>
  <r>
    <n v="894"/>
    <x v="893"/>
    <x v="0"/>
    <x v="3"/>
    <x v="0"/>
    <n v="1000"/>
    <n v="1"/>
    <n v="1000"/>
    <n v="1000"/>
    <x v="2"/>
    <x v="11"/>
  </r>
  <r>
    <n v="895"/>
    <x v="894"/>
    <x v="0"/>
    <x v="1"/>
    <x v="0"/>
    <n v="900"/>
    <n v="1"/>
    <n v="900"/>
    <n v="900"/>
    <x v="2"/>
    <x v="12"/>
  </r>
  <r>
    <n v="896"/>
    <x v="895"/>
    <x v="0"/>
    <x v="5"/>
    <x v="1"/>
    <n v="600"/>
    <n v="1"/>
    <n v="600"/>
    <n v="600"/>
    <x v="2"/>
    <x v="13"/>
  </r>
  <r>
    <n v="897"/>
    <x v="896"/>
    <x v="0"/>
    <x v="1"/>
    <x v="0"/>
    <n v="900"/>
    <n v="1"/>
    <n v="900"/>
    <n v="900"/>
    <x v="2"/>
    <x v="14"/>
  </r>
  <r>
    <n v="898"/>
    <x v="897"/>
    <x v="0"/>
    <x v="5"/>
    <x v="1"/>
    <n v="600"/>
    <n v="1"/>
    <n v="600"/>
    <n v="600"/>
    <x v="2"/>
    <x v="15"/>
  </r>
  <r>
    <n v="899"/>
    <x v="898"/>
    <x v="0"/>
    <x v="2"/>
    <x v="0"/>
    <n v="900"/>
    <n v="1"/>
    <n v="900"/>
    <n v="900"/>
    <x v="2"/>
    <x v="16"/>
  </r>
  <r>
    <n v="900"/>
    <x v="899"/>
    <x v="0"/>
    <x v="0"/>
    <x v="0"/>
    <n v="1100"/>
    <n v="2"/>
    <n v="2200"/>
    <n v="2200"/>
    <x v="2"/>
    <x v="17"/>
  </r>
  <r>
    <n v="901"/>
    <x v="900"/>
    <x v="0"/>
    <x v="5"/>
    <x v="1"/>
    <n v="600"/>
    <n v="1"/>
    <n v="600"/>
    <n v="600"/>
    <x v="2"/>
    <x v="18"/>
  </r>
  <r>
    <n v="902"/>
    <x v="901"/>
    <x v="0"/>
    <x v="5"/>
    <x v="1"/>
    <n v="600"/>
    <n v="1"/>
    <n v="600"/>
    <n v="600"/>
    <x v="2"/>
    <x v="19"/>
  </r>
  <r>
    <n v="903"/>
    <x v="902"/>
    <x v="0"/>
    <x v="2"/>
    <x v="0"/>
    <n v="900"/>
    <n v="1"/>
    <n v="900"/>
    <n v="900"/>
    <x v="2"/>
    <x v="20"/>
  </r>
  <r>
    <n v="904"/>
    <x v="903"/>
    <x v="0"/>
    <x v="0"/>
    <x v="0"/>
    <n v="1100"/>
    <n v="1"/>
    <n v="1100"/>
    <n v="1100"/>
    <x v="2"/>
    <x v="21"/>
  </r>
  <r>
    <n v="905"/>
    <x v="904"/>
    <x v="0"/>
    <x v="5"/>
    <x v="1"/>
    <n v="600"/>
    <n v="1"/>
    <n v="600"/>
    <n v="600"/>
    <x v="2"/>
    <x v="22"/>
  </r>
  <r>
    <n v="906"/>
    <x v="905"/>
    <x v="0"/>
    <x v="9"/>
    <x v="3"/>
    <n v="600"/>
    <n v="1"/>
    <n v="600"/>
    <n v="600"/>
    <x v="2"/>
    <x v="23"/>
  </r>
  <r>
    <n v="907"/>
    <x v="906"/>
    <x v="0"/>
    <x v="5"/>
    <x v="1"/>
    <n v="600"/>
    <n v="1"/>
    <n v="600"/>
    <n v="600"/>
    <x v="2"/>
    <x v="24"/>
  </r>
  <r>
    <n v="908"/>
    <x v="907"/>
    <x v="0"/>
    <x v="9"/>
    <x v="3"/>
    <n v="600"/>
    <n v="1"/>
    <n v="600"/>
    <n v="600"/>
    <x v="2"/>
    <x v="25"/>
  </r>
  <r>
    <n v="909"/>
    <x v="908"/>
    <x v="0"/>
    <x v="9"/>
    <x v="3"/>
    <n v="600"/>
    <n v="2"/>
    <n v="1200"/>
    <n v="1200"/>
    <x v="2"/>
    <x v="26"/>
  </r>
  <r>
    <n v="910"/>
    <x v="909"/>
    <x v="0"/>
    <x v="5"/>
    <x v="1"/>
    <n v="600"/>
    <n v="1"/>
    <n v="600"/>
    <n v="600"/>
    <x v="2"/>
    <x v="27"/>
  </r>
  <r>
    <n v="911"/>
    <x v="910"/>
    <x v="0"/>
    <x v="0"/>
    <x v="0"/>
    <n v="1100"/>
    <n v="3"/>
    <n v="3300"/>
    <n v="3300"/>
    <x v="2"/>
    <x v="28"/>
  </r>
  <r>
    <n v="912"/>
    <x v="911"/>
    <x v="0"/>
    <x v="0"/>
    <x v="0"/>
    <n v="1100"/>
    <n v="1"/>
    <n v="1100"/>
    <n v="1100"/>
    <x v="2"/>
    <x v="29"/>
  </r>
  <r>
    <n v="913"/>
    <x v="912"/>
    <x v="0"/>
    <x v="6"/>
    <x v="2"/>
    <n v="850"/>
    <n v="1"/>
    <n v="850"/>
    <n v="850"/>
    <x v="2"/>
    <x v="0"/>
  </r>
  <r>
    <n v="914"/>
    <x v="913"/>
    <x v="0"/>
    <x v="7"/>
    <x v="2"/>
    <n v="1200"/>
    <n v="1"/>
    <n v="1200"/>
    <n v="1200"/>
    <x v="2"/>
    <x v="1"/>
  </r>
  <r>
    <n v="915"/>
    <x v="914"/>
    <x v="0"/>
    <x v="4"/>
    <x v="1"/>
    <n v="800"/>
    <n v="1"/>
    <n v="800"/>
    <n v="800"/>
    <x v="2"/>
    <x v="2"/>
  </r>
  <r>
    <n v="916"/>
    <x v="915"/>
    <x v="0"/>
    <x v="2"/>
    <x v="0"/>
    <n v="900"/>
    <n v="1"/>
    <n v="900"/>
    <n v="900"/>
    <x v="2"/>
    <x v="3"/>
  </r>
  <r>
    <n v="917"/>
    <x v="916"/>
    <x v="0"/>
    <x v="0"/>
    <x v="0"/>
    <n v="1100"/>
    <n v="1"/>
    <n v="1100"/>
    <n v="1100"/>
    <x v="2"/>
    <x v="4"/>
  </r>
  <r>
    <n v="918"/>
    <x v="917"/>
    <x v="0"/>
    <x v="1"/>
    <x v="0"/>
    <n v="900"/>
    <n v="1"/>
    <n v="900"/>
    <n v="900"/>
    <x v="2"/>
    <x v="5"/>
  </r>
  <r>
    <n v="919"/>
    <x v="918"/>
    <x v="0"/>
    <x v="0"/>
    <x v="0"/>
    <n v="1100"/>
    <n v="1"/>
    <n v="1100"/>
    <n v="1100"/>
    <x v="2"/>
    <x v="6"/>
  </r>
  <r>
    <n v="920"/>
    <x v="919"/>
    <x v="0"/>
    <x v="8"/>
    <x v="3"/>
    <n v="900"/>
    <n v="1"/>
    <n v="900"/>
    <n v="900"/>
    <x v="2"/>
    <x v="7"/>
  </r>
  <r>
    <n v="921"/>
    <x v="920"/>
    <x v="0"/>
    <x v="8"/>
    <x v="3"/>
    <n v="500"/>
    <n v="1"/>
    <n v="500"/>
    <n v="500"/>
    <x v="2"/>
    <x v="8"/>
  </r>
  <r>
    <n v="922"/>
    <x v="921"/>
    <x v="0"/>
    <x v="3"/>
    <x v="0"/>
    <n v="1000"/>
    <n v="1"/>
    <n v="1000"/>
    <n v="1000"/>
    <x v="2"/>
    <x v="9"/>
  </r>
  <r>
    <n v="923"/>
    <x v="922"/>
    <x v="0"/>
    <x v="9"/>
    <x v="3"/>
    <n v="600"/>
    <n v="1"/>
    <n v="600"/>
    <n v="600"/>
    <x v="2"/>
    <x v="10"/>
  </r>
  <r>
    <n v="924"/>
    <x v="923"/>
    <x v="0"/>
    <x v="1"/>
    <x v="0"/>
    <n v="900"/>
    <n v="2"/>
    <n v="1800"/>
    <n v="1800"/>
    <x v="2"/>
    <x v="11"/>
  </r>
  <r>
    <n v="925"/>
    <x v="924"/>
    <x v="0"/>
    <x v="6"/>
    <x v="2"/>
    <n v="850"/>
    <n v="1"/>
    <n v="850"/>
    <n v="850"/>
    <x v="2"/>
    <x v="12"/>
  </r>
  <r>
    <n v="926"/>
    <x v="925"/>
    <x v="0"/>
    <x v="4"/>
    <x v="1"/>
    <n v="800"/>
    <n v="1"/>
    <n v="800"/>
    <n v="800"/>
    <x v="2"/>
    <x v="13"/>
  </r>
  <r>
    <n v="927"/>
    <x v="926"/>
    <x v="0"/>
    <x v="1"/>
    <x v="0"/>
    <n v="900"/>
    <n v="1"/>
    <n v="900"/>
    <n v="900"/>
    <x v="2"/>
    <x v="14"/>
  </r>
  <r>
    <n v="928"/>
    <x v="927"/>
    <x v="0"/>
    <x v="1"/>
    <x v="0"/>
    <n v="900"/>
    <n v="1"/>
    <n v="900"/>
    <n v="900"/>
    <x v="2"/>
    <x v="15"/>
  </r>
  <r>
    <n v="929"/>
    <x v="928"/>
    <x v="0"/>
    <x v="0"/>
    <x v="0"/>
    <n v="1100"/>
    <n v="1"/>
    <n v="1100"/>
    <n v="1100"/>
    <x v="2"/>
    <x v="16"/>
  </r>
  <r>
    <n v="930"/>
    <x v="929"/>
    <x v="0"/>
    <x v="2"/>
    <x v="0"/>
    <n v="900"/>
    <n v="1"/>
    <n v="900"/>
    <n v="900"/>
    <x v="2"/>
    <x v="17"/>
  </r>
  <r>
    <n v="931"/>
    <x v="930"/>
    <x v="0"/>
    <x v="5"/>
    <x v="1"/>
    <n v="600"/>
    <n v="1"/>
    <n v="600"/>
    <n v="600"/>
    <x v="2"/>
    <x v="18"/>
  </r>
  <r>
    <n v="932"/>
    <x v="931"/>
    <x v="0"/>
    <x v="5"/>
    <x v="1"/>
    <n v="600"/>
    <n v="1"/>
    <n v="600"/>
    <n v="600"/>
    <x v="2"/>
    <x v="19"/>
  </r>
  <r>
    <n v="933"/>
    <x v="932"/>
    <x v="0"/>
    <x v="2"/>
    <x v="0"/>
    <n v="900"/>
    <n v="1"/>
    <n v="900"/>
    <n v="900"/>
    <x v="2"/>
    <x v="20"/>
  </r>
  <r>
    <n v="934"/>
    <x v="933"/>
    <x v="0"/>
    <x v="6"/>
    <x v="2"/>
    <n v="850"/>
    <n v="1"/>
    <n v="850"/>
    <n v="850"/>
    <x v="2"/>
    <x v="21"/>
  </r>
  <r>
    <n v="935"/>
    <x v="934"/>
    <x v="0"/>
    <x v="2"/>
    <x v="0"/>
    <n v="900"/>
    <n v="1"/>
    <n v="900"/>
    <n v="900"/>
    <x v="2"/>
    <x v="22"/>
  </r>
  <r>
    <n v="936"/>
    <x v="935"/>
    <x v="0"/>
    <x v="5"/>
    <x v="1"/>
    <n v="600"/>
    <n v="1"/>
    <n v="600"/>
    <n v="600"/>
    <x v="2"/>
    <x v="23"/>
  </r>
  <r>
    <n v="937"/>
    <x v="936"/>
    <x v="0"/>
    <x v="5"/>
    <x v="1"/>
    <n v="600"/>
    <n v="1"/>
    <n v="600"/>
    <n v="600"/>
    <x v="2"/>
    <x v="24"/>
  </r>
  <r>
    <n v="938"/>
    <x v="937"/>
    <x v="0"/>
    <x v="0"/>
    <x v="0"/>
    <n v="1100"/>
    <n v="1"/>
    <n v="1100"/>
    <n v="1100"/>
    <x v="2"/>
    <x v="25"/>
  </r>
  <r>
    <n v="939"/>
    <x v="938"/>
    <x v="0"/>
    <x v="1"/>
    <x v="0"/>
    <n v="900"/>
    <n v="1"/>
    <n v="900"/>
    <n v="900"/>
    <x v="2"/>
    <x v="26"/>
  </r>
  <r>
    <n v="940"/>
    <x v="939"/>
    <x v="0"/>
    <x v="0"/>
    <x v="0"/>
    <n v="1100"/>
    <n v="1"/>
    <n v="1100"/>
    <n v="1100"/>
    <x v="2"/>
    <x v="27"/>
  </r>
  <r>
    <n v="941"/>
    <x v="940"/>
    <x v="0"/>
    <x v="5"/>
    <x v="1"/>
    <n v="600"/>
    <n v="1"/>
    <n v="600"/>
    <n v="600"/>
    <x v="2"/>
    <x v="28"/>
  </r>
  <r>
    <n v="942"/>
    <x v="941"/>
    <x v="0"/>
    <x v="7"/>
    <x v="2"/>
    <n v="1200"/>
    <n v="1"/>
    <n v="1200"/>
    <n v="1200"/>
    <x v="2"/>
    <x v="29"/>
  </r>
  <r>
    <n v="943"/>
    <x v="942"/>
    <x v="0"/>
    <x v="9"/>
    <x v="3"/>
    <n v="600"/>
    <n v="1"/>
    <n v="600"/>
    <n v="600"/>
    <x v="2"/>
    <x v="30"/>
  </r>
  <r>
    <n v="944"/>
    <x v="943"/>
    <x v="0"/>
    <x v="0"/>
    <x v="0"/>
    <n v="1100"/>
    <n v="1"/>
    <n v="1100"/>
    <n v="1100"/>
    <x v="2"/>
    <x v="0"/>
  </r>
  <r>
    <n v="945"/>
    <x v="944"/>
    <x v="0"/>
    <x v="8"/>
    <x v="3"/>
    <n v="500"/>
    <n v="1"/>
    <n v="500"/>
    <n v="500"/>
    <x v="2"/>
    <x v="1"/>
  </r>
  <r>
    <n v="946"/>
    <x v="945"/>
    <x v="0"/>
    <x v="1"/>
    <x v="0"/>
    <n v="900"/>
    <n v="1"/>
    <n v="900"/>
    <n v="900"/>
    <x v="2"/>
    <x v="2"/>
  </r>
  <r>
    <n v="947"/>
    <x v="946"/>
    <x v="0"/>
    <x v="6"/>
    <x v="2"/>
    <n v="850"/>
    <n v="1"/>
    <n v="850"/>
    <n v="850"/>
    <x v="2"/>
    <x v="3"/>
  </r>
  <r>
    <n v="948"/>
    <x v="947"/>
    <x v="0"/>
    <x v="5"/>
    <x v="1"/>
    <n v="600"/>
    <n v="1"/>
    <n v="600"/>
    <n v="600"/>
    <x v="2"/>
    <x v="4"/>
  </r>
  <r>
    <n v="949"/>
    <x v="948"/>
    <x v="0"/>
    <x v="0"/>
    <x v="0"/>
    <n v="1100"/>
    <n v="1"/>
    <n v="1100"/>
    <n v="1100"/>
    <x v="2"/>
    <x v="5"/>
  </r>
  <r>
    <n v="950"/>
    <x v="949"/>
    <x v="0"/>
    <x v="8"/>
    <x v="3"/>
    <n v="500"/>
    <n v="1"/>
    <n v="500"/>
    <n v="500"/>
    <x v="2"/>
    <x v="6"/>
  </r>
  <r>
    <n v="951"/>
    <x v="950"/>
    <x v="0"/>
    <x v="5"/>
    <x v="1"/>
    <n v="600"/>
    <n v="1"/>
    <n v="600"/>
    <n v="600"/>
    <x v="2"/>
    <x v="7"/>
  </r>
  <r>
    <n v="952"/>
    <x v="951"/>
    <x v="0"/>
    <x v="3"/>
    <x v="0"/>
    <n v="1000"/>
    <n v="1"/>
    <n v="1000"/>
    <n v="1000"/>
    <x v="2"/>
    <x v="8"/>
  </r>
  <r>
    <n v="953"/>
    <x v="952"/>
    <x v="0"/>
    <x v="5"/>
    <x v="1"/>
    <n v="600"/>
    <n v="1"/>
    <n v="600"/>
    <n v="600"/>
    <x v="2"/>
    <x v="9"/>
  </r>
  <r>
    <n v="954"/>
    <x v="953"/>
    <x v="0"/>
    <x v="0"/>
    <x v="0"/>
    <n v="1100"/>
    <n v="1"/>
    <n v="1100"/>
    <n v="1100"/>
    <x v="2"/>
    <x v="10"/>
  </r>
  <r>
    <n v="955"/>
    <x v="954"/>
    <x v="0"/>
    <x v="8"/>
    <x v="3"/>
    <n v="500"/>
    <n v="1"/>
    <n v="500"/>
    <n v="500"/>
    <x v="2"/>
    <x v="11"/>
  </r>
  <r>
    <n v="956"/>
    <x v="955"/>
    <x v="0"/>
    <x v="0"/>
    <x v="0"/>
    <n v="1100"/>
    <n v="2"/>
    <n v="2200"/>
    <n v="2200"/>
    <x v="2"/>
    <x v="12"/>
  </r>
  <r>
    <n v="957"/>
    <x v="956"/>
    <x v="0"/>
    <x v="5"/>
    <x v="1"/>
    <n v="600"/>
    <n v="1"/>
    <n v="600"/>
    <n v="600"/>
    <x v="2"/>
    <x v="13"/>
  </r>
  <r>
    <n v="958"/>
    <x v="957"/>
    <x v="0"/>
    <x v="4"/>
    <x v="1"/>
    <n v="800"/>
    <n v="1"/>
    <n v="800"/>
    <n v="800"/>
    <x v="2"/>
    <x v="14"/>
  </r>
  <r>
    <n v="959"/>
    <x v="958"/>
    <x v="0"/>
    <x v="2"/>
    <x v="0"/>
    <n v="900"/>
    <n v="1"/>
    <n v="900"/>
    <n v="900"/>
    <x v="2"/>
    <x v="15"/>
  </r>
  <r>
    <n v="960"/>
    <x v="959"/>
    <x v="0"/>
    <x v="9"/>
    <x v="3"/>
    <n v="600"/>
    <n v="1"/>
    <n v="600"/>
    <n v="600"/>
    <x v="2"/>
    <x v="16"/>
  </r>
  <r>
    <n v="961"/>
    <x v="960"/>
    <x v="0"/>
    <x v="0"/>
    <x v="0"/>
    <n v="1100"/>
    <n v="2"/>
    <n v="2200"/>
    <n v="2200"/>
    <x v="2"/>
    <x v="17"/>
  </r>
  <r>
    <n v="962"/>
    <x v="961"/>
    <x v="0"/>
    <x v="9"/>
    <x v="3"/>
    <n v="600"/>
    <n v="1"/>
    <n v="600"/>
    <n v="600"/>
    <x v="2"/>
    <x v="18"/>
  </r>
  <r>
    <n v="963"/>
    <x v="962"/>
    <x v="0"/>
    <x v="2"/>
    <x v="0"/>
    <n v="900"/>
    <n v="1"/>
    <n v="900"/>
    <n v="900"/>
    <x v="2"/>
    <x v="19"/>
  </r>
  <r>
    <n v="964"/>
    <x v="963"/>
    <x v="0"/>
    <x v="5"/>
    <x v="1"/>
    <n v="600"/>
    <n v="1"/>
    <n v="600"/>
    <n v="600"/>
    <x v="2"/>
    <x v="20"/>
  </r>
  <r>
    <n v="965"/>
    <x v="964"/>
    <x v="0"/>
    <x v="1"/>
    <x v="0"/>
    <n v="900"/>
    <n v="1"/>
    <n v="900"/>
    <n v="900"/>
    <x v="2"/>
    <x v="21"/>
  </r>
  <r>
    <n v="966"/>
    <x v="965"/>
    <x v="0"/>
    <x v="9"/>
    <x v="3"/>
    <n v="600"/>
    <n v="1"/>
    <n v="600"/>
    <n v="600"/>
    <x v="2"/>
    <x v="22"/>
  </r>
  <r>
    <n v="967"/>
    <x v="966"/>
    <x v="0"/>
    <x v="6"/>
    <x v="2"/>
    <n v="850"/>
    <n v="1"/>
    <n v="850"/>
    <n v="850"/>
    <x v="2"/>
    <x v="23"/>
  </r>
  <r>
    <n v="968"/>
    <x v="967"/>
    <x v="0"/>
    <x v="2"/>
    <x v="0"/>
    <n v="900"/>
    <n v="1"/>
    <n v="900"/>
    <n v="900"/>
    <x v="2"/>
    <x v="24"/>
  </r>
  <r>
    <n v="969"/>
    <x v="968"/>
    <x v="0"/>
    <x v="0"/>
    <x v="0"/>
    <n v="1100"/>
    <n v="1"/>
    <n v="1100"/>
    <n v="1100"/>
    <x v="2"/>
    <x v="25"/>
  </r>
  <r>
    <n v="970"/>
    <x v="969"/>
    <x v="0"/>
    <x v="2"/>
    <x v="0"/>
    <n v="900"/>
    <n v="1"/>
    <n v="900"/>
    <n v="900"/>
    <x v="2"/>
    <x v="26"/>
  </r>
  <r>
    <n v="971"/>
    <x v="970"/>
    <x v="0"/>
    <x v="3"/>
    <x v="0"/>
    <n v="1000"/>
    <n v="1"/>
    <n v="1000"/>
    <n v="1000"/>
    <x v="2"/>
    <x v="27"/>
  </r>
  <r>
    <n v="972"/>
    <x v="971"/>
    <x v="0"/>
    <x v="0"/>
    <x v="0"/>
    <n v="1100"/>
    <n v="1"/>
    <n v="1100"/>
    <n v="1100"/>
    <x v="2"/>
    <x v="28"/>
  </r>
  <r>
    <n v="973"/>
    <x v="972"/>
    <x v="0"/>
    <x v="3"/>
    <x v="0"/>
    <n v="1000"/>
    <n v="1"/>
    <n v="1000"/>
    <n v="1000"/>
    <x v="2"/>
    <x v="29"/>
  </r>
  <r>
    <n v="974"/>
    <x v="973"/>
    <x v="0"/>
    <x v="0"/>
    <x v="0"/>
    <n v="1100"/>
    <n v="1"/>
    <n v="1100"/>
    <n v="1100"/>
    <x v="2"/>
    <x v="30"/>
  </r>
  <r>
    <n v="975"/>
    <x v="974"/>
    <x v="0"/>
    <x v="2"/>
    <x v="0"/>
    <n v="900"/>
    <n v="1"/>
    <n v="900"/>
    <n v="900"/>
    <x v="2"/>
    <x v="0"/>
  </r>
  <r>
    <n v="976"/>
    <x v="975"/>
    <x v="0"/>
    <x v="1"/>
    <x v="0"/>
    <n v="900"/>
    <n v="1"/>
    <n v="900"/>
    <n v="900"/>
    <x v="2"/>
    <x v="1"/>
  </r>
  <r>
    <n v="977"/>
    <x v="976"/>
    <x v="0"/>
    <x v="0"/>
    <x v="0"/>
    <n v="1100"/>
    <n v="1"/>
    <n v="1100"/>
    <n v="1100"/>
    <x v="2"/>
    <x v="2"/>
  </r>
  <r>
    <n v="978"/>
    <x v="977"/>
    <x v="0"/>
    <x v="0"/>
    <x v="0"/>
    <n v="1100"/>
    <n v="1"/>
    <n v="1100"/>
    <n v="1100"/>
    <x v="2"/>
    <x v="3"/>
  </r>
  <r>
    <n v="979"/>
    <x v="978"/>
    <x v="0"/>
    <x v="3"/>
    <x v="0"/>
    <n v="1000"/>
    <n v="1"/>
    <n v="1000"/>
    <n v="1000"/>
    <x v="2"/>
    <x v="4"/>
  </r>
  <r>
    <n v="980"/>
    <x v="979"/>
    <x v="0"/>
    <x v="1"/>
    <x v="0"/>
    <n v="900"/>
    <n v="1"/>
    <n v="900"/>
    <n v="900"/>
    <x v="2"/>
    <x v="5"/>
  </r>
  <r>
    <n v="981"/>
    <x v="980"/>
    <x v="0"/>
    <x v="5"/>
    <x v="1"/>
    <n v="600"/>
    <n v="1"/>
    <n v="600"/>
    <n v="600"/>
    <x v="2"/>
    <x v="6"/>
  </r>
  <r>
    <n v="982"/>
    <x v="981"/>
    <x v="0"/>
    <x v="1"/>
    <x v="0"/>
    <n v="900"/>
    <n v="1"/>
    <n v="900"/>
    <n v="900"/>
    <x v="2"/>
    <x v="7"/>
  </r>
  <r>
    <n v="983"/>
    <x v="982"/>
    <x v="0"/>
    <x v="5"/>
    <x v="1"/>
    <n v="600"/>
    <n v="1"/>
    <n v="600"/>
    <n v="600"/>
    <x v="2"/>
    <x v="8"/>
  </r>
  <r>
    <n v="984"/>
    <x v="983"/>
    <x v="0"/>
    <x v="2"/>
    <x v="0"/>
    <n v="900"/>
    <n v="1"/>
    <n v="900"/>
    <n v="900"/>
    <x v="2"/>
    <x v="9"/>
  </r>
  <r>
    <n v="985"/>
    <x v="984"/>
    <x v="0"/>
    <x v="0"/>
    <x v="0"/>
    <n v="1100"/>
    <n v="2"/>
    <n v="2200"/>
    <n v="2200"/>
    <x v="2"/>
    <x v="10"/>
  </r>
  <r>
    <n v="986"/>
    <x v="985"/>
    <x v="0"/>
    <x v="5"/>
    <x v="1"/>
    <n v="600"/>
    <n v="1"/>
    <n v="600"/>
    <n v="600"/>
    <x v="2"/>
    <x v="11"/>
  </r>
  <r>
    <n v="987"/>
    <x v="986"/>
    <x v="0"/>
    <x v="5"/>
    <x v="1"/>
    <n v="600"/>
    <n v="1"/>
    <n v="600"/>
    <n v="600"/>
    <x v="2"/>
    <x v="12"/>
  </r>
  <r>
    <n v="988"/>
    <x v="987"/>
    <x v="0"/>
    <x v="2"/>
    <x v="0"/>
    <n v="900"/>
    <n v="1"/>
    <n v="900"/>
    <n v="900"/>
    <x v="2"/>
    <x v="13"/>
  </r>
  <r>
    <n v="989"/>
    <x v="988"/>
    <x v="0"/>
    <x v="0"/>
    <x v="0"/>
    <n v="1100"/>
    <n v="1"/>
    <n v="1100"/>
    <n v="1100"/>
    <x v="2"/>
    <x v="14"/>
  </r>
  <r>
    <n v="990"/>
    <x v="989"/>
    <x v="0"/>
    <x v="5"/>
    <x v="1"/>
    <n v="600"/>
    <n v="1"/>
    <n v="600"/>
    <n v="600"/>
    <x v="2"/>
    <x v="15"/>
  </r>
  <r>
    <n v="991"/>
    <x v="990"/>
    <x v="0"/>
    <x v="9"/>
    <x v="3"/>
    <n v="600"/>
    <n v="1"/>
    <n v="600"/>
    <n v="600"/>
    <x v="2"/>
    <x v="16"/>
  </r>
  <r>
    <n v="992"/>
    <x v="991"/>
    <x v="0"/>
    <x v="5"/>
    <x v="1"/>
    <n v="600"/>
    <n v="1"/>
    <n v="600"/>
    <n v="600"/>
    <x v="2"/>
    <x v="17"/>
  </r>
  <r>
    <n v="993"/>
    <x v="992"/>
    <x v="0"/>
    <x v="9"/>
    <x v="3"/>
    <n v="600"/>
    <n v="1"/>
    <n v="600"/>
    <n v="600"/>
    <x v="2"/>
    <x v="18"/>
  </r>
  <r>
    <n v="994"/>
    <x v="993"/>
    <x v="0"/>
    <x v="9"/>
    <x v="3"/>
    <n v="600"/>
    <n v="2"/>
    <n v="1200"/>
    <n v="1200"/>
    <x v="2"/>
    <x v="19"/>
  </r>
  <r>
    <n v="995"/>
    <x v="994"/>
    <x v="0"/>
    <x v="5"/>
    <x v="1"/>
    <n v="600"/>
    <n v="1"/>
    <n v="600"/>
    <n v="600"/>
    <x v="2"/>
    <x v="20"/>
  </r>
  <r>
    <n v="996"/>
    <x v="995"/>
    <x v="0"/>
    <x v="0"/>
    <x v="0"/>
    <n v="1100"/>
    <n v="3"/>
    <n v="3300"/>
    <n v="3300"/>
    <x v="2"/>
    <x v="21"/>
  </r>
  <r>
    <n v="997"/>
    <x v="996"/>
    <x v="0"/>
    <x v="0"/>
    <x v="0"/>
    <n v="1100"/>
    <n v="1"/>
    <n v="1100"/>
    <n v="1100"/>
    <x v="2"/>
    <x v="22"/>
  </r>
  <r>
    <n v="998"/>
    <x v="997"/>
    <x v="0"/>
    <x v="6"/>
    <x v="2"/>
    <n v="850"/>
    <n v="1"/>
    <n v="850"/>
    <n v="850"/>
    <x v="2"/>
    <x v="23"/>
  </r>
  <r>
    <n v="999"/>
    <x v="998"/>
    <x v="0"/>
    <x v="7"/>
    <x v="2"/>
    <n v="1200"/>
    <n v="1"/>
    <n v="1200"/>
    <n v="1200"/>
    <x v="2"/>
    <x v="24"/>
  </r>
  <r>
    <n v="1000"/>
    <x v="999"/>
    <x v="0"/>
    <x v="4"/>
    <x v="1"/>
    <n v="800"/>
    <n v="1"/>
    <n v="800"/>
    <n v="800"/>
    <x v="2"/>
    <x v="25"/>
  </r>
  <r>
    <n v="1001"/>
    <x v="1000"/>
    <x v="0"/>
    <x v="2"/>
    <x v="0"/>
    <n v="900"/>
    <n v="1"/>
    <n v="900"/>
    <n v="900"/>
    <x v="2"/>
    <x v="26"/>
  </r>
  <r>
    <n v="1002"/>
    <x v="1001"/>
    <x v="0"/>
    <x v="0"/>
    <x v="0"/>
    <n v="1100"/>
    <n v="1"/>
    <n v="1100"/>
    <n v="1100"/>
    <x v="2"/>
    <x v="27"/>
  </r>
  <r>
    <n v="1003"/>
    <x v="1002"/>
    <x v="0"/>
    <x v="1"/>
    <x v="0"/>
    <n v="900"/>
    <n v="1"/>
    <n v="900"/>
    <n v="900"/>
    <x v="2"/>
    <x v="28"/>
  </r>
  <r>
    <n v="1004"/>
    <x v="1003"/>
    <x v="0"/>
    <x v="0"/>
    <x v="0"/>
    <n v="1100"/>
    <n v="1"/>
    <n v="1100"/>
    <n v="1100"/>
    <x v="2"/>
    <x v="29"/>
  </r>
  <r>
    <n v="1005"/>
    <x v="1004"/>
    <x v="0"/>
    <x v="8"/>
    <x v="3"/>
    <n v="900"/>
    <n v="1"/>
    <n v="900"/>
    <n v="900"/>
    <x v="2"/>
    <x v="0"/>
  </r>
  <r>
    <n v="1006"/>
    <x v="1005"/>
    <x v="0"/>
    <x v="8"/>
    <x v="3"/>
    <n v="500"/>
    <n v="1"/>
    <n v="500"/>
    <n v="500"/>
    <x v="2"/>
    <x v="1"/>
  </r>
  <r>
    <n v="1007"/>
    <x v="1006"/>
    <x v="0"/>
    <x v="3"/>
    <x v="0"/>
    <n v="1000"/>
    <n v="1"/>
    <n v="1000"/>
    <n v="1000"/>
    <x v="2"/>
    <x v="2"/>
  </r>
  <r>
    <n v="1008"/>
    <x v="1007"/>
    <x v="0"/>
    <x v="9"/>
    <x v="3"/>
    <n v="600"/>
    <n v="1"/>
    <n v="600"/>
    <n v="600"/>
    <x v="2"/>
    <x v="3"/>
  </r>
  <r>
    <n v="1009"/>
    <x v="1008"/>
    <x v="0"/>
    <x v="1"/>
    <x v="0"/>
    <n v="900"/>
    <n v="2"/>
    <n v="1800"/>
    <n v="1800"/>
    <x v="2"/>
    <x v="4"/>
  </r>
  <r>
    <n v="1010"/>
    <x v="1009"/>
    <x v="0"/>
    <x v="6"/>
    <x v="2"/>
    <n v="850"/>
    <n v="1"/>
    <n v="850"/>
    <n v="850"/>
    <x v="2"/>
    <x v="5"/>
  </r>
  <r>
    <n v="1011"/>
    <x v="1010"/>
    <x v="0"/>
    <x v="4"/>
    <x v="1"/>
    <n v="800"/>
    <n v="1"/>
    <n v="800"/>
    <n v="800"/>
    <x v="2"/>
    <x v="6"/>
  </r>
  <r>
    <n v="1012"/>
    <x v="1011"/>
    <x v="0"/>
    <x v="1"/>
    <x v="0"/>
    <n v="900"/>
    <n v="1"/>
    <n v="900"/>
    <n v="900"/>
    <x v="2"/>
    <x v="7"/>
  </r>
  <r>
    <n v="1013"/>
    <x v="1012"/>
    <x v="0"/>
    <x v="1"/>
    <x v="0"/>
    <n v="900"/>
    <n v="1"/>
    <n v="900"/>
    <n v="900"/>
    <x v="2"/>
    <x v="8"/>
  </r>
  <r>
    <n v="1014"/>
    <x v="1013"/>
    <x v="0"/>
    <x v="0"/>
    <x v="0"/>
    <n v="1100"/>
    <n v="1"/>
    <n v="1100"/>
    <n v="1100"/>
    <x v="2"/>
    <x v="9"/>
  </r>
  <r>
    <n v="1015"/>
    <x v="1014"/>
    <x v="0"/>
    <x v="2"/>
    <x v="0"/>
    <n v="900"/>
    <n v="1"/>
    <n v="900"/>
    <n v="900"/>
    <x v="2"/>
    <x v="10"/>
  </r>
  <r>
    <n v="1016"/>
    <x v="1015"/>
    <x v="0"/>
    <x v="5"/>
    <x v="1"/>
    <n v="600"/>
    <n v="1"/>
    <n v="600"/>
    <n v="600"/>
    <x v="2"/>
    <x v="11"/>
  </r>
  <r>
    <n v="1017"/>
    <x v="1016"/>
    <x v="0"/>
    <x v="5"/>
    <x v="1"/>
    <n v="600"/>
    <n v="1"/>
    <n v="600"/>
    <n v="600"/>
    <x v="2"/>
    <x v="12"/>
  </r>
  <r>
    <n v="1018"/>
    <x v="1017"/>
    <x v="0"/>
    <x v="2"/>
    <x v="0"/>
    <n v="900"/>
    <n v="1"/>
    <n v="900"/>
    <n v="900"/>
    <x v="2"/>
    <x v="13"/>
  </r>
  <r>
    <n v="1019"/>
    <x v="1018"/>
    <x v="0"/>
    <x v="6"/>
    <x v="2"/>
    <n v="850"/>
    <n v="1"/>
    <n v="850"/>
    <n v="850"/>
    <x v="2"/>
    <x v="14"/>
  </r>
  <r>
    <n v="1020"/>
    <x v="1019"/>
    <x v="0"/>
    <x v="2"/>
    <x v="0"/>
    <n v="900"/>
    <n v="1"/>
    <n v="900"/>
    <n v="900"/>
    <x v="2"/>
    <x v="15"/>
  </r>
  <r>
    <n v="1021"/>
    <x v="1020"/>
    <x v="0"/>
    <x v="5"/>
    <x v="1"/>
    <n v="600"/>
    <n v="1"/>
    <n v="600"/>
    <n v="600"/>
    <x v="2"/>
    <x v="16"/>
  </r>
  <r>
    <n v="1022"/>
    <x v="1021"/>
    <x v="1"/>
    <x v="5"/>
    <x v="1"/>
    <n v="600"/>
    <n v="1"/>
    <n v="600"/>
    <n v="600"/>
    <x v="2"/>
    <x v="17"/>
  </r>
  <r>
    <n v="1023"/>
    <x v="1022"/>
    <x v="1"/>
    <x v="0"/>
    <x v="0"/>
    <n v="1100"/>
    <n v="1"/>
    <n v="1100"/>
    <n v="1100"/>
    <x v="2"/>
    <x v="18"/>
  </r>
  <r>
    <n v="1024"/>
    <x v="1023"/>
    <x v="1"/>
    <x v="1"/>
    <x v="0"/>
    <n v="900"/>
    <n v="1"/>
    <n v="900"/>
    <n v="900"/>
    <x v="2"/>
    <x v="19"/>
  </r>
  <r>
    <n v="1025"/>
    <x v="1024"/>
    <x v="1"/>
    <x v="0"/>
    <x v="0"/>
    <n v="1100"/>
    <n v="1"/>
    <n v="1100"/>
    <n v="1100"/>
    <x v="2"/>
    <x v="20"/>
  </r>
  <r>
    <n v="1026"/>
    <x v="1025"/>
    <x v="1"/>
    <x v="5"/>
    <x v="1"/>
    <n v="600"/>
    <n v="1"/>
    <n v="600"/>
    <n v="600"/>
    <x v="2"/>
    <x v="21"/>
  </r>
  <r>
    <n v="1027"/>
    <x v="1026"/>
    <x v="1"/>
    <x v="7"/>
    <x v="2"/>
    <n v="1200"/>
    <n v="1"/>
    <n v="1200"/>
    <n v="1200"/>
    <x v="2"/>
    <x v="22"/>
  </r>
  <r>
    <n v="1028"/>
    <x v="1027"/>
    <x v="1"/>
    <x v="9"/>
    <x v="3"/>
    <n v="600"/>
    <n v="1"/>
    <n v="600"/>
    <n v="600"/>
    <x v="2"/>
    <x v="23"/>
  </r>
  <r>
    <n v="1029"/>
    <x v="1028"/>
    <x v="1"/>
    <x v="0"/>
    <x v="0"/>
    <n v="1100"/>
    <n v="1"/>
    <n v="1100"/>
    <n v="1100"/>
    <x v="2"/>
    <x v="24"/>
  </r>
  <r>
    <n v="1030"/>
    <x v="1029"/>
    <x v="1"/>
    <x v="8"/>
    <x v="3"/>
    <n v="500"/>
    <n v="1"/>
    <n v="500"/>
    <n v="500"/>
    <x v="2"/>
    <x v="25"/>
  </r>
  <r>
    <n v="1031"/>
    <x v="1030"/>
    <x v="0"/>
    <x v="1"/>
    <x v="0"/>
    <n v="900"/>
    <n v="1"/>
    <n v="900"/>
    <n v="900"/>
    <x v="2"/>
    <x v="26"/>
  </r>
  <r>
    <n v="1032"/>
    <x v="1031"/>
    <x v="0"/>
    <x v="6"/>
    <x v="2"/>
    <n v="850"/>
    <n v="1"/>
    <n v="850"/>
    <n v="850"/>
    <x v="2"/>
    <x v="27"/>
  </r>
  <r>
    <n v="1033"/>
    <x v="1032"/>
    <x v="0"/>
    <x v="5"/>
    <x v="1"/>
    <n v="600"/>
    <n v="1"/>
    <n v="600"/>
    <n v="600"/>
    <x v="2"/>
    <x v="28"/>
  </r>
  <r>
    <n v="1034"/>
    <x v="1033"/>
    <x v="0"/>
    <x v="0"/>
    <x v="0"/>
    <n v="1100"/>
    <n v="1"/>
    <n v="1100"/>
    <n v="1100"/>
    <x v="2"/>
    <x v="29"/>
  </r>
  <r>
    <n v="1035"/>
    <x v="1034"/>
    <x v="0"/>
    <x v="8"/>
    <x v="3"/>
    <n v="500"/>
    <n v="1"/>
    <n v="500"/>
    <n v="500"/>
    <x v="2"/>
    <x v="30"/>
  </r>
  <r>
    <n v="1036"/>
    <x v="1035"/>
    <x v="0"/>
    <x v="5"/>
    <x v="1"/>
    <n v="600"/>
    <n v="1"/>
    <n v="600"/>
    <n v="600"/>
    <x v="2"/>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36">
  <r>
    <n v="1"/>
    <x v="0"/>
    <x v="0"/>
    <x v="0"/>
    <x v="0"/>
    <n v="1100"/>
    <n v="1"/>
    <n v="1100"/>
    <n v="1100"/>
  </r>
  <r>
    <n v="2"/>
    <x v="1"/>
    <x v="0"/>
    <x v="0"/>
    <x v="0"/>
    <n v="1100"/>
    <n v="1"/>
    <n v="1100"/>
    <n v="1100"/>
  </r>
  <r>
    <n v="3"/>
    <x v="2"/>
    <x v="0"/>
    <x v="0"/>
    <x v="0"/>
    <n v="1100"/>
    <n v="1"/>
    <n v="1100"/>
    <n v="1100"/>
  </r>
  <r>
    <n v="4"/>
    <x v="3"/>
    <x v="0"/>
    <x v="0"/>
    <x v="0"/>
    <n v="1100"/>
    <n v="1"/>
    <n v="1100"/>
    <n v="1100"/>
  </r>
  <r>
    <n v="5"/>
    <x v="4"/>
    <x v="0"/>
    <x v="0"/>
    <x v="0"/>
    <n v="1100"/>
    <n v="1"/>
    <n v="1100"/>
    <n v="1100"/>
  </r>
  <r>
    <n v="6"/>
    <x v="5"/>
    <x v="0"/>
    <x v="0"/>
    <x v="0"/>
    <n v="1100"/>
    <n v="1"/>
    <n v="1100"/>
    <n v="1100"/>
  </r>
  <r>
    <n v="7"/>
    <x v="6"/>
    <x v="0"/>
    <x v="0"/>
    <x v="0"/>
    <n v="1100"/>
    <n v="2"/>
    <n v="2200"/>
    <n v="2200"/>
  </r>
  <r>
    <n v="8"/>
    <x v="7"/>
    <x v="0"/>
    <x v="0"/>
    <x v="0"/>
    <n v="1100"/>
    <n v="1"/>
    <n v="1100"/>
    <n v="1100"/>
  </r>
  <r>
    <n v="9"/>
    <x v="8"/>
    <x v="0"/>
    <x v="0"/>
    <x v="0"/>
    <n v="1100"/>
    <n v="1"/>
    <n v="1100"/>
    <n v="1100"/>
  </r>
  <r>
    <n v="10"/>
    <x v="9"/>
    <x v="0"/>
    <x v="1"/>
    <x v="0"/>
    <n v="900"/>
    <n v="1"/>
    <n v="900"/>
    <n v="765"/>
  </r>
  <r>
    <n v="11"/>
    <x v="10"/>
    <x v="1"/>
    <x v="1"/>
    <x v="0"/>
    <n v="900"/>
    <n v="1"/>
    <n v="900"/>
    <n v="765"/>
  </r>
  <r>
    <n v="12"/>
    <x v="11"/>
    <x v="1"/>
    <x v="1"/>
    <x v="0"/>
    <n v="900"/>
    <n v="1"/>
    <n v="900"/>
    <n v="765"/>
  </r>
  <r>
    <n v="13"/>
    <x v="12"/>
    <x v="1"/>
    <x v="1"/>
    <x v="0"/>
    <n v="900"/>
    <n v="2"/>
    <n v="1800"/>
    <n v="1530"/>
  </r>
  <r>
    <n v="14"/>
    <x v="13"/>
    <x v="1"/>
    <x v="1"/>
    <x v="0"/>
    <n v="900"/>
    <n v="1"/>
    <n v="900"/>
    <n v="765"/>
  </r>
  <r>
    <n v="15"/>
    <x v="14"/>
    <x v="1"/>
    <x v="1"/>
    <x v="0"/>
    <n v="900"/>
    <n v="1"/>
    <n v="900"/>
    <n v="765"/>
  </r>
  <r>
    <n v="16"/>
    <x v="15"/>
    <x v="1"/>
    <x v="0"/>
    <x v="0"/>
    <n v="1100"/>
    <n v="1"/>
    <n v="1100"/>
    <n v="1100"/>
  </r>
  <r>
    <n v="17"/>
    <x v="16"/>
    <x v="1"/>
    <x v="1"/>
    <x v="0"/>
    <n v="900"/>
    <n v="1"/>
    <n v="900"/>
    <n v="765"/>
  </r>
  <r>
    <n v="18"/>
    <x v="17"/>
    <x v="1"/>
    <x v="0"/>
    <x v="0"/>
    <n v="1100"/>
    <n v="2"/>
    <n v="2200"/>
    <n v="2200"/>
  </r>
  <r>
    <n v="19"/>
    <x v="18"/>
    <x v="1"/>
    <x v="0"/>
    <x v="0"/>
    <n v="1100"/>
    <n v="1"/>
    <n v="1100"/>
    <n v="1100"/>
  </r>
  <r>
    <n v="20"/>
    <x v="19"/>
    <x v="0"/>
    <x v="1"/>
    <x v="0"/>
    <n v="900"/>
    <n v="1"/>
    <n v="900"/>
    <n v="765"/>
  </r>
  <r>
    <n v="21"/>
    <x v="20"/>
    <x v="0"/>
    <x v="1"/>
    <x v="0"/>
    <n v="900"/>
    <n v="1"/>
    <n v="900"/>
    <n v="765"/>
  </r>
  <r>
    <n v="22"/>
    <x v="21"/>
    <x v="0"/>
    <x v="2"/>
    <x v="0"/>
    <n v="900"/>
    <n v="1"/>
    <n v="900"/>
    <n v="900"/>
  </r>
  <r>
    <n v="23"/>
    <x v="22"/>
    <x v="0"/>
    <x v="0"/>
    <x v="0"/>
    <n v="1100"/>
    <n v="1"/>
    <n v="1100"/>
    <n v="1100"/>
  </r>
  <r>
    <n v="24"/>
    <x v="23"/>
    <x v="0"/>
    <x v="0"/>
    <x v="0"/>
    <n v="1100"/>
    <n v="1"/>
    <n v="1100"/>
    <n v="1100"/>
  </r>
  <r>
    <n v="25"/>
    <x v="24"/>
    <x v="0"/>
    <x v="2"/>
    <x v="0"/>
    <n v="900"/>
    <n v="1"/>
    <n v="900"/>
    <n v="900"/>
  </r>
  <r>
    <n v="26"/>
    <x v="25"/>
    <x v="0"/>
    <x v="1"/>
    <x v="0"/>
    <n v="900"/>
    <n v="1"/>
    <n v="900"/>
    <n v="765"/>
  </r>
  <r>
    <n v="27"/>
    <x v="26"/>
    <x v="0"/>
    <x v="2"/>
    <x v="0"/>
    <n v="900"/>
    <n v="1"/>
    <n v="900"/>
    <n v="900"/>
  </r>
  <r>
    <n v="28"/>
    <x v="27"/>
    <x v="0"/>
    <x v="0"/>
    <x v="0"/>
    <n v="1100"/>
    <n v="1"/>
    <n v="1100"/>
    <n v="1100"/>
  </r>
  <r>
    <n v="29"/>
    <x v="28"/>
    <x v="0"/>
    <x v="0"/>
    <x v="0"/>
    <n v="1100"/>
    <n v="1"/>
    <n v="1100"/>
    <n v="1100"/>
  </r>
  <r>
    <n v="30"/>
    <x v="29"/>
    <x v="0"/>
    <x v="2"/>
    <x v="0"/>
    <n v="900"/>
    <n v="1"/>
    <n v="900"/>
    <n v="900"/>
  </r>
  <r>
    <n v="31"/>
    <x v="30"/>
    <x v="0"/>
    <x v="2"/>
    <x v="0"/>
    <n v="900"/>
    <n v="1"/>
    <n v="900"/>
    <n v="900"/>
  </r>
  <r>
    <n v="32"/>
    <x v="31"/>
    <x v="0"/>
    <x v="2"/>
    <x v="0"/>
    <n v="900"/>
    <n v="1"/>
    <n v="900"/>
    <n v="900"/>
  </r>
  <r>
    <n v="33"/>
    <x v="32"/>
    <x v="0"/>
    <x v="2"/>
    <x v="0"/>
    <n v="900"/>
    <n v="1"/>
    <n v="900"/>
    <n v="900"/>
  </r>
  <r>
    <n v="34"/>
    <x v="33"/>
    <x v="0"/>
    <x v="2"/>
    <x v="0"/>
    <n v="900"/>
    <n v="1"/>
    <n v="900"/>
    <n v="900"/>
  </r>
  <r>
    <n v="35"/>
    <x v="34"/>
    <x v="0"/>
    <x v="1"/>
    <x v="0"/>
    <n v="900"/>
    <n v="1"/>
    <n v="900"/>
    <n v="765"/>
  </r>
  <r>
    <n v="36"/>
    <x v="35"/>
    <x v="0"/>
    <x v="1"/>
    <x v="0"/>
    <n v="900"/>
    <n v="1"/>
    <n v="900"/>
    <n v="765"/>
  </r>
  <r>
    <n v="37"/>
    <x v="36"/>
    <x v="0"/>
    <x v="1"/>
    <x v="0"/>
    <n v="900"/>
    <n v="1"/>
    <n v="900"/>
    <n v="765"/>
  </r>
  <r>
    <n v="38"/>
    <x v="37"/>
    <x v="0"/>
    <x v="0"/>
    <x v="0"/>
    <n v="1100"/>
    <n v="1"/>
    <n v="1100"/>
    <n v="1100"/>
  </r>
  <r>
    <n v="39"/>
    <x v="38"/>
    <x v="0"/>
    <x v="0"/>
    <x v="0"/>
    <n v="1100"/>
    <n v="1"/>
    <n v="1100"/>
    <n v="1100"/>
  </r>
  <r>
    <n v="40"/>
    <x v="39"/>
    <x v="0"/>
    <x v="3"/>
    <x v="0"/>
    <n v="1000"/>
    <n v="1"/>
    <n v="1000"/>
    <n v="1000"/>
  </r>
  <r>
    <n v="41"/>
    <x v="40"/>
    <x v="0"/>
    <x v="3"/>
    <x v="0"/>
    <n v="1000"/>
    <n v="1"/>
    <n v="1000"/>
    <n v="1000"/>
  </r>
  <r>
    <n v="42"/>
    <x v="41"/>
    <x v="0"/>
    <x v="0"/>
    <x v="0"/>
    <n v="1100"/>
    <n v="1"/>
    <n v="1100"/>
    <n v="1100"/>
  </r>
  <r>
    <n v="43"/>
    <x v="42"/>
    <x v="0"/>
    <x v="3"/>
    <x v="0"/>
    <n v="1000"/>
    <n v="1"/>
    <n v="1000"/>
    <n v="1000"/>
  </r>
  <r>
    <n v="44"/>
    <x v="43"/>
    <x v="0"/>
    <x v="1"/>
    <x v="0"/>
    <n v="900"/>
    <n v="1"/>
    <n v="900"/>
    <n v="765"/>
  </r>
  <r>
    <n v="45"/>
    <x v="44"/>
    <x v="0"/>
    <x v="1"/>
    <x v="0"/>
    <n v="900"/>
    <n v="2"/>
    <n v="1800"/>
    <n v="1530"/>
  </r>
  <r>
    <n v="46"/>
    <x v="45"/>
    <x v="0"/>
    <x v="0"/>
    <x v="0"/>
    <n v="1100"/>
    <n v="1"/>
    <n v="1100"/>
    <n v="1100"/>
  </r>
  <r>
    <n v="47"/>
    <x v="46"/>
    <x v="0"/>
    <x v="1"/>
    <x v="0"/>
    <n v="900"/>
    <n v="1"/>
    <n v="900"/>
    <n v="765"/>
  </r>
  <r>
    <n v="48"/>
    <x v="47"/>
    <x v="0"/>
    <x v="0"/>
    <x v="0"/>
    <n v="1100"/>
    <n v="1"/>
    <n v="1100"/>
    <n v="1100"/>
  </r>
  <r>
    <n v="49"/>
    <x v="48"/>
    <x v="0"/>
    <x v="4"/>
    <x v="1"/>
    <n v="800"/>
    <n v="1"/>
    <n v="800"/>
    <n v="800"/>
  </r>
  <r>
    <n v="50"/>
    <x v="49"/>
    <x v="0"/>
    <x v="4"/>
    <x v="1"/>
    <n v="800"/>
    <n v="2"/>
    <n v="1600"/>
    <n v="1600"/>
  </r>
  <r>
    <n v="51"/>
    <x v="50"/>
    <x v="0"/>
    <x v="2"/>
    <x v="0"/>
    <n v="900"/>
    <n v="1"/>
    <n v="900"/>
    <n v="900"/>
  </r>
  <r>
    <n v="52"/>
    <x v="51"/>
    <x v="0"/>
    <x v="0"/>
    <x v="0"/>
    <n v="1100"/>
    <n v="1"/>
    <n v="1100"/>
    <n v="1100"/>
  </r>
  <r>
    <n v="53"/>
    <x v="52"/>
    <x v="0"/>
    <x v="4"/>
    <x v="1"/>
    <n v="800"/>
    <n v="1"/>
    <n v="800"/>
    <n v="800"/>
  </r>
  <r>
    <n v="54"/>
    <x v="53"/>
    <x v="0"/>
    <x v="3"/>
    <x v="0"/>
    <n v="1000"/>
    <n v="1"/>
    <n v="1000"/>
    <n v="1000"/>
  </r>
  <r>
    <n v="55"/>
    <x v="54"/>
    <x v="0"/>
    <x v="4"/>
    <x v="1"/>
    <n v="800"/>
    <n v="1"/>
    <n v="800"/>
    <n v="800"/>
  </r>
  <r>
    <n v="56"/>
    <x v="55"/>
    <x v="0"/>
    <x v="5"/>
    <x v="1"/>
    <n v="600"/>
    <n v="1"/>
    <n v="600"/>
    <n v="600"/>
  </r>
  <r>
    <n v="57"/>
    <x v="56"/>
    <x v="0"/>
    <x v="1"/>
    <x v="0"/>
    <n v="900"/>
    <n v="1"/>
    <n v="900"/>
    <n v="765"/>
  </r>
  <r>
    <n v="58"/>
    <x v="57"/>
    <x v="0"/>
    <x v="0"/>
    <x v="0"/>
    <n v="1100"/>
    <n v="1"/>
    <n v="1100"/>
    <n v="1100"/>
  </r>
  <r>
    <n v="59"/>
    <x v="58"/>
    <x v="0"/>
    <x v="3"/>
    <x v="0"/>
    <n v="1000"/>
    <n v="1"/>
    <n v="1000"/>
    <n v="1000"/>
  </r>
  <r>
    <n v="60"/>
    <x v="59"/>
    <x v="0"/>
    <x v="1"/>
    <x v="0"/>
    <n v="900"/>
    <n v="1"/>
    <n v="900"/>
    <n v="765"/>
  </r>
  <r>
    <n v="61"/>
    <x v="60"/>
    <x v="0"/>
    <x v="0"/>
    <x v="0"/>
    <n v="1100"/>
    <n v="2"/>
    <n v="2200"/>
    <n v="2200"/>
  </r>
  <r>
    <n v="62"/>
    <x v="61"/>
    <x v="0"/>
    <x v="5"/>
    <x v="1"/>
    <n v="600"/>
    <n v="1"/>
    <n v="600"/>
    <n v="600"/>
  </r>
  <r>
    <n v="63"/>
    <x v="62"/>
    <x v="0"/>
    <x v="5"/>
    <x v="1"/>
    <n v="600"/>
    <n v="1"/>
    <n v="600"/>
    <n v="600"/>
  </r>
  <r>
    <n v="64"/>
    <x v="63"/>
    <x v="0"/>
    <x v="5"/>
    <x v="1"/>
    <n v="600"/>
    <n v="1"/>
    <n v="600"/>
    <n v="600"/>
  </r>
  <r>
    <n v="65"/>
    <x v="64"/>
    <x v="0"/>
    <x v="1"/>
    <x v="0"/>
    <n v="900"/>
    <n v="1"/>
    <n v="900"/>
    <n v="765"/>
  </r>
  <r>
    <n v="66"/>
    <x v="65"/>
    <x v="0"/>
    <x v="5"/>
    <x v="1"/>
    <n v="600"/>
    <n v="1"/>
    <n v="600"/>
    <n v="600"/>
  </r>
  <r>
    <n v="67"/>
    <x v="66"/>
    <x v="0"/>
    <x v="5"/>
    <x v="1"/>
    <n v="600"/>
    <n v="1"/>
    <n v="600"/>
    <n v="600"/>
  </r>
  <r>
    <n v="68"/>
    <x v="67"/>
    <x v="0"/>
    <x v="0"/>
    <x v="0"/>
    <n v="1100"/>
    <n v="1"/>
    <n v="1100"/>
    <n v="1100"/>
  </r>
  <r>
    <n v="69"/>
    <x v="68"/>
    <x v="0"/>
    <x v="2"/>
    <x v="0"/>
    <n v="900"/>
    <n v="3"/>
    <n v="2700"/>
    <n v="2700"/>
  </r>
  <r>
    <n v="70"/>
    <x v="69"/>
    <x v="0"/>
    <x v="0"/>
    <x v="0"/>
    <n v="1100"/>
    <n v="2"/>
    <n v="2200"/>
    <n v="2200"/>
  </r>
  <r>
    <n v="71"/>
    <x v="70"/>
    <x v="0"/>
    <x v="0"/>
    <x v="0"/>
    <n v="1100"/>
    <n v="1"/>
    <n v="1100"/>
    <n v="1100"/>
  </r>
  <r>
    <n v="72"/>
    <x v="71"/>
    <x v="0"/>
    <x v="5"/>
    <x v="1"/>
    <n v="600"/>
    <n v="1"/>
    <n v="600"/>
    <n v="600"/>
  </r>
  <r>
    <n v="73"/>
    <x v="72"/>
    <x v="0"/>
    <x v="1"/>
    <x v="0"/>
    <n v="900"/>
    <n v="1"/>
    <n v="900"/>
    <n v="765"/>
  </r>
  <r>
    <n v="74"/>
    <x v="73"/>
    <x v="0"/>
    <x v="5"/>
    <x v="1"/>
    <n v="600"/>
    <n v="1"/>
    <n v="600"/>
    <n v="600"/>
  </r>
  <r>
    <n v="75"/>
    <x v="74"/>
    <x v="0"/>
    <x v="5"/>
    <x v="1"/>
    <n v="600"/>
    <n v="1"/>
    <n v="600"/>
    <n v="600"/>
  </r>
  <r>
    <n v="76"/>
    <x v="75"/>
    <x v="0"/>
    <x v="1"/>
    <x v="0"/>
    <n v="900"/>
    <n v="3"/>
    <n v="2700"/>
    <n v="2295"/>
  </r>
  <r>
    <n v="77"/>
    <x v="76"/>
    <x v="0"/>
    <x v="5"/>
    <x v="1"/>
    <n v="600"/>
    <n v="1"/>
    <n v="600"/>
    <n v="600"/>
  </r>
  <r>
    <n v="78"/>
    <x v="77"/>
    <x v="0"/>
    <x v="4"/>
    <x v="1"/>
    <n v="800"/>
    <n v="1"/>
    <n v="800"/>
    <n v="800"/>
  </r>
  <r>
    <n v="79"/>
    <x v="78"/>
    <x v="0"/>
    <x v="5"/>
    <x v="1"/>
    <n v="600"/>
    <n v="1"/>
    <n v="600"/>
    <n v="600"/>
  </r>
  <r>
    <n v="80"/>
    <x v="79"/>
    <x v="0"/>
    <x v="0"/>
    <x v="0"/>
    <n v="1100"/>
    <n v="1"/>
    <n v="1100"/>
    <n v="1100"/>
  </r>
  <r>
    <n v="81"/>
    <x v="80"/>
    <x v="0"/>
    <x v="2"/>
    <x v="0"/>
    <n v="900"/>
    <n v="1"/>
    <n v="900"/>
    <n v="900"/>
  </r>
  <r>
    <n v="82"/>
    <x v="81"/>
    <x v="0"/>
    <x v="0"/>
    <x v="0"/>
    <n v="1100"/>
    <n v="1"/>
    <n v="1100"/>
    <n v="1100"/>
  </r>
  <r>
    <n v="83"/>
    <x v="82"/>
    <x v="0"/>
    <x v="0"/>
    <x v="0"/>
    <n v="1100"/>
    <n v="1"/>
    <n v="1100"/>
    <n v="1100"/>
  </r>
  <r>
    <n v="84"/>
    <x v="83"/>
    <x v="0"/>
    <x v="0"/>
    <x v="0"/>
    <n v="1100"/>
    <n v="1"/>
    <n v="1100"/>
    <n v="1100"/>
  </r>
  <r>
    <n v="85"/>
    <x v="84"/>
    <x v="0"/>
    <x v="3"/>
    <x v="0"/>
    <n v="1000"/>
    <n v="1"/>
    <n v="1000"/>
    <n v="1000"/>
  </r>
  <r>
    <n v="86"/>
    <x v="85"/>
    <x v="0"/>
    <x v="5"/>
    <x v="1"/>
    <n v="600"/>
    <n v="1"/>
    <n v="600"/>
    <n v="600"/>
  </r>
  <r>
    <n v="87"/>
    <x v="86"/>
    <x v="0"/>
    <x v="4"/>
    <x v="1"/>
    <n v="800"/>
    <n v="1"/>
    <n v="800"/>
    <n v="800"/>
  </r>
  <r>
    <n v="88"/>
    <x v="87"/>
    <x v="0"/>
    <x v="0"/>
    <x v="0"/>
    <n v="1100"/>
    <n v="1"/>
    <n v="1100"/>
    <n v="1100"/>
  </r>
  <r>
    <n v="89"/>
    <x v="88"/>
    <x v="0"/>
    <x v="5"/>
    <x v="1"/>
    <n v="600"/>
    <n v="1"/>
    <n v="600"/>
    <n v="600"/>
  </r>
  <r>
    <n v="90"/>
    <x v="89"/>
    <x v="0"/>
    <x v="6"/>
    <x v="2"/>
    <n v="850"/>
    <n v="1"/>
    <n v="850"/>
    <n v="850"/>
  </r>
  <r>
    <n v="91"/>
    <x v="90"/>
    <x v="0"/>
    <x v="2"/>
    <x v="0"/>
    <n v="900"/>
    <n v="1"/>
    <n v="900"/>
    <n v="900"/>
  </r>
  <r>
    <n v="92"/>
    <x v="91"/>
    <x v="0"/>
    <x v="3"/>
    <x v="0"/>
    <n v="1000"/>
    <n v="1"/>
    <n v="1000"/>
    <n v="1000"/>
  </r>
  <r>
    <n v="93"/>
    <x v="92"/>
    <x v="0"/>
    <x v="6"/>
    <x v="2"/>
    <n v="850"/>
    <n v="1"/>
    <n v="850"/>
    <n v="850"/>
  </r>
  <r>
    <n v="94"/>
    <x v="93"/>
    <x v="0"/>
    <x v="6"/>
    <x v="2"/>
    <n v="850"/>
    <n v="1"/>
    <n v="850"/>
    <n v="850"/>
  </r>
  <r>
    <n v="95"/>
    <x v="94"/>
    <x v="0"/>
    <x v="3"/>
    <x v="0"/>
    <n v="1000"/>
    <n v="1"/>
    <n v="1000"/>
    <n v="1000"/>
  </r>
  <r>
    <n v="96"/>
    <x v="95"/>
    <x v="0"/>
    <x v="4"/>
    <x v="1"/>
    <n v="800"/>
    <n v="1"/>
    <n v="800"/>
    <n v="800"/>
  </r>
  <r>
    <n v="97"/>
    <x v="96"/>
    <x v="0"/>
    <x v="5"/>
    <x v="1"/>
    <n v="600"/>
    <n v="1"/>
    <n v="600"/>
    <n v="600"/>
  </r>
  <r>
    <n v="98"/>
    <x v="97"/>
    <x v="0"/>
    <x v="4"/>
    <x v="1"/>
    <n v="800"/>
    <n v="1"/>
    <n v="800"/>
    <n v="800"/>
  </r>
  <r>
    <n v="99"/>
    <x v="98"/>
    <x v="0"/>
    <x v="0"/>
    <x v="0"/>
    <n v="1100"/>
    <n v="1"/>
    <n v="1100"/>
    <n v="1100"/>
  </r>
  <r>
    <n v="100"/>
    <x v="99"/>
    <x v="0"/>
    <x v="6"/>
    <x v="2"/>
    <n v="850"/>
    <n v="1"/>
    <n v="850"/>
    <n v="850"/>
  </r>
  <r>
    <n v="101"/>
    <x v="100"/>
    <x v="0"/>
    <x v="6"/>
    <x v="2"/>
    <n v="850"/>
    <n v="1"/>
    <n v="850"/>
    <n v="850"/>
  </r>
  <r>
    <n v="102"/>
    <x v="101"/>
    <x v="0"/>
    <x v="6"/>
    <x v="2"/>
    <n v="850"/>
    <n v="1"/>
    <n v="850"/>
    <n v="850"/>
  </r>
  <r>
    <n v="103"/>
    <x v="102"/>
    <x v="0"/>
    <x v="5"/>
    <x v="1"/>
    <n v="600"/>
    <n v="1"/>
    <n v="600"/>
    <n v="600"/>
  </r>
  <r>
    <n v="104"/>
    <x v="103"/>
    <x v="0"/>
    <x v="6"/>
    <x v="2"/>
    <n v="850"/>
    <n v="1"/>
    <n v="850"/>
    <n v="850"/>
  </r>
  <r>
    <n v="105"/>
    <x v="104"/>
    <x v="0"/>
    <x v="6"/>
    <x v="2"/>
    <n v="850"/>
    <n v="1"/>
    <n v="850"/>
    <n v="850"/>
  </r>
  <r>
    <n v="106"/>
    <x v="105"/>
    <x v="0"/>
    <x v="0"/>
    <x v="0"/>
    <n v="1100"/>
    <n v="1"/>
    <n v="1100"/>
    <n v="1100"/>
  </r>
  <r>
    <n v="107"/>
    <x v="106"/>
    <x v="0"/>
    <x v="3"/>
    <x v="0"/>
    <n v="1000"/>
    <n v="1"/>
    <n v="1000"/>
    <n v="1000"/>
  </r>
  <r>
    <n v="108"/>
    <x v="107"/>
    <x v="0"/>
    <x v="0"/>
    <x v="0"/>
    <n v="1100"/>
    <n v="1"/>
    <n v="1100"/>
    <n v="1100"/>
  </r>
  <r>
    <n v="109"/>
    <x v="108"/>
    <x v="0"/>
    <x v="5"/>
    <x v="1"/>
    <n v="600"/>
    <n v="1"/>
    <n v="600"/>
    <n v="600"/>
  </r>
  <r>
    <n v="110"/>
    <x v="109"/>
    <x v="0"/>
    <x v="5"/>
    <x v="1"/>
    <n v="600"/>
    <n v="2"/>
    <n v="1200"/>
    <n v="1200"/>
  </r>
  <r>
    <n v="111"/>
    <x v="110"/>
    <x v="0"/>
    <x v="5"/>
    <x v="1"/>
    <n v="600"/>
    <n v="1"/>
    <n v="600"/>
    <n v="600"/>
  </r>
  <r>
    <n v="112"/>
    <x v="111"/>
    <x v="0"/>
    <x v="5"/>
    <x v="1"/>
    <n v="600"/>
    <n v="1"/>
    <n v="600"/>
    <n v="600"/>
  </r>
  <r>
    <n v="113"/>
    <x v="112"/>
    <x v="0"/>
    <x v="0"/>
    <x v="0"/>
    <n v="1100"/>
    <n v="1"/>
    <n v="1100"/>
    <n v="1100"/>
  </r>
  <r>
    <n v="114"/>
    <x v="113"/>
    <x v="0"/>
    <x v="2"/>
    <x v="0"/>
    <n v="900"/>
    <n v="1"/>
    <n v="900"/>
    <n v="900"/>
  </r>
  <r>
    <n v="115"/>
    <x v="114"/>
    <x v="0"/>
    <x v="5"/>
    <x v="1"/>
    <n v="600"/>
    <n v="1"/>
    <n v="600"/>
    <n v="600"/>
  </r>
  <r>
    <n v="116"/>
    <x v="115"/>
    <x v="0"/>
    <x v="2"/>
    <x v="0"/>
    <n v="900"/>
    <n v="1"/>
    <n v="900"/>
    <n v="900"/>
  </r>
  <r>
    <n v="117"/>
    <x v="116"/>
    <x v="0"/>
    <x v="1"/>
    <x v="0"/>
    <n v="900"/>
    <n v="1"/>
    <n v="900"/>
    <n v="765"/>
  </r>
  <r>
    <n v="118"/>
    <x v="117"/>
    <x v="0"/>
    <x v="5"/>
    <x v="1"/>
    <n v="600"/>
    <n v="1"/>
    <n v="600"/>
    <n v="600"/>
  </r>
  <r>
    <n v="119"/>
    <x v="118"/>
    <x v="0"/>
    <x v="5"/>
    <x v="1"/>
    <n v="600"/>
    <n v="1"/>
    <n v="600"/>
    <n v="600"/>
  </r>
  <r>
    <n v="120"/>
    <x v="119"/>
    <x v="0"/>
    <x v="5"/>
    <x v="1"/>
    <n v="600"/>
    <n v="1"/>
    <n v="600"/>
    <n v="600"/>
  </r>
  <r>
    <n v="121"/>
    <x v="120"/>
    <x v="0"/>
    <x v="0"/>
    <x v="0"/>
    <n v="1100"/>
    <n v="1"/>
    <n v="1100"/>
    <n v="1100"/>
  </r>
  <r>
    <n v="122"/>
    <x v="121"/>
    <x v="0"/>
    <x v="5"/>
    <x v="1"/>
    <n v="600"/>
    <n v="1"/>
    <n v="600"/>
    <n v="600"/>
  </r>
  <r>
    <n v="123"/>
    <x v="122"/>
    <x v="0"/>
    <x v="5"/>
    <x v="1"/>
    <n v="600"/>
    <n v="1"/>
    <n v="600"/>
    <n v="600"/>
  </r>
  <r>
    <n v="124"/>
    <x v="123"/>
    <x v="0"/>
    <x v="5"/>
    <x v="1"/>
    <n v="600"/>
    <n v="1"/>
    <n v="600"/>
    <n v="600"/>
  </r>
  <r>
    <n v="125"/>
    <x v="124"/>
    <x v="0"/>
    <x v="1"/>
    <x v="0"/>
    <n v="900"/>
    <n v="1"/>
    <n v="900"/>
    <n v="765"/>
  </r>
  <r>
    <n v="126"/>
    <x v="125"/>
    <x v="0"/>
    <x v="5"/>
    <x v="1"/>
    <n v="600"/>
    <n v="1"/>
    <n v="600"/>
    <n v="600"/>
  </r>
  <r>
    <n v="127"/>
    <x v="126"/>
    <x v="0"/>
    <x v="2"/>
    <x v="0"/>
    <n v="900"/>
    <n v="1"/>
    <n v="900"/>
    <n v="900"/>
  </r>
  <r>
    <n v="128"/>
    <x v="127"/>
    <x v="0"/>
    <x v="7"/>
    <x v="2"/>
    <n v="1200"/>
    <n v="1"/>
    <n v="1200"/>
    <n v="1200"/>
  </r>
  <r>
    <n v="129"/>
    <x v="128"/>
    <x v="0"/>
    <x v="0"/>
    <x v="0"/>
    <n v="1100"/>
    <n v="1"/>
    <n v="1100"/>
    <n v="1100"/>
  </r>
  <r>
    <n v="130"/>
    <x v="129"/>
    <x v="0"/>
    <x v="0"/>
    <x v="0"/>
    <n v="1100"/>
    <n v="1"/>
    <n v="1100"/>
    <n v="1100"/>
  </r>
  <r>
    <n v="131"/>
    <x v="130"/>
    <x v="0"/>
    <x v="5"/>
    <x v="1"/>
    <n v="600"/>
    <n v="1"/>
    <n v="600"/>
    <n v="600"/>
  </r>
  <r>
    <n v="132"/>
    <x v="131"/>
    <x v="0"/>
    <x v="5"/>
    <x v="1"/>
    <n v="600"/>
    <n v="2"/>
    <n v="1200"/>
    <n v="1200"/>
  </r>
  <r>
    <n v="133"/>
    <x v="132"/>
    <x v="0"/>
    <x v="7"/>
    <x v="2"/>
    <n v="1200"/>
    <n v="1"/>
    <n v="1200"/>
    <n v="1200"/>
  </r>
  <r>
    <n v="134"/>
    <x v="133"/>
    <x v="0"/>
    <x v="7"/>
    <x v="2"/>
    <n v="1200"/>
    <n v="1"/>
    <n v="1200"/>
    <n v="1200"/>
  </r>
  <r>
    <n v="135"/>
    <x v="134"/>
    <x v="0"/>
    <x v="3"/>
    <x v="0"/>
    <n v="1000"/>
    <n v="1"/>
    <n v="1000"/>
    <n v="1000"/>
  </r>
  <r>
    <n v="136"/>
    <x v="135"/>
    <x v="0"/>
    <x v="4"/>
    <x v="1"/>
    <n v="800"/>
    <n v="2"/>
    <n v="1600"/>
    <n v="1600"/>
  </r>
  <r>
    <n v="137"/>
    <x v="136"/>
    <x v="0"/>
    <x v="7"/>
    <x v="2"/>
    <n v="1200"/>
    <n v="1"/>
    <n v="1200"/>
    <n v="1200"/>
  </r>
  <r>
    <n v="138"/>
    <x v="137"/>
    <x v="0"/>
    <x v="2"/>
    <x v="0"/>
    <n v="900"/>
    <n v="1"/>
    <n v="900"/>
    <n v="900"/>
  </r>
  <r>
    <n v="139"/>
    <x v="138"/>
    <x v="0"/>
    <x v="3"/>
    <x v="0"/>
    <n v="1000"/>
    <n v="1"/>
    <n v="1000"/>
    <n v="1000"/>
  </r>
  <r>
    <n v="140"/>
    <x v="139"/>
    <x v="0"/>
    <x v="4"/>
    <x v="1"/>
    <n v="800"/>
    <n v="1"/>
    <n v="800"/>
    <n v="800"/>
  </r>
  <r>
    <n v="141"/>
    <x v="140"/>
    <x v="0"/>
    <x v="7"/>
    <x v="2"/>
    <n v="1200"/>
    <n v="1"/>
    <n v="1200"/>
    <n v="1200"/>
  </r>
  <r>
    <n v="142"/>
    <x v="141"/>
    <x v="0"/>
    <x v="7"/>
    <x v="2"/>
    <n v="1200"/>
    <n v="1"/>
    <n v="1200"/>
    <n v="1200"/>
  </r>
  <r>
    <n v="143"/>
    <x v="142"/>
    <x v="0"/>
    <x v="4"/>
    <x v="1"/>
    <n v="800"/>
    <n v="2"/>
    <n v="1600"/>
    <n v="1600"/>
  </r>
  <r>
    <n v="144"/>
    <x v="143"/>
    <x v="0"/>
    <x v="1"/>
    <x v="0"/>
    <n v="900"/>
    <n v="1"/>
    <n v="900"/>
    <n v="765"/>
  </r>
  <r>
    <n v="145"/>
    <x v="144"/>
    <x v="0"/>
    <x v="3"/>
    <x v="0"/>
    <n v="1000"/>
    <n v="1"/>
    <n v="1000"/>
    <n v="1000"/>
  </r>
  <r>
    <n v="146"/>
    <x v="145"/>
    <x v="0"/>
    <x v="3"/>
    <x v="0"/>
    <n v="1000"/>
    <n v="1"/>
    <n v="1000"/>
    <n v="1000"/>
  </r>
  <r>
    <n v="147"/>
    <x v="146"/>
    <x v="0"/>
    <x v="5"/>
    <x v="1"/>
    <n v="600"/>
    <n v="1"/>
    <n v="600"/>
    <n v="600"/>
  </r>
  <r>
    <n v="148"/>
    <x v="147"/>
    <x v="0"/>
    <x v="6"/>
    <x v="2"/>
    <n v="850"/>
    <n v="1"/>
    <n v="850"/>
    <n v="850"/>
  </r>
  <r>
    <n v="149"/>
    <x v="148"/>
    <x v="0"/>
    <x v="5"/>
    <x v="1"/>
    <n v="600"/>
    <n v="1"/>
    <n v="600"/>
    <n v="600"/>
  </r>
  <r>
    <n v="150"/>
    <x v="149"/>
    <x v="0"/>
    <x v="6"/>
    <x v="2"/>
    <n v="850"/>
    <n v="1"/>
    <n v="850"/>
    <n v="850"/>
  </r>
  <r>
    <n v="151"/>
    <x v="150"/>
    <x v="0"/>
    <x v="6"/>
    <x v="2"/>
    <n v="850"/>
    <n v="1"/>
    <n v="850"/>
    <n v="850"/>
  </r>
  <r>
    <n v="152"/>
    <x v="151"/>
    <x v="0"/>
    <x v="1"/>
    <x v="0"/>
    <n v="900"/>
    <n v="1"/>
    <n v="900"/>
    <n v="765"/>
  </r>
  <r>
    <n v="153"/>
    <x v="152"/>
    <x v="0"/>
    <x v="7"/>
    <x v="2"/>
    <n v="1200"/>
    <n v="2"/>
    <n v="2400"/>
    <n v="2400"/>
  </r>
  <r>
    <n v="154"/>
    <x v="153"/>
    <x v="0"/>
    <x v="4"/>
    <x v="1"/>
    <n v="800"/>
    <n v="1"/>
    <n v="800"/>
    <n v="800"/>
  </r>
  <r>
    <n v="155"/>
    <x v="154"/>
    <x v="0"/>
    <x v="4"/>
    <x v="1"/>
    <n v="800"/>
    <n v="1"/>
    <n v="800"/>
    <n v="800"/>
  </r>
  <r>
    <n v="156"/>
    <x v="155"/>
    <x v="0"/>
    <x v="2"/>
    <x v="0"/>
    <n v="900"/>
    <n v="1"/>
    <n v="900"/>
    <n v="900"/>
  </r>
  <r>
    <n v="157"/>
    <x v="156"/>
    <x v="0"/>
    <x v="4"/>
    <x v="1"/>
    <n v="800"/>
    <n v="1"/>
    <n v="800"/>
    <n v="800"/>
  </r>
  <r>
    <n v="158"/>
    <x v="157"/>
    <x v="0"/>
    <x v="5"/>
    <x v="1"/>
    <n v="600"/>
    <n v="1"/>
    <n v="600"/>
    <n v="600"/>
  </r>
  <r>
    <n v="159"/>
    <x v="158"/>
    <x v="0"/>
    <x v="1"/>
    <x v="0"/>
    <n v="900"/>
    <n v="3"/>
    <n v="2700"/>
    <n v="2295"/>
  </r>
  <r>
    <n v="160"/>
    <x v="159"/>
    <x v="0"/>
    <x v="5"/>
    <x v="1"/>
    <n v="600"/>
    <n v="1"/>
    <n v="600"/>
    <n v="600"/>
  </r>
  <r>
    <n v="161"/>
    <x v="160"/>
    <x v="0"/>
    <x v="4"/>
    <x v="1"/>
    <n v="800"/>
    <n v="1"/>
    <n v="800"/>
    <n v="800"/>
  </r>
  <r>
    <n v="162"/>
    <x v="161"/>
    <x v="0"/>
    <x v="5"/>
    <x v="1"/>
    <n v="600"/>
    <n v="1"/>
    <n v="600"/>
    <n v="600"/>
  </r>
  <r>
    <n v="163"/>
    <x v="162"/>
    <x v="0"/>
    <x v="0"/>
    <x v="0"/>
    <n v="1100"/>
    <n v="1"/>
    <n v="1100"/>
    <n v="1100"/>
  </r>
  <r>
    <n v="164"/>
    <x v="163"/>
    <x v="0"/>
    <x v="2"/>
    <x v="0"/>
    <n v="900"/>
    <n v="1"/>
    <n v="900"/>
    <n v="900"/>
  </r>
  <r>
    <n v="165"/>
    <x v="164"/>
    <x v="0"/>
    <x v="0"/>
    <x v="0"/>
    <n v="1100"/>
    <n v="1"/>
    <n v="1100"/>
    <n v="1100"/>
  </r>
  <r>
    <n v="166"/>
    <x v="165"/>
    <x v="0"/>
    <x v="0"/>
    <x v="0"/>
    <n v="1100"/>
    <n v="1"/>
    <n v="1100"/>
    <n v="1100"/>
  </r>
  <r>
    <n v="167"/>
    <x v="166"/>
    <x v="0"/>
    <x v="7"/>
    <x v="2"/>
    <n v="1200"/>
    <n v="1"/>
    <n v="1200"/>
    <n v="1200"/>
  </r>
  <r>
    <n v="168"/>
    <x v="167"/>
    <x v="0"/>
    <x v="7"/>
    <x v="2"/>
    <n v="1200"/>
    <n v="1"/>
    <n v="1200"/>
    <n v="1200"/>
  </r>
  <r>
    <n v="169"/>
    <x v="168"/>
    <x v="0"/>
    <x v="0"/>
    <x v="0"/>
    <n v="1100"/>
    <n v="1"/>
    <n v="1100"/>
    <n v="1100"/>
  </r>
  <r>
    <n v="170"/>
    <x v="169"/>
    <x v="0"/>
    <x v="0"/>
    <x v="0"/>
    <n v="1100"/>
    <n v="1"/>
    <n v="1100"/>
    <n v="1100"/>
  </r>
  <r>
    <n v="171"/>
    <x v="170"/>
    <x v="0"/>
    <x v="8"/>
    <x v="3"/>
    <n v="900"/>
    <n v="1"/>
    <n v="900"/>
    <n v="900"/>
  </r>
  <r>
    <n v="172"/>
    <x v="171"/>
    <x v="0"/>
    <x v="2"/>
    <x v="0"/>
    <n v="900"/>
    <n v="1"/>
    <n v="900"/>
    <n v="900"/>
  </r>
  <r>
    <n v="173"/>
    <x v="172"/>
    <x v="0"/>
    <x v="8"/>
    <x v="3"/>
    <n v="800"/>
    <n v="1"/>
    <n v="800"/>
    <n v="800"/>
  </r>
  <r>
    <n v="174"/>
    <x v="173"/>
    <x v="0"/>
    <x v="5"/>
    <x v="1"/>
    <n v="600"/>
    <n v="1"/>
    <n v="600"/>
    <n v="600"/>
  </r>
  <r>
    <n v="175"/>
    <x v="174"/>
    <x v="0"/>
    <x v="8"/>
    <x v="3"/>
    <n v="800"/>
    <n v="1"/>
    <n v="800"/>
    <n v="800"/>
  </r>
  <r>
    <n v="176"/>
    <x v="175"/>
    <x v="0"/>
    <x v="2"/>
    <x v="0"/>
    <n v="900"/>
    <n v="1"/>
    <n v="900"/>
    <n v="900"/>
  </r>
  <r>
    <n v="177"/>
    <x v="176"/>
    <x v="0"/>
    <x v="7"/>
    <x v="2"/>
    <n v="1200"/>
    <n v="1"/>
    <n v="1200"/>
    <n v="1200"/>
  </r>
  <r>
    <n v="178"/>
    <x v="177"/>
    <x v="0"/>
    <x v="8"/>
    <x v="3"/>
    <n v="800"/>
    <n v="1"/>
    <n v="800"/>
    <n v="800"/>
  </r>
  <r>
    <n v="179"/>
    <x v="178"/>
    <x v="0"/>
    <x v="1"/>
    <x v="0"/>
    <n v="900"/>
    <n v="1"/>
    <n v="900"/>
    <n v="765"/>
  </r>
  <r>
    <n v="180"/>
    <x v="179"/>
    <x v="0"/>
    <x v="7"/>
    <x v="2"/>
    <n v="1200"/>
    <n v="1"/>
    <n v="1200"/>
    <n v="1200"/>
  </r>
  <r>
    <n v="181"/>
    <x v="180"/>
    <x v="0"/>
    <x v="0"/>
    <x v="0"/>
    <n v="1100"/>
    <n v="1"/>
    <n v="1100"/>
    <n v="1100"/>
  </r>
  <r>
    <n v="182"/>
    <x v="181"/>
    <x v="0"/>
    <x v="7"/>
    <x v="2"/>
    <n v="1200"/>
    <n v="1"/>
    <n v="1200"/>
    <n v="1200"/>
  </r>
  <r>
    <n v="183"/>
    <x v="182"/>
    <x v="0"/>
    <x v="2"/>
    <x v="0"/>
    <n v="900"/>
    <n v="1"/>
    <n v="900"/>
    <n v="900"/>
  </r>
  <r>
    <n v="184"/>
    <x v="183"/>
    <x v="0"/>
    <x v="0"/>
    <x v="0"/>
    <n v="1100"/>
    <n v="2"/>
    <n v="2200"/>
    <n v="2200"/>
  </r>
  <r>
    <n v="185"/>
    <x v="184"/>
    <x v="0"/>
    <x v="7"/>
    <x v="2"/>
    <n v="1200"/>
    <n v="1"/>
    <n v="1200"/>
    <n v="1200"/>
  </r>
  <r>
    <n v="186"/>
    <x v="185"/>
    <x v="0"/>
    <x v="0"/>
    <x v="0"/>
    <n v="1100"/>
    <n v="1"/>
    <n v="1100"/>
    <n v="1100"/>
  </r>
  <r>
    <n v="187"/>
    <x v="186"/>
    <x v="0"/>
    <x v="1"/>
    <x v="0"/>
    <n v="900"/>
    <n v="1"/>
    <n v="900"/>
    <n v="765"/>
  </r>
  <r>
    <n v="188"/>
    <x v="187"/>
    <x v="0"/>
    <x v="5"/>
    <x v="1"/>
    <n v="600"/>
    <n v="1"/>
    <n v="600"/>
    <n v="600"/>
  </r>
  <r>
    <n v="189"/>
    <x v="188"/>
    <x v="0"/>
    <x v="8"/>
    <x v="3"/>
    <n v="900"/>
    <n v="1"/>
    <n v="900"/>
    <n v="900"/>
  </r>
  <r>
    <n v="190"/>
    <x v="189"/>
    <x v="0"/>
    <x v="4"/>
    <x v="1"/>
    <n v="800"/>
    <n v="1"/>
    <n v="800"/>
    <n v="800"/>
  </r>
  <r>
    <n v="191"/>
    <x v="190"/>
    <x v="0"/>
    <x v="0"/>
    <x v="0"/>
    <n v="1100"/>
    <n v="1"/>
    <n v="1100"/>
    <n v="1100"/>
  </r>
  <r>
    <n v="192"/>
    <x v="191"/>
    <x v="0"/>
    <x v="2"/>
    <x v="0"/>
    <n v="900"/>
    <n v="1"/>
    <n v="900"/>
    <n v="900"/>
  </r>
  <r>
    <n v="193"/>
    <x v="192"/>
    <x v="0"/>
    <x v="3"/>
    <x v="0"/>
    <n v="1000"/>
    <n v="1"/>
    <n v="1000"/>
    <n v="1000"/>
  </r>
  <r>
    <n v="194"/>
    <x v="193"/>
    <x v="0"/>
    <x v="6"/>
    <x v="2"/>
    <n v="850"/>
    <n v="1"/>
    <n v="850"/>
    <n v="850"/>
  </r>
  <r>
    <n v="195"/>
    <x v="194"/>
    <x v="0"/>
    <x v="5"/>
    <x v="1"/>
    <n v="600"/>
    <n v="1"/>
    <n v="600"/>
    <n v="600"/>
  </r>
  <r>
    <n v="196"/>
    <x v="195"/>
    <x v="0"/>
    <x v="2"/>
    <x v="0"/>
    <n v="900"/>
    <n v="1"/>
    <n v="900"/>
    <n v="900"/>
  </r>
  <r>
    <n v="197"/>
    <x v="196"/>
    <x v="0"/>
    <x v="3"/>
    <x v="0"/>
    <n v="1000"/>
    <n v="1"/>
    <n v="1000"/>
    <n v="1000"/>
  </r>
  <r>
    <n v="198"/>
    <x v="197"/>
    <x v="0"/>
    <x v="2"/>
    <x v="0"/>
    <n v="900"/>
    <n v="1"/>
    <n v="900"/>
    <n v="900"/>
  </r>
  <r>
    <n v="199"/>
    <x v="198"/>
    <x v="0"/>
    <x v="1"/>
    <x v="0"/>
    <n v="900"/>
    <n v="1"/>
    <n v="900"/>
    <n v="765"/>
  </r>
  <r>
    <n v="200"/>
    <x v="199"/>
    <x v="0"/>
    <x v="5"/>
    <x v="1"/>
    <n v="600"/>
    <n v="1"/>
    <n v="600"/>
    <n v="600"/>
  </r>
  <r>
    <n v="201"/>
    <x v="200"/>
    <x v="0"/>
    <x v="8"/>
    <x v="3"/>
    <n v="900"/>
    <n v="1"/>
    <n v="900"/>
    <n v="900"/>
  </r>
  <r>
    <n v="202"/>
    <x v="201"/>
    <x v="0"/>
    <x v="8"/>
    <x v="3"/>
    <n v="800"/>
    <n v="1"/>
    <n v="800"/>
    <n v="800"/>
  </r>
  <r>
    <n v="203"/>
    <x v="202"/>
    <x v="0"/>
    <x v="4"/>
    <x v="1"/>
    <n v="800"/>
    <n v="1"/>
    <n v="800"/>
    <n v="800"/>
  </r>
  <r>
    <n v="204"/>
    <x v="203"/>
    <x v="0"/>
    <x v="5"/>
    <x v="1"/>
    <n v="600"/>
    <n v="1"/>
    <n v="600"/>
    <n v="600"/>
  </r>
  <r>
    <n v="205"/>
    <x v="204"/>
    <x v="0"/>
    <x v="8"/>
    <x v="3"/>
    <n v="500"/>
    <n v="1"/>
    <n v="500"/>
    <n v="500"/>
  </r>
  <r>
    <n v="206"/>
    <x v="205"/>
    <x v="0"/>
    <x v="2"/>
    <x v="0"/>
    <n v="900"/>
    <n v="1"/>
    <n v="900"/>
    <n v="900"/>
  </r>
  <r>
    <n v="207"/>
    <x v="206"/>
    <x v="0"/>
    <x v="0"/>
    <x v="0"/>
    <n v="1100"/>
    <n v="1"/>
    <n v="1100"/>
    <n v="1100"/>
  </r>
  <r>
    <n v="208"/>
    <x v="207"/>
    <x v="0"/>
    <x v="8"/>
    <x v="3"/>
    <n v="500"/>
    <n v="1"/>
    <n v="500"/>
    <n v="500"/>
  </r>
  <r>
    <n v="209"/>
    <x v="208"/>
    <x v="0"/>
    <x v="5"/>
    <x v="1"/>
    <n v="600"/>
    <n v="1"/>
    <n v="600"/>
    <n v="600"/>
  </r>
  <r>
    <n v="210"/>
    <x v="209"/>
    <x v="0"/>
    <x v="2"/>
    <x v="0"/>
    <n v="900"/>
    <n v="1"/>
    <n v="900"/>
    <n v="900"/>
  </r>
  <r>
    <n v="211"/>
    <x v="210"/>
    <x v="0"/>
    <x v="8"/>
    <x v="3"/>
    <n v="500"/>
    <n v="1"/>
    <n v="500"/>
    <n v="500"/>
  </r>
  <r>
    <n v="212"/>
    <x v="211"/>
    <x v="0"/>
    <x v="8"/>
    <x v="3"/>
    <n v="500"/>
    <n v="1"/>
    <n v="500"/>
    <n v="500"/>
  </r>
  <r>
    <n v="213"/>
    <x v="212"/>
    <x v="0"/>
    <x v="5"/>
    <x v="1"/>
    <n v="600"/>
    <n v="1"/>
    <n v="600"/>
    <n v="600"/>
  </r>
  <r>
    <n v="214"/>
    <x v="213"/>
    <x v="0"/>
    <x v="5"/>
    <x v="1"/>
    <n v="600"/>
    <n v="1"/>
    <n v="600"/>
    <n v="600"/>
  </r>
  <r>
    <n v="215"/>
    <x v="214"/>
    <x v="0"/>
    <x v="4"/>
    <x v="1"/>
    <n v="800"/>
    <n v="1"/>
    <n v="800"/>
    <n v="800"/>
  </r>
  <r>
    <n v="216"/>
    <x v="215"/>
    <x v="0"/>
    <x v="6"/>
    <x v="2"/>
    <n v="850"/>
    <n v="1"/>
    <n v="850"/>
    <n v="850"/>
  </r>
  <r>
    <n v="217"/>
    <x v="216"/>
    <x v="0"/>
    <x v="8"/>
    <x v="3"/>
    <n v="500"/>
    <n v="1"/>
    <n v="500"/>
    <n v="500"/>
  </r>
  <r>
    <n v="218"/>
    <x v="217"/>
    <x v="0"/>
    <x v="8"/>
    <x v="3"/>
    <n v="500"/>
    <n v="1"/>
    <n v="500"/>
    <n v="500"/>
  </r>
  <r>
    <n v="219"/>
    <x v="218"/>
    <x v="0"/>
    <x v="0"/>
    <x v="0"/>
    <n v="1100"/>
    <n v="1"/>
    <n v="1100"/>
    <n v="1100"/>
  </r>
  <r>
    <n v="220"/>
    <x v="219"/>
    <x v="0"/>
    <x v="8"/>
    <x v="3"/>
    <n v="500"/>
    <n v="1"/>
    <n v="500"/>
    <n v="500"/>
  </r>
  <r>
    <n v="221"/>
    <x v="220"/>
    <x v="0"/>
    <x v="3"/>
    <x v="0"/>
    <n v="1000"/>
    <n v="1"/>
    <n v="1000"/>
    <n v="1000"/>
  </r>
  <r>
    <n v="222"/>
    <x v="221"/>
    <x v="0"/>
    <x v="4"/>
    <x v="1"/>
    <n v="800"/>
    <n v="1"/>
    <n v="800"/>
    <n v="800"/>
  </r>
  <r>
    <n v="223"/>
    <x v="222"/>
    <x v="0"/>
    <x v="9"/>
    <x v="3"/>
    <n v="600"/>
    <n v="1"/>
    <n v="600"/>
    <n v="600"/>
  </r>
  <r>
    <n v="224"/>
    <x v="223"/>
    <x v="0"/>
    <x v="9"/>
    <x v="3"/>
    <n v="600"/>
    <n v="1"/>
    <n v="600"/>
    <n v="600"/>
  </r>
  <r>
    <n v="225"/>
    <x v="224"/>
    <x v="0"/>
    <x v="6"/>
    <x v="2"/>
    <n v="850"/>
    <n v="1"/>
    <n v="850"/>
    <n v="850"/>
  </r>
  <r>
    <n v="226"/>
    <x v="225"/>
    <x v="0"/>
    <x v="9"/>
    <x v="3"/>
    <n v="600"/>
    <n v="1"/>
    <n v="600"/>
    <n v="600"/>
  </r>
  <r>
    <n v="227"/>
    <x v="226"/>
    <x v="0"/>
    <x v="5"/>
    <x v="1"/>
    <n v="600"/>
    <n v="1"/>
    <n v="600"/>
    <n v="600"/>
  </r>
  <r>
    <n v="228"/>
    <x v="227"/>
    <x v="0"/>
    <x v="9"/>
    <x v="3"/>
    <n v="600"/>
    <n v="1"/>
    <n v="600"/>
    <n v="600"/>
  </r>
  <r>
    <n v="229"/>
    <x v="228"/>
    <x v="0"/>
    <x v="0"/>
    <x v="0"/>
    <n v="1100"/>
    <n v="1"/>
    <n v="1100"/>
    <n v="1100"/>
  </r>
  <r>
    <n v="230"/>
    <x v="229"/>
    <x v="0"/>
    <x v="5"/>
    <x v="1"/>
    <n v="600"/>
    <n v="1"/>
    <n v="600"/>
    <n v="600"/>
  </r>
  <r>
    <n v="231"/>
    <x v="230"/>
    <x v="0"/>
    <x v="0"/>
    <x v="0"/>
    <n v="1100"/>
    <n v="1"/>
    <n v="1100"/>
    <n v="1100"/>
  </r>
  <r>
    <n v="232"/>
    <x v="231"/>
    <x v="0"/>
    <x v="0"/>
    <x v="0"/>
    <n v="1100"/>
    <n v="1"/>
    <n v="1100"/>
    <n v="1100"/>
  </r>
  <r>
    <n v="233"/>
    <x v="232"/>
    <x v="0"/>
    <x v="0"/>
    <x v="0"/>
    <n v="1100"/>
    <n v="1"/>
    <n v="1100"/>
    <n v="1100"/>
  </r>
  <r>
    <n v="234"/>
    <x v="233"/>
    <x v="0"/>
    <x v="6"/>
    <x v="2"/>
    <n v="850"/>
    <n v="1"/>
    <n v="850"/>
    <n v="850"/>
  </r>
  <r>
    <n v="235"/>
    <x v="234"/>
    <x v="0"/>
    <x v="5"/>
    <x v="1"/>
    <n v="600"/>
    <n v="1"/>
    <n v="600"/>
    <n v="600"/>
  </r>
  <r>
    <n v="236"/>
    <x v="235"/>
    <x v="0"/>
    <x v="5"/>
    <x v="1"/>
    <n v="600"/>
    <n v="1"/>
    <n v="600"/>
    <n v="600"/>
  </r>
  <r>
    <n v="237"/>
    <x v="236"/>
    <x v="0"/>
    <x v="4"/>
    <x v="1"/>
    <n v="800"/>
    <n v="1"/>
    <n v="800"/>
    <n v="800"/>
  </r>
  <r>
    <n v="238"/>
    <x v="237"/>
    <x v="0"/>
    <x v="7"/>
    <x v="2"/>
    <n v="1200"/>
    <n v="1"/>
    <n v="1200"/>
    <n v="1200"/>
  </r>
  <r>
    <n v="239"/>
    <x v="238"/>
    <x v="0"/>
    <x v="3"/>
    <x v="0"/>
    <n v="1000"/>
    <n v="1"/>
    <n v="1000"/>
    <n v="1000"/>
  </r>
  <r>
    <n v="240"/>
    <x v="239"/>
    <x v="0"/>
    <x v="9"/>
    <x v="3"/>
    <n v="600"/>
    <n v="1"/>
    <n v="600"/>
    <n v="600"/>
  </r>
  <r>
    <n v="241"/>
    <x v="240"/>
    <x v="0"/>
    <x v="2"/>
    <x v="0"/>
    <n v="900"/>
    <n v="1"/>
    <n v="900"/>
    <n v="900"/>
  </r>
  <r>
    <n v="242"/>
    <x v="241"/>
    <x v="0"/>
    <x v="5"/>
    <x v="1"/>
    <n v="600"/>
    <n v="1"/>
    <n v="600"/>
    <n v="600"/>
  </r>
  <r>
    <n v="243"/>
    <x v="242"/>
    <x v="0"/>
    <x v="1"/>
    <x v="0"/>
    <n v="900"/>
    <n v="1"/>
    <n v="900"/>
    <n v="765"/>
  </r>
  <r>
    <n v="244"/>
    <x v="243"/>
    <x v="0"/>
    <x v="9"/>
    <x v="3"/>
    <n v="600"/>
    <n v="1"/>
    <n v="600"/>
    <n v="600"/>
  </r>
  <r>
    <n v="245"/>
    <x v="244"/>
    <x v="0"/>
    <x v="6"/>
    <x v="2"/>
    <n v="850"/>
    <n v="1"/>
    <n v="850"/>
    <n v="850"/>
  </r>
  <r>
    <n v="246"/>
    <x v="245"/>
    <x v="0"/>
    <x v="2"/>
    <x v="0"/>
    <n v="900"/>
    <n v="1"/>
    <n v="900"/>
    <n v="900"/>
  </r>
  <r>
    <n v="247"/>
    <x v="246"/>
    <x v="0"/>
    <x v="0"/>
    <x v="0"/>
    <n v="1100"/>
    <n v="1"/>
    <n v="1100"/>
    <n v="1100"/>
  </r>
  <r>
    <n v="248"/>
    <x v="247"/>
    <x v="0"/>
    <x v="2"/>
    <x v="0"/>
    <n v="900"/>
    <n v="1"/>
    <n v="900"/>
    <n v="900"/>
  </r>
  <r>
    <n v="249"/>
    <x v="248"/>
    <x v="0"/>
    <x v="3"/>
    <x v="0"/>
    <n v="1000"/>
    <n v="1"/>
    <n v="1000"/>
    <n v="1000"/>
  </r>
  <r>
    <n v="250"/>
    <x v="249"/>
    <x v="0"/>
    <x v="0"/>
    <x v="0"/>
    <n v="1100"/>
    <n v="1"/>
    <n v="1100"/>
    <n v="1100"/>
  </r>
  <r>
    <n v="251"/>
    <x v="250"/>
    <x v="0"/>
    <x v="3"/>
    <x v="0"/>
    <n v="1000"/>
    <n v="1"/>
    <n v="1000"/>
    <n v="1000"/>
  </r>
  <r>
    <n v="252"/>
    <x v="251"/>
    <x v="0"/>
    <x v="0"/>
    <x v="0"/>
    <n v="1100"/>
    <n v="1"/>
    <n v="1100"/>
    <n v="1100"/>
  </r>
  <r>
    <n v="253"/>
    <x v="252"/>
    <x v="0"/>
    <x v="2"/>
    <x v="0"/>
    <n v="900"/>
    <n v="1"/>
    <n v="900"/>
    <n v="900"/>
  </r>
  <r>
    <n v="254"/>
    <x v="253"/>
    <x v="0"/>
    <x v="1"/>
    <x v="0"/>
    <n v="900"/>
    <n v="1"/>
    <n v="900"/>
    <n v="765"/>
  </r>
  <r>
    <n v="255"/>
    <x v="254"/>
    <x v="0"/>
    <x v="0"/>
    <x v="0"/>
    <n v="1100"/>
    <n v="1"/>
    <n v="1100"/>
    <n v="1100"/>
  </r>
  <r>
    <n v="256"/>
    <x v="255"/>
    <x v="0"/>
    <x v="0"/>
    <x v="0"/>
    <n v="1100"/>
    <n v="1"/>
    <n v="1100"/>
    <n v="1100"/>
  </r>
  <r>
    <n v="257"/>
    <x v="256"/>
    <x v="0"/>
    <x v="3"/>
    <x v="0"/>
    <n v="1000"/>
    <n v="1"/>
    <n v="1000"/>
    <n v="1000"/>
  </r>
  <r>
    <n v="258"/>
    <x v="257"/>
    <x v="0"/>
    <x v="1"/>
    <x v="0"/>
    <n v="900"/>
    <n v="1"/>
    <n v="900"/>
    <n v="765"/>
  </r>
  <r>
    <n v="259"/>
    <x v="258"/>
    <x v="0"/>
    <x v="5"/>
    <x v="1"/>
    <n v="600"/>
    <n v="1"/>
    <n v="600"/>
    <n v="600"/>
  </r>
  <r>
    <n v="260"/>
    <x v="259"/>
    <x v="0"/>
    <x v="1"/>
    <x v="0"/>
    <n v="900"/>
    <n v="1"/>
    <n v="900"/>
    <n v="765"/>
  </r>
  <r>
    <n v="261"/>
    <x v="260"/>
    <x v="0"/>
    <x v="5"/>
    <x v="1"/>
    <n v="600"/>
    <n v="1"/>
    <n v="600"/>
    <n v="600"/>
  </r>
  <r>
    <n v="262"/>
    <x v="261"/>
    <x v="0"/>
    <x v="2"/>
    <x v="0"/>
    <n v="900"/>
    <n v="1"/>
    <n v="900"/>
    <n v="900"/>
  </r>
  <r>
    <n v="263"/>
    <x v="262"/>
    <x v="0"/>
    <x v="0"/>
    <x v="0"/>
    <n v="1100"/>
    <n v="2"/>
    <n v="2200"/>
    <n v="2200"/>
  </r>
  <r>
    <n v="264"/>
    <x v="263"/>
    <x v="0"/>
    <x v="5"/>
    <x v="1"/>
    <n v="600"/>
    <n v="1"/>
    <n v="600"/>
    <n v="600"/>
  </r>
  <r>
    <n v="265"/>
    <x v="264"/>
    <x v="0"/>
    <x v="5"/>
    <x v="1"/>
    <n v="600"/>
    <n v="1"/>
    <n v="600"/>
    <n v="600"/>
  </r>
  <r>
    <n v="266"/>
    <x v="265"/>
    <x v="0"/>
    <x v="2"/>
    <x v="0"/>
    <n v="900"/>
    <n v="1"/>
    <n v="900"/>
    <n v="900"/>
  </r>
  <r>
    <n v="267"/>
    <x v="266"/>
    <x v="0"/>
    <x v="0"/>
    <x v="0"/>
    <n v="1100"/>
    <n v="1"/>
    <n v="1100"/>
    <n v="1100"/>
  </r>
  <r>
    <n v="268"/>
    <x v="267"/>
    <x v="0"/>
    <x v="5"/>
    <x v="1"/>
    <n v="600"/>
    <n v="1"/>
    <n v="600"/>
    <n v="600"/>
  </r>
  <r>
    <n v="269"/>
    <x v="268"/>
    <x v="0"/>
    <x v="9"/>
    <x v="3"/>
    <n v="600"/>
    <n v="1"/>
    <n v="600"/>
    <n v="600"/>
  </r>
  <r>
    <n v="270"/>
    <x v="269"/>
    <x v="0"/>
    <x v="5"/>
    <x v="1"/>
    <n v="600"/>
    <n v="1"/>
    <n v="600"/>
    <n v="600"/>
  </r>
  <r>
    <n v="271"/>
    <x v="270"/>
    <x v="0"/>
    <x v="9"/>
    <x v="3"/>
    <n v="600"/>
    <n v="1"/>
    <n v="600"/>
    <n v="600"/>
  </r>
  <r>
    <n v="272"/>
    <x v="271"/>
    <x v="0"/>
    <x v="9"/>
    <x v="3"/>
    <n v="600"/>
    <n v="2"/>
    <n v="1200"/>
    <n v="1200"/>
  </r>
  <r>
    <n v="273"/>
    <x v="272"/>
    <x v="0"/>
    <x v="5"/>
    <x v="1"/>
    <n v="600"/>
    <n v="1"/>
    <n v="600"/>
    <n v="600"/>
  </r>
  <r>
    <n v="274"/>
    <x v="273"/>
    <x v="0"/>
    <x v="0"/>
    <x v="0"/>
    <n v="1100"/>
    <n v="3"/>
    <n v="3300"/>
    <n v="3300"/>
  </r>
  <r>
    <n v="275"/>
    <x v="274"/>
    <x v="0"/>
    <x v="0"/>
    <x v="0"/>
    <n v="1100"/>
    <n v="1"/>
    <n v="1100"/>
    <n v="1100"/>
  </r>
  <r>
    <n v="276"/>
    <x v="275"/>
    <x v="0"/>
    <x v="6"/>
    <x v="2"/>
    <n v="850"/>
    <n v="1"/>
    <n v="850"/>
    <n v="850"/>
  </r>
  <r>
    <n v="277"/>
    <x v="276"/>
    <x v="0"/>
    <x v="7"/>
    <x v="2"/>
    <n v="1200"/>
    <n v="1"/>
    <n v="1200"/>
    <n v="1200"/>
  </r>
  <r>
    <n v="278"/>
    <x v="277"/>
    <x v="0"/>
    <x v="4"/>
    <x v="1"/>
    <n v="800"/>
    <n v="1"/>
    <n v="800"/>
    <n v="800"/>
  </r>
  <r>
    <n v="279"/>
    <x v="278"/>
    <x v="0"/>
    <x v="2"/>
    <x v="0"/>
    <n v="900"/>
    <n v="1"/>
    <n v="900"/>
    <n v="900"/>
  </r>
  <r>
    <n v="280"/>
    <x v="279"/>
    <x v="0"/>
    <x v="0"/>
    <x v="0"/>
    <n v="1100"/>
    <n v="1"/>
    <n v="1100"/>
    <n v="1100"/>
  </r>
  <r>
    <n v="281"/>
    <x v="280"/>
    <x v="0"/>
    <x v="1"/>
    <x v="0"/>
    <n v="900"/>
    <n v="1"/>
    <n v="900"/>
    <n v="765"/>
  </r>
  <r>
    <n v="282"/>
    <x v="281"/>
    <x v="0"/>
    <x v="0"/>
    <x v="0"/>
    <n v="1100"/>
    <n v="1"/>
    <n v="1100"/>
    <n v="1100"/>
  </r>
  <r>
    <n v="283"/>
    <x v="282"/>
    <x v="0"/>
    <x v="8"/>
    <x v="3"/>
    <n v="900"/>
    <n v="1"/>
    <n v="900"/>
    <n v="900"/>
  </r>
  <r>
    <n v="284"/>
    <x v="283"/>
    <x v="0"/>
    <x v="8"/>
    <x v="3"/>
    <n v="500"/>
    <n v="1"/>
    <n v="500"/>
    <n v="500"/>
  </r>
  <r>
    <n v="285"/>
    <x v="284"/>
    <x v="0"/>
    <x v="3"/>
    <x v="0"/>
    <n v="1000"/>
    <n v="1"/>
    <n v="1000"/>
    <n v="1000"/>
  </r>
  <r>
    <n v="286"/>
    <x v="285"/>
    <x v="0"/>
    <x v="9"/>
    <x v="3"/>
    <n v="600"/>
    <n v="1"/>
    <n v="600"/>
    <n v="600"/>
  </r>
  <r>
    <n v="287"/>
    <x v="286"/>
    <x v="0"/>
    <x v="1"/>
    <x v="0"/>
    <n v="900"/>
    <n v="2"/>
    <n v="1800"/>
    <n v="1530"/>
  </r>
  <r>
    <n v="288"/>
    <x v="287"/>
    <x v="0"/>
    <x v="6"/>
    <x v="2"/>
    <n v="850"/>
    <n v="1"/>
    <n v="850"/>
    <n v="850"/>
  </r>
  <r>
    <n v="289"/>
    <x v="288"/>
    <x v="0"/>
    <x v="4"/>
    <x v="1"/>
    <n v="800"/>
    <n v="1"/>
    <n v="800"/>
    <n v="800"/>
  </r>
  <r>
    <n v="290"/>
    <x v="289"/>
    <x v="0"/>
    <x v="1"/>
    <x v="0"/>
    <n v="900"/>
    <n v="1"/>
    <n v="900"/>
    <n v="765"/>
  </r>
  <r>
    <n v="291"/>
    <x v="290"/>
    <x v="0"/>
    <x v="1"/>
    <x v="0"/>
    <n v="900"/>
    <n v="1"/>
    <n v="900"/>
    <n v="765"/>
  </r>
  <r>
    <n v="292"/>
    <x v="291"/>
    <x v="0"/>
    <x v="0"/>
    <x v="0"/>
    <n v="1100"/>
    <n v="1"/>
    <n v="1100"/>
    <n v="1100"/>
  </r>
  <r>
    <n v="293"/>
    <x v="292"/>
    <x v="0"/>
    <x v="2"/>
    <x v="0"/>
    <n v="900"/>
    <n v="1"/>
    <n v="900"/>
    <n v="900"/>
  </r>
  <r>
    <n v="294"/>
    <x v="293"/>
    <x v="0"/>
    <x v="5"/>
    <x v="1"/>
    <n v="600"/>
    <n v="1"/>
    <n v="600"/>
    <n v="600"/>
  </r>
  <r>
    <n v="295"/>
    <x v="294"/>
    <x v="0"/>
    <x v="5"/>
    <x v="1"/>
    <n v="600"/>
    <n v="1"/>
    <n v="600"/>
    <n v="600"/>
  </r>
  <r>
    <n v="296"/>
    <x v="295"/>
    <x v="0"/>
    <x v="2"/>
    <x v="0"/>
    <n v="900"/>
    <n v="1"/>
    <n v="900"/>
    <n v="900"/>
  </r>
  <r>
    <n v="297"/>
    <x v="296"/>
    <x v="0"/>
    <x v="6"/>
    <x v="2"/>
    <n v="850"/>
    <n v="1"/>
    <n v="850"/>
    <n v="850"/>
  </r>
  <r>
    <n v="298"/>
    <x v="297"/>
    <x v="0"/>
    <x v="2"/>
    <x v="0"/>
    <n v="900"/>
    <n v="1"/>
    <n v="900"/>
    <n v="900"/>
  </r>
  <r>
    <n v="299"/>
    <x v="298"/>
    <x v="0"/>
    <x v="5"/>
    <x v="1"/>
    <n v="600"/>
    <n v="1"/>
    <n v="600"/>
    <n v="600"/>
  </r>
  <r>
    <n v="300"/>
    <x v="299"/>
    <x v="0"/>
    <x v="5"/>
    <x v="1"/>
    <n v="600"/>
    <n v="1"/>
    <n v="600"/>
    <n v="600"/>
  </r>
  <r>
    <n v="301"/>
    <x v="300"/>
    <x v="0"/>
    <x v="0"/>
    <x v="0"/>
    <n v="1100"/>
    <n v="1"/>
    <n v="1100"/>
    <n v="1100"/>
  </r>
  <r>
    <n v="302"/>
    <x v="301"/>
    <x v="0"/>
    <x v="1"/>
    <x v="0"/>
    <n v="900"/>
    <n v="1"/>
    <n v="900"/>
    <n v="765"/>
  </r>
  <r>
    <n v="303"/>
    <x v="302"/>
    <x v="0"/>
    <x v="0"/>
    <x v="0"/>
    <n v="1100"/>
    <n v="1"/>
    <n v="1100"/>
    <n v="1100"/>
  </r>
  <r>
    <n v="304"/>
    <x v="303"/>
    <x v="0"/>
    <x v="5"/>
    <x v="1"/>
    <n v="600"/>
    <n v="1"/>
    <n v="600"/>
    <n v="600"/>
  </r>
  <r>
    <n v="305"/>
    <x v="304"/>
    <x v="0"/>
    <x v="7"/>
    <x v="2"/>
    <n v="1200"/>
    <n v="1"/>
    <n v="1200"/>
    <n v="1200"/>
  </r>
  <r>
    <n v="306"/>
    <x v="305"/>
    <x v="0"/>
    <x v="9"/>
    <x v="3"/>
    <n v="600"/>
    <n v="1"/>
    <n v="600"/>
    <n v="600"/>
  </r>
  <r>
    <n v="307"/>
    <x v="306"/>
    <x v="0"/>
    <x v="0"/>
    <x v="0"/>
    <n v="1100"/>
    <n v="1"/>
    <n v="1100"/>
    <n v="1100"/>
  </r>
  <r>
    <n v="308"/>
    <x v="307"/>
    <x v="0"/>
    <x v="8"/>
    <x v="3"/>
    <n v="500"/>
    <n v="1"/>
    <n v="500"/>
    <n v="500"/>
  </r>
  <r>
    <n v="309"/>
    <x v="308"/>
    <x v="0"/>
    <x v="1"/>
    <x v="0"/>
    <n v="900"/>
    <n v="1"/>
    <n v="900"/>
    <n v="765"/>
  </r>
  <r>
    <n v="310"/>
    <x v="309"/>
    <x v="0"/>
    <x v="6"/>
    <x v="2"/>
    <n v="850"/>
    <n v="1"/>
    <n v="850"/>
    <n v="850"/>
  </r>
  <r>
    <n v="311"/>
    <x v="310"/>
    <x v="0"/>
    <x v="5"/>
    <x v="1"/>
    <n v="600"/>
    <n v="1"/>
    <n v="600"/>
    <n v="600"/>
  </r>
  <r>
    <n v="312"/>
    <x v="311"/>
    <x v="0"/>
    <x v="0"/>
    <x v="0"/>
    <n v="1100"/>
    <n v="1"/>
    <n v="1100"/>
    <n v="1100"/>
  </r>
  <r>
    <n v="313"/>
    <x v="312"/>
    <x v="0"/>
    <x v="8"/>
    <x v="3"/>
    <n v="500"/>
    <n v="1"/>
    <n v="500"/>
    <n v="500"/>
  </r>
  <r>
    <n v="314"/>
    <x v="313"/>
    <x v="0"/>
    <x v="5"/>
    <x v="1"/>
    <n v="600"/>
    <n v="1"/>
    <n v="600"/>
    <n v="600"/>
  </r>
  <r>
    <n v="315"/>
    <x v="314"/>
    <x v="0"/>
    <x v="3"/>
    <x v="0"/>
    <n v="1000"/>
    <n v="1"/>
    <n v="1000"/>
    <n v="1000"/>
  </r>
  <r>
    <n v="316"/>
    <x v="315"/>
    <x v="1"/>
    <x v="5"/>
    <x v="1"/>
    <n v="600"/>
    <n v="1"/>
    <n v="600"/>
    <n v="600"/>
  </r>
  <r>
    <n v="317"/>
    <x v="316"/>
    <x v="1"/>
    <x v="0"/>
    <x v="0"/>
    <n v="1100"/>
    <n v="1"/>
    <n v="1100"/>
    <n v="1100"/>
  </r>
  <r>
    <n v="318"/>
    <x v="317"/>
    <x v="1"/>
    <x v="8"/>
    <x v="3"/>
    <n v="500"/>
    <n v="1"/>
    <n v="500"/>
    <n v="500"/>
  </r>
  <r>
    <n v="319"/>
    <x v="318"/>
    <x v="1"/>
    <x v="0"/>
    <x v="0"/>
    <n v="1100"/>
    <n v="2"/>
    <n v="2200"/>
    <n v="2200"/>
  </r>
  <r>
    <n v="320"/>
    <x v="319"/>
    <x v="1"/>
    <x v="5"/>
    <x v="1"/>
    <n v="600"/>
    <n v="1"/>
    <n v="600"/>
    <n v="600"/>
  </r>
  <r>
    <n v="321"/>
    <x v="320"/>
    <x v="1"/>
    <x v="4"/>
    <x v="1"/>
    <n v="800"/>
    <n v="1"/>
    <n v="800"/>
    <n v="800"/>
  </r>
  <r>
    <n v="322"/>
    <x v="321"/>
    <x v="1"/>
    <x v="2"/>
    <x v="0"/>
    <n v="900"/>
    <n v="1"/>
    <n v="900"/>
    <n v="900"/>
  </r>
  <r>
    <n v="323"/>
    <x v="322"/>
    <x v="1"/>
    <x v="9"/>
    <x v="3"/>
    <n v="600"/>
    <n v="1"/>
    <n v="600"/>
    <n v="600"/>
  </r>
  <r>
    <n v="324"/>
    <x v="323"/>
    <x v="1"/>
    <x v="0"/>
    <x v="0"/>
    <n v="1100"/>
    <n v="2"/>
    <n v="2200"/>
    <n v="2200"/>
  </r>
  <r>
    <n v="325"/>
    <x v="324"/>
    <x v="0"/>
    <x v="5"/>
    <x v="1"/>
    <n v="600"/>
    <n v="1"/>
    <n v="600"/>
    <n v="600"/>
  </r>
  <r>
    <n v="326"/>
    <x v="325"/>
    <x v="0"/>
    <x v="0"/>
    <x v="0"/>
    <n v="1100"/>
    <n v="1"/>
    <n v="1100"/>
    <n v="1100"/>
  </r>
  <r>
    <n v="327"/>
    <x v="326"/>
    <x v="0"/>
    <x v="3"/>
    <x v="0"/>
    <n v="1000"/>
    <n v="1"/>
    <n v="1000"/>
    <n v="1000"/>
  </r>
  <r>
    <n v="328"/>
    <x v="327"/>
    <x v="0"/>
    <x v="0"/>
    <x v="0"/>
    <n v="1100"/>
    <n v="1"/>
    <n v="1100"/>
    <n v="1100"/>
  </r>
  <r>
    <n v="329"/>
    <x v="328"/>
    <x v="0"/>
    <x v="7"/>
    <x v="2"/>
    <n v="1200"/>
    <n v="1"/>
    <n v="1200"/>
    <n v="1200"/>
  </r>
  <r>
    <n v="330"/>
    <x v="329"/>
    <x v="0"/>
    <x v="2"/>
    <x v="0"/>
    <n v="900"/>
    <n v="1"/>
    <n v="900"/>
    <n v="900"/>
  </r>
  <r>
    <n v="331"/>
    <x v="330"/>
    <x v="0"/>
    <x v="9"/>
    <x v="3"/>
    <n v="600"/>
    <n v="1"/>
    <n v="600"/>
    <n v="600"/>
  </r>
  <r>
    <n v="332"/>
    <x v="331"/>
    <x v="0"/>
    <x v="0"/>
    <x v="0"/>
    <n v="1100"/>
    <n v="2"/>
    <n v="2200"/>
    <n v="2200"/>
  </r>
  <r>
    <n v="333"/>
    <x v="332"/>
    <x v="0"/>
    <x v="3"/>
    <x v="0"/>
    <n v="1000"/>
    <n v="1"/>
    <n v="1000"/>
    <n v="1000"/>
  </r>
  <r>
    <n v="334"/>
    <x v="333"/>
    <x v="0"/>
    <x v="3"/>
    <x v="0"/>
    <n v="1000"/>
    <n v="1"/>
    <n v="1000"/>
    <n v="1000"/>
  </r>
  <r>
    <n v="335"/>
    <x v="334"/>
    <x v="0"/>
    <x v="8"/>
    <x v="3"/>
    <n v="500"/>
    <n v="1"/>
    <n v="500"/>
    <n v="500"/>
  </r>
  <r>
    <n v="336"/>
    <x v="335"/>
    <x v="0"/>
    <x v="3"/>
    <x v="0"/>
    <n v="1000"/>
    <n v="1"/>
    <n v="1000"/>
    <n v="1000"/>
  </r>
  <r>
    <n v="337"/>
    <x v="336"/>
    <x v="0"/>
    <x v="7"/>
    <x v="2"/>
    <n v="1200"/>
    <n v="1"/>
    <n v="1200"/>
    <n v="1200"/>
  </r>
  <r>
    <n v="338"/>
    <x v="337"/>
    <x v="0"/>
    <x v="7"/>
    <x v="2"/>
    <n v="1006"/>
    <n v="1"/>
    <n v="1006"/>
    <n v="1006"/>
  </r>
  <r>
    <n v="339"/>
    <x v="338"/>
    <x v="0"/>
    <x v="1"/>
    <x v="0"/>
    <n v="1002"/>
    <n v="1"/>
    <n v="1002"/>
    <n v="851.69999999999993"/>
  </r>
  <r>
    <n v="340"/>
    <x v="339"/>
    <x v="0"/>
    <x v="3"/>
    <x v="0"/>
    <n v="1002"/>
    <n v="1"/>
    <n v="1002"/>
    <n v="1002"/>
  </r>
  <r>
    <n v="341"/>
    <x v="340"/>
    <x v="0"/>
    <x v="5"/>
    <x v="1"/>
    <n v="649"/>
    <n v="1"/>
    <n v="649"/>
    <n v="649"/>
  </r>
  <r>
    <n v="342"/>
    <x v="341"/>
    <x v="0"/>
    <x v="5"/>
    <x v="1"/>
    <n v="649"/>
    <n v="1"/>
    <n v="649"/>
    <n v="649"/>
  </r>
  <r>
    <n v="343"/>
    <x v="342"/>
    <x v="0"/>
    <x v="3"/>
    <x v="0"/>
    <n v="1002"/>
    <n v="1"/>
    <n v="1002"/>
    <n v="1002"/>
  </r>
  <r>
    <n v="344"/>
    <x v="343"/>
    <x v="0"/>
    <x v="2"/>
    <x v="0"/>
    <n v="900"/>
    <n v="2"/>
    <n v="1800"/>
    <n v="1800"/>
  </r>
  <r>
    <n v="345"/>
    <x v="344"/>
    <x v="0"/>
    <x v="0"/>
    <x v="0"/>
    <n v="1100"/>
    <n v="2"/>
    <n v="2200"/>
    <n v="2200"/>
  </r>
  <r>
    <n v="346"/>
    <x v="345"/>
    <x v="1"/>
    <x v="2"/>
    <x v="0"/>
    <n v="900"/>
    <n v="2"/>
    <n v="1800"/>
    <n v="1800"/>
  </r>
  <r>
    <n v="347"/>
    <x v="346"/>
    <x v="0"/>
    <x v="8"/>
    <x v="3"/>
    <n v="800"/>
    <n v="1"/>
    <n v="800"/>
    <n v="800"/>
  </r>
  <r>
    <n v="348"/>
    <x v="347"/>
    <x v="0"/>
    <x v="0"/>
    <x v="0"/>
    <n v="1100"/>
    <n v="1"/>
    <n v="1100"/>
    <n v="1100"/>
  </r>
  <r>
    <n v="349"/>
    <x v="348"/>
    <x v="0"/>
    <x v="9"/>
    <x v="3"/>
    <n v="600"/>
    <n v="1"/>
    <n v="600"/>
    <n v="600"/>
  </r>
  <r>
    <n v="350"/>
    <x v="349"/>
    <x v="1"/>
    <x v="0"/>
    <x v="0"/>
    <n v="1100"/>
    <n v="3"/>
    <n v="3300"/>
    <n v="3300"/>
  </r>
  <r>
    <n v="351"/>
    <x v="350"/>
    <x v="1"/>
    <x v="6"/>
    <x v="2"/>
    <n v="850"/>
    <n v="1"/>
    <n v="850"/>
    <n v="850"/>
  </r>
  <r>
    <n v="352"/>
    <x v="351"/>
    <x v="1"/>
    <x v="9"/>
    <x v="3"/>
    <n v="600"/>
    <n v="1"/>
    <n v="600"/>
    <n v="600"/>
  </r>
  <r>
    <n v="353"/>
    <x v="352"/>
    <x v="1"/>
    <x v="9"/>
    <x v="3"/>
    <n v="600"/>
    <n v="1"/>
    <n v="600"/>
    <n v="600"/>
  </r>
  <r>
    <n v="354"/>
    <x v="353"/>
    <x v="0"/>
    <x v="0"/>
    <x v="0"/>
    <n v="1100"/>
    <n v="1"/>
    <n v="1100"/>
    <n v="1100"/>
  </r>
  <r>
    <n v="355"/>
    <x v="354"/>
    <x v="0"/>
    <x v="3"/>
    <x v="0"/>
    <n v="1000"/>
    <n v="1"/>
    <n v="1000"/>
    <n v="1000"/>
  </r>
  <r>
    <n v="356"/>
    <x v="355"/>
    <x v="0"/>
    <x v="2"/>
    <x v="0"/>
    <n v="900"/>
    <n v="1"/>
    <n v="900"/>
    <n v="900"/>
  </r>
  <r>
    <n v="357"/>
    <x v="356"/>
    <x v="0"/>
    <x v="9"/>
    <x v="3"/>
    <n v="600"/>
    <n v="1"/>
    <n v="600"/>
    <n v="600"/>
  </r>
  <r>
    <n v="358"/>
    <x v="357"/>
    <x v="0"/>
    <x v="2"/>
    <x v="0"/>
    <n v="900"/>
    <n v="1"/>
    <n v="900"/>
    <n v="900"/>
  </r>
  <r>
    <n v="359"/>
    <x v="358"/>
    <x v="0"/>
    <x v="5"/>
    <x v="1"/>
    <n v="600"/>
    <n v="1"/>
    <n v="600"/>
    <n v="600"/>
  </r>
  <r>
    <n v="360"/>
    <x v="359"/>
    <x v="0"/>
    <x v="1"/>
    <x v="0"/>
    <n v="900"/>
    <n v="1"/>
    <n v="900"/>
    <n v="765"/>
  </r>
  <r>
    <n v="361"/>
    <x v="360"/>
    <x v="0"/>
    <x v="5"/>
    <x v="1"/>
    <n v="600"/>
    <n v="1"/>
    <n v="600"/>
    <n v="600"/>
  </r>
  <r>
    <n v="362"/>
    <x v="361"/>
    <x v="0"/>
    <x v="2"/>
    <x v="0"/>
    <n v="900"/>
    <n v="1"/>
    <n v="900"/>
    <n v="900"/>
  </r>
  <r>
    <n v="363"/>
    <x v="362"/>
    <x v="0"/>
    <x v="9"/>
    <x v="3"/>
    <n v="600"/>
    <n v="1"/>
    <n v="600"/>
    <n v="600"/>
  </r>
  <r>
    <n v="364"/>
    <x v="363"/>
    <x v="0"/>
    <x v="0"/>
    <x v="0"/>
    <n v="1100"/>
    <n v="2"/>
    <n v="2200"/>
    <n v="2200"/>
  </r>
  <r>
    <n v="365"/>
    <x v="364"/>
    <x v="0"/>
    <x v="0"/>
    <x v="0"/>
    <n v="1100"/>
    <n v="1"/>
    <n v="1100"/>
    <n v="1100"/>
  </r>
  <r>
    <n v="366"/>
    <x v="365"/>
    <x v="0"/>
    <x v="0"/>
    <x v="0"/>
    <n v="1100"/>
    <n v="1"/>
    <n v="1100"/>
    <n v="1100"/>
  </r>
  <r>
    <n v="367"/>
    <x v="366"/>
    <x v="0"/>
    <x v="5"/>
    <x v="1"/>
    <n v="600"/>
    <n v="2"/>
    <n v="1200"/>
    <n v="1200"/>
  </r>
  <r>
    <n v="368"/>
    <x v="367"/>
    <x v="0"/>
    <x v="0"/>
    <x v="0"/>
    <n v="1100"/>
    <n v="1"/>
    <n v="1100"/>
    <n v="1100"/>
  </r>
  <r>
    <n v="369"/>
    <x v="368"/>
    <x v="0"/>
    <x v="9"/>
    <x v="3"/>
    <n v="600"/>
    <n v="1"/>
    <n v="600"/>
    <n v="600"/>
  </r>
  <r>
    <n v="370"/>
    <x v="369"/>
    <x v="0"/>
    <x v="0"/>
    <x v="0"/>
    <n v="1100"/>
    <n v="1"/>
    <n v="1100"/>
    <n v="1100"/>
  </r>
  <r>
    <n v="371"/>
    <x v="370"/>
    <x v="1"/>
    <x v="5"/>
    <x v="1"/>
    <n v="600"/>
    <n v="1"/>
    <n v="600"/>
    <n v="600"/>
  </r>
  <r>
    <n v="372"/>
    <x v="371"/>
    <x v="1"/>
    <x v="0"/>
    <x v="0"/>
    <n v="1100"/>
    <n v="1"/>
    <n v="1100"/>
    <n v="1100"/>
  </r>
  <r>
    <n v="373"/>
    <x v="372"/>
    <x v="1"/>
    <x v="2"/>
    <x v="0"/>
    <n v="900"/>
    <n v="1"/>
    <n v="900"/>
    <n v="900"/>
  </r>
  <r>
    <n v="374"/>
    <x v="373"/>
    <x v="1"/>
    <x v="7"/>
    <x v="2"/>
    <n v="1200"/>
    <n v="1"/>
    <n v="1200"/>
    <n v="1200"/>
  </r>
  <r>
    <n v="375"/>
    <x v="374"/>
    <x v="1"/>
    <x v="8"/>
    <x v="3"/>
    <n v="500"/>
    <n v="1"/>
    <n v="500"/>
    <n v="500"/>
  </r>
  <r>
    <n v="376"/>
    <x v="375"/>
    <x v="1"/>
    <x v="5"/>
    <x v="1"/>
    <n v="600"/>
    <n v="1"/>
    <n v="600"/>
    <n v="600"/>
  </r>
  <r>
    <n v="377"/>
    <x v="376"/>
    <x v="1"/>
    <x v="5"/>
    <x v="1"/>
    <n v="600"/>
    <n v="1"/>
    <n v="600"/>
    <n v="600"/>
  </r>
  <r>
    <n v="378"/>
    <x v="377"/>
    <x v="1"/>
    <x v="0"/>
    <x v="0"/>
    <n v="1100"/>
    <n v="1"/>
    <n v="1100"/>
    <n v="1100"/>
  </r>
  <r>
    <n v="379"/>
    <x v="378"/>
    <x v="1"/>
    <x v="0"/>
    <x v="0"/>
    <n v="1100"/>
    <n v="1"/>
    <n v="1100"/>
    <n v="1100"/>
  </r>
  <r>
    <n v="380"/>
    <x v="379"/>
    <x v="0"/>
    <x v="8"/>
    <x v="3"/>
    <n v="900"/>
    <n v="1"/>
    <n v="900"/>
    <n v="900"/>
  </r>
  <r>
    <n v="381"/>
    <x v="380"/>
    <x v="0"/>
    <x v="9"/>
    <x v="3"/>
    <n v="600"/>
    <n v="1"/>
    <n v="600"/>
    <n v="600"/>
  </r>
  <r>
    <n v="382"/>
    <x v="381"/>
    <x v="1"/>
    <x v="0"/>
    <x v="0"/>
    <n v="1100"/>
    <n v="1"/>
    <n v="1100"/>
    <n v="1100"/>
  </r>
  <r>
    <n v="383"/>
    <x v="382"/>
    <x v="1"/>
    <x v="5"/>
    <x v="1"/>
    <n v="600"/>
    <n v="1"/>
    <n v="600"/>
    <n v="600"/>
  </r>
  <r>
    <n v="384"/>
    <x v="383"/>
    <x v="1"/>
    <x v="2"/>
    <x v="0"/>
    <n v="900"/>
    <n v="1"/>
    <n v="900"/>
    <n v="900"/>
  </r>
  <r>
    <n v="385"/>
    <x v="384"/>
    <x v="1"/>
    <x v="5"/>
    <x v="1"/>
    <n v="600"/>
    <n v="1"/>
    <n v="600"/>
    <n v="600"/>
  </r>
  <r>
    <n v="386"/>
    <x v="385"/>
    <x v="0"/>
    <x v="5"/>
    <x v="1"/>
    <n v="600"/>
    <n v="1"/>
    <n v="600"/>
    <n v="600"/>
  </r>
  <r>
    <n v="387"/>
    <x v="386"/>
    <x v="0"/>
    <x v="5"/>
    <x v="1"/>
    <n v="600"/>
    <n v="1"/>
    <n v="600"/>
    <n v="600"/>
  </r>
  <r>
    <n v="388"/>
    <x v="387"/>
    <x v="0"/>
    <x v="8"/>
    <x v="3"/>
    <n v="500"/>
    <n v="1"/>
    <n v="500"/>
    <n v="500"/>
  </r>
  <r>
    <n v="389"/>
    <x v="388"/>
    <x v="0"/>
    <x v="5"/>
    <x v="1"/>
    <n v="600"/>
    <n v="1"/>
    <n v="600"/>
    <n v="600"/>
  </r>
  <r>
    <n v="390"/>
    <x v="389"/>
    <x v="1"/>
    <x v="2"/>
    <x v="0"/>
    <n v="900"/>
    <n v="1"/>
    <n v="900"/>
    <n v="900"/>
  </r>
  <r>
    <n v="391"/>
    <x v="390"/>
    <x v="0"/>
    <x v="7"/>
    <x v="2"/>
    <n v="1200"/>
    <n v="2"/>
    <n v="2400"/>
    <n v="2400"/>
  </r>
  <r>
    <n v="392"/>
    <x v="391"/>
    <x v="0"/>
    <x v="0"/>
    <x v="0"/>
    <n v="1100"/>
    <n v="1"/>
    <n v="1100"/>
    <n v="1100"/>
  </r>
  <r>
    <n v="393"/>
    <x v="392"/>
    <x v="0"/>
    <x v="4"/>
    <x v="1"/>
    <n v="800"/>
    <n v="1"/>
    <n v="800"/>
    <n v="800"/>
  </r>
  <r>
    <n v="394"/>
    <x v="393"/>
    <x v="0"/>
    <x v="4"/>
    <x v="1"/>
    <n v="800"/>
    <n v="1"/>
    <n v="800"/>
    <n v="800"/>
  </r>
  <r>
    <n v="395"/>
    <x v="394"/>
    <x v="0"/>
    <x v="0"/>
    <x v="0"/>
    <n v="1100"/>
    <n v="1"/>
    <n v="1100"/>
    <n v="1100"/>
  </r>
  <r>
    <n v="396"/>
    <x v="395"/>
    <x v="0"/>
    <x v="3"/>
    <x v="0"/>
    <n v="1000"/>
    <n v="1"/>
    <n v="1000"/>
    <n v="1000"/>
  </r>
  <r>
    <n v="397"/>
    <x v="396"/>
    <x v="0"/>
    <x v="8"/>
    <x v="3"/>
    <n v="500"/>
    <n v="1"/>
    <n v="500"/>
    <n v="500"/>
  </r>
  <r>
    <n v="398"/>
    <x v="397"/>
    <x v="0"/>
    <x v="1"/>
    <x v="0"/>
    <n v="900"/>
    <n v="1"/>
    <n v="900"/>
    <n v="765"/>
  </r>
  <r>
    <n v="399"/>
    <x v="398"/>
    <x v="0"/>
    <x v="5"/>
    <x v="1"/>
    <n v="600"/>
    <n v="1"/>
    <n v="600"/>
    <n v="600"/>
  </r>
  <r>
    <n v="400"/>
    <x v="399"/>
    <x v="0"/>
    <x v="1"/>
    <x v="0"/>
    <n v="900"/>
    <n v="1"/>
    <n v="900"/>
    <n v="765"/>
  </r>
  <r>
    <n v="401"/>
    <x v="400"/>
    <x v="0"/>
    <x v="7"/>
    <x v="2"/>
    <n v="1200"/>
    <n v="1"/>
    <n v="1200"/>
    <n v="1200"/>
  </r>
  <r>
    <n v="402"/>
    <x v="401"/>
    <x v="0"/>
    <x v="0"/>
    <x v="0"/>
    <n v="1100"/>
    <n v="1"/>
    <n v="1100"/>
    <n v="1100"/>
  </r>
  <r>
    <n v="403"/>
    <x v="402"/>
    <x v="0"/>
    <x v="4"/>
    <x v="1"/>
    <n v="800"/>
    <n v="1"/>
    <n v="800"/>
    <n v="800"/>
  </r>
  <r>
    <n v="404"/>
    <x v="403"/>
    <x v="0"/>
    <x v="1"/>
    <x v="0"/>
    <n v="900"/>
    <n v="1"/>
    <n v="900"/>
    <n v="765"/>
  </r>
  <r>
    <n v="405"/>
    <x v="404"/>
    <x v="0"/>
    <x v="0"/>
    <x v="0"/>
    <n v="1100"/>
    <n v="1"/>
    <n v="1100"/>
    <n v="1100"/>
  </r>
  <r>
    <n v="406"/>
    <x v="405"/>
    <x v="1"/>
    <x v="4"/>
    <x v="1"/>
    <n v="800"/>
    <n v="1"/>
    <n v="800"/>
    <n v="800"/>
  </r>
  <r>
    <n v="407"/>
    <x v="406"/>
    <x v="0"/>
    <x v="6"/>
    <x v="2"/>
    <n v="1006"/>
    <n v="1"/>
    <n v="1006"/>
    <n v="1006"/>
  </r>
  <r>
    <n v="408"/>
    <x v="407"/>
    <x v="0"/>
    <x v="2"/>
    <x v="0"/>
    <n v="1002"/>
    <n v="1"/>
    <n v="1002"/>
    <n v="1002"/>
  </r>
  <r>
    <n v="409"/>
    <x v="408"/>
    <x v="0"/>
    <x v="0"/>
    <x v="0"/>
    <n v="1002"/>
    <n v="1"/>
    <n v="1002"/>
    <n v="1002"/>
  </r>
  <r>
    <n v="410"/>
    <x v="409"/>
    <x v="0"/>
    <x v="5"/>
    <x v="1"/>
    <n v="600"/>
    <n v="1"/>
    <n v="600"/>
    <n v="600"/>
  </r>
  <r>
    <n v="411"/>
    <x v="410"/>
    <x v="0"/>
    <x v="7"/>
    <x v="2"/>
    <n v="1200"/>
    <n v="1"/>
    <n v="1200"/>
    <n v="1200"/>
  </r>
  <r>
    <n v="412"/>
    <x v="411"/>
    <x v="0"/>
    <x v="5"/>
    <x v="1"/>
    <n v="600"/>
    <n v="1"/>
    <n v="600"/>
    <n v="600"/>
  </r>
  <r>
    <n v="413"/>
    <x v="412"/>
    <x v="0"/>
    <x v="5"/>
    <x v="1"/>
    <n v="600"/>
    <n v="1"/>
    <n v="600"/>
    <n v="600"/>
  </r>
  <r>
    <n v="414"/>
    <x v="413"/>
    <x v="0"/>
    <x v="0"/>
    <x v="0"/>
    <n v="1100"/>
    <n v="1"/>
    <n v="1100"/>
    <n v="1100"/>
  </r>
  <r>
    <n v="415"/>
    <x v="414"/>
    <x v="0"/>
    <x v="1"/>
    <x v="0"/>
    <n v="900"/>
    <n v="1"/>
    <n v="900"/>
    <n v="765"/>
  </r>
  <r>
    <n v="416"/>
    <x v="415"/>
    <x v="0"/>
    <x v="3"/>
    <x v="0"/>
    <n v="1000"/>
    <n v="1"/>
    <n v="1000"/>
    <n v="1000"/>
  </r>
  <r>
    <n v="417"/>
    <x v="416"/>
    <x v="0"/>
    <x v="1"/>
    <x v="0"/>
    <n v="900"/>
    <n v="1"/>
    <n v="900"/>
    <n v="765"/>
  </r>
  <r>
    <n v="418"/>
    <x v="417"/>
    <x v="0"/>
    <x v="5"/>
    <x v="1"/>
    <n v="600"/>
    <n v="1"/>
    <n v="600"/>
    <n v="600"/>
  </r>
  <r>
    <n v="419"/>
    <x v="418"/>
    <x v="0"/>
    <x v="6"/>
    <x v="2"/>
    <n v="850"/>
    <n v="1"/>
    <n v="850"/>
    <n v="850"/>
  </r>
  <r>
    <n v="420"/>
    <x v="419"/>
    <x v="0"/>
    <x v="8"/>
    <x v="3"/>
    <n v="500"/>
    <n v="1"/>
    <n v="500"/>
    <n v="500"/>
  </r>
  <r>
    <n v="421"/>
    <x v="420"/>
    <x v="0"/>
    <x v="3"/>
    <x v="0"/>
    <n v="1000"/>
    <n v="1"/>
    <n v="1000"/>
    <n v="1000"/>
  </r>
  <r>
    <n v="422"/>
    <x v="421"/>
    <x v="0"/>
    <x v="0"/>
    <x v="0"/>
    <n v="1100"/>
    <n v="1"/>
    <n v="1100"/>
    <n v="1100"/>
  </r>
  <r>
    <n v="423"/>
    <x v="422"/>
    <x v="0"/>
    <x v="0"/>
    <x v="0"/>
    <n v="1100"/>
    <n v="2"/>
    <n v="2200"/>
    <n v="2200"/>
  </r>
  <r>
    <n v="424"/>
    <x v="423"/>
    <x v="0"/>
    <x v="2"/>
    <x v="0"/>
    <n v="900"/>
    <n v="1"/>
    <n v="900"/>
    <n v="900"/>
  </r>
  <r>
    <n v="425"/>
    <x v="424"/>
    <x v="0"/>
    <x v="2"/>
    <x v="0"/>
    <n v="900"/>
    <n v="1"/>
    <n v="900"/>
    <n v="900"/>
  </r>
  <r>
    <n v="426"/>
    <x v="425"/>
    <x v="0"/>
    <x v="5"/>
    <x v="1"/>
    <n v="600"/>
    <n v="1"/>
    <n v="600"/>
    <n v="600"/>
  </r>
  <r>
    <n v="427"/>
    <x v="426"/>
    <x v="0"/>
    <x v="8"/>
    <x v="3"/>
    <n v="900"/>
    <n v="1"/>
    <n v="900"/>
    <n v="900"/>
  </r>
  <r>
    <n v="428"/>
    <x v="427"/>
    <x v="0"/>
    <x v="0"/>
    <x v="0"/>
    <n v="1100"/>
    <n v="1"/>
    <n v="1100"/>
    <n v="1100"/>
  </r>
  <r>
    <n v="429"/>
    <x v="428"/>
    <x v="0"/>
    <x v="5"/>
    <x v="1"/>
    <n v="600"/>
    <n v="1"/>
    <n v="600"/>
    <n v="600"/>
  </r>
  <r>
    <n v="430"/>
    <x v="429"/>
    <x v="0"/>
    <x v="5"/>
    <x v="1"/>
    <n v="600"/>
    <n v="1"/>
    <n v="600"/>
    <n v="600"/>
  </r>
  <r>
    <n v="431"/>
    <x v="430"/>
    <x v="0"/>
    <x v="8"/>
    <x v="3"/>
    <n v="500"/>
    <n v="1"/>
    <n v="500"/>
    <n v="500"/>
  </r>
  <r>
    <n v="432"/>
    <x v="431"/>
    <x v="0"/>
    <x v="2"/>
    <x v="0"/>
    <n v="900"/>
    <n v="1"/>
    <n v="900"/>
    <n v="900"/>
  </r>
  <r>
    <n v="433"/>
    <x v="432"/>
    <x v="0"/>
    <x v="7"/>
    <x v="2"/>
    <n v="1200"/>
    <n v="1"/>
    <n v="1200"/>
    <n v="1200"/>
  </r>
  <r>
    <n v="434"/>
    <x v="433"/>
    <x v="0"/>
    <x v="5"/>
    <x v="1"/>
    <n v="600"/>
    <n v="2"/>
    <n v="1200"/>
    <n v="1200"/>
  </r>
  <r>
    <n v="435"/>
    <x v="434"/>
    <x v="0"/>
    <x v="2"/>
    <x v="0"/>
    <n v="900"/>
    <n v="1"/>
    <n v="900"/>
    <n v="900"/>
  </r>
  <r>
    <n v="436"/>
    <x v="435"/>
    <x v="0"/>
    <x v="0"/>
    <x v="0"/>
    <n v="1100"/>
    <n v="2"/>
    <n v="2200"/>
    <n v="2200"/>
  </r>
  <r>
    <n v="437"/>
    <x v="436"/>
    <x v="0"/>
    <x v="9"/>
    <x v="3"/>
    <n v="600"/>
    <n v="1"/>
    <n v="600"/>
    <n v="600"/>
  </r>
  <r>
    <n v="438"/>
    <x v="437"/>
    <x v="0"/>
    <x v="5"/>
    <x v="1"/>
    <n v="600"/>
    <n v="1"/>
    <n v="600"/>
    <n v="600"/>
  </r>
  <r>
    <n v="439"/>
    <x v="438"/>
    <x v="0"/>
    <x v="9"/>
    <x v="3"/>
    <n v="300"/>
    <n v="2"/>
    <n v="600"/>
    <n v="600"/>
  </r>
  <r>
    <n v="440"/>
    <x v="439"/>
    <x v="0"/>
    <x v="0"/>
    <x v="0"/>
    <n v="1100"/>
    <n v="2"/>
    <n v="2200"/>
    <n v="2200"/>
  </r>
  <r>
    <n v="441"/>
    <x v="440"/>
    <x v="0"/>
    <x v="3"/>
    <x v="0"/>
    <n v="1000"/>
    <n v="1"/>
    <n v="1000"/>
    <n v="1000"/>
  </r>
  <r>
    <n v="442"/>
    <x v="441"/>
    <x v="0"/>
    <x v="5"/>
    <x v="1"/>
    <n v="600"/>
    <n v="1"/>
    <n v="600"/>
    <n v="600"/>
  </r>
  <r>
    <n v="443"/>
    <x v="442"/>
    <x v="0"/>
    <x v="2"/>
    <x v="0"/>
    <n v="900"/>
    <n v="1"/>
    <n v="900"/>
    <n v="900"/>
  </r>
  <r>
    <n v="444"/>
    <x v="443"/>
    <x v="0"/>
    <x v="7"/>
    <x v="2"/>
    <n v="1200"/>
    <n v="1"/>
    <n v="1200"/>
    <n v="1200"/>
  </r>
  <r>
    <n v="445"/>
    <x v="444"/>
    <x v="0"/>
    <x v="0"/>
    <x v="0"/>
    <n v="1100"/>
    <n v="1"/>
    <n v="1100"/>
    <n v="1100"/>
  </r>
  <r>
    <n v="446"/>
    <x v="445"/>
    <x v="0"/>
    <x v="6"/>
    <x v="2"/>
    <n v="850"/>
    <n v="1"/>
    <n v="850"/>
    <n v="850"/>
  </r>
  <r>
    <n v="447"/>
    <x v="446"/>
    <x v="0"/>
    <x v="0"/>
    <x v="0"/>
    <n v="1100"/>
    <n v="1"/>
    <n v="1100"/>
    <n v="1100"/>
  </r>
  <r>
    <n v="448"/>
    <x v="447"/>
    <x v="0"/>
    <x v="0"/>
    <x v="0"/>
    <n v="1100"/>
    <n v="2"/>
    <n v="2200"/>
    <n v="2200"/>
  </r>
  <r>
    <n v="449"/>
    <x v="448"/>
    <x v="0"/>
    <x v="2"/>
    <x v="0"/>
    <n v="900"/>
    <n v="1"/>
    <n v="900"/>
    <n v="900"/>
  </r>
  <r>
    <n v="450"/>
    <x v="449"/>
    <x v="0"/>
    <x v="5"/>
    <x v="1"/>
    <n v="600"/>
    <n v="1"/>
    <n v="600"/>
    <n v="600"/>
  </r>
  <r>
    <n v="451"/>
    <x v="450"/>
    <x v="0"/>
    <x v="5"/>
    <x v="1"/>
    <n v="600"/>
    <n v="1"/>
    <n v="600"/>
    <n v="600"/>
  </r>
  <r>
    <n v="452"/>
    <x v="451"/>
    <x v="0"/>
    <x v="7"/>
    <x v="2"/>
    <n v="1200"/>
    <n v="1"/>
    <n v="1200"/>
    <n v="1200"/>
  </r>
  <r>
    <n v="453"/>
    <x v="452"/>
    <x v="0"/>
    <x v="2"/>
    <x v="0"/>
    <n v="900"/>
    <n v="1"/>
    <n v="900"/>
    <n v="900"/>
  </r>
  <r>
    <n v="454"/>
    <x v="453"/>
    <x v="0"/>
    <x v="4"/>
    <x v="1"/>
    <n v="800"/>
    <n v="1"/>
    <n v="800"/>
    <n v="800"/>
  </r>
  <r>
    <n v="455"/>
    <x v="454"/>
    <x v="0"/>
    <x v="2"/>
    <x v="0"/>
    <n v="900"/>
    <n v="1"/>
    <n v="900"/>
    <n v="900"/>
  </r>
  <r>
    <n v="456"/>
    <x v="455"/>
    <x v="0"/>
    <x v="0"/>
    <x v="0"/>
    <n v="1100"/>
    <n v="1"/>
    <n v="1100"/>
    <n v="1100"/>
  </r>
  <r>
    <n v="457"/>
    <x v="456"/>
    <x v="0"/>
    <x v="9"/>
    <x v="3"/>
    <n v="600"/>
    <n v="1"/>
    <n v="600"/>
    <n v="600"/>
  </r>
  <r>
    <n v="458"/>
    <x v="457"/>
    <x v="0"/>
    <x v="0"/>
    <x v="0"/>
    <n v="1100"/>
    <n v="1"/>
    <n v="1100"/>
    <n v="1100"/>
  </r>
  <r>
    <n v="459"/>
    <x v="458"/>
    <x v="0"/>
    <x v="4"/>
    <x v="1"/>
    <n v="800"/>
    <n v="1"/>
    <n v="800"/>
    <n v="800"/>
  </r>
  <r>
    <n v="460"/>
    <x v="459"/>
    <x v="0"/>
    <x v="2"/>
    <x v="0"/>
    <n v="900"/>
    <n v="1"/>
    <n v="900"/>
    <n v="900"/>
  </r>
  <r>
    <n v="461"/>
    <x v="460"/>
    <x v="0"/>
    <x v="0"/>
    <x v="0"/>
    <n v="1100"/>
    <n v="1"/>
    <n v="1100"/>
    <n v="1100"/>
  </r>
  <r>
    <n v="462"/>
    <x v="461"/>
    <x v="0"/>
    <x v="2"/>
    <x v="0"/>
    <n v="900"/>
    <n v="1"/>
    <n v="900"/>
    <n v="900"/>
  </r>
  <r>
    <n v="463"/>
    <x v="462"/>
    <x v="0"/>
    <x v="5"/>
    <x v="1"/>
    <n v="600"/>
    <n v="1"/>
    <n v="600"/>
    <n v="600"/>
  </r>
  <r>
    <n v="464"/>
    <x v="463"/>
    <x v="0"/>
    <x v="0"/>
    <x v="0"/>
    <n v="1100"/>
    <n v="1"/>
    <n v="1100"/>
    <n v="1100"/>
  </r>
  <r>
    <n v="465"/>
    <x v="464"/>
    <x v="0"/>
    <x v="0"/>
    <x v="0"/>
    <n v="1100"/>
    <n v="2"/>
    <n v="2200"/>
    <n v="2200"/>
  </r>
  <r>
    <n v="466"/>
    <x v="465"/>
    <x v="0"/>
    <x v="0"/>
    <x v="0"/>
    <n v="1100"/>
    <n v="1"/>
    <n v="1100"/>
    <n v="1100"/>
  </r>
  <r>
    <n v="467"/>
    <x v="466"/>
    <x v="0"/>
    <x v="0"/>
    <x v="0"/>
    <n v="1100"/>
    <n v="1"/>
    <n v="1100"/>
    <n v="1100"/>
  </r>
  <r>
    <n v="468"/>
    <x v="467"/>
    <x v="0"/>
    <x v="0"/>
    <x v="0"/>
    <n v="1100"/>
    <n v="1"/>
    <n v="1100"/>
    <n v="1100"/>
  </r>
  <r>
    <n v="469"/>
    <x v="468"/>
    <x v="0"/>
    <x v="5"/>
    <x v="1"/>
    <n v="600"/>
    <n v="1"/>
    <n v="600"/>
    <n v="600"/>
  </r>
  <r>
    <n v="470"/>
    <x v="469"/>
    <x v="0"/>
    <x v="0"/>
    <x v="0"/>
    <n v="1100"/>
    <n v="1"/>
    <n v="1100"/>
    <n v="1100"/>
  </r>
  <r>
    <n v="471"/>
    <x v="470"/>
    <x v="0"/>
    <x v="5"/>
    <x v="1"/>
    <n v="600"/>
    <n v="1"/>
    <n v="600"/>
    <n v="600"/>
  </r>
  <r>
    <n v="472"/>
    <x v="471"/>
    <x v="0"/>
    <x v="2"/>
    <x v="0"/>
    <n v="900"/>
    <n v="1"/>
    <n v="900"/>
    <n v="900"/>
  </r>
  <r>
    <n v="473"/>
    <x v="472"/>
    <x v="0"/>
    <x v="0"/>
    <x v="0"/>
    <n v="1100"/>
    <n v="1"/>
    <n v="1100"/>
    <n v="1100"/>
  </r>
  <r>
    <n v="474"/>
    <x v="473"/>
    <x v="0"/>
    <x v="5"/>
    <x v="1"/>
    <n v="600"/>
    <n v="1"/>
    <n v="600"/>
    <n v="600"/>
  </r>
  <r>
    <n v="475"/>
    <x v="474"/>
    <x v="0"/>
    <x v="5"/>
    <x v="1"/>
    <n v="600"/>
    <n v="1"/>
    <n v="600"/>
    <n v="600"/>
  </r>
  <r>
    <n v="476"/>
    <x v="475"/>
    <x v="0"/>
    <x v="6"/>
    <x v="2"/>
    <n v="850"/>
    <n v="1"/>
    <n v="850"/>
    <n v="850"/>
  </r>
  <r>
    <n v="477"/>
    <x v="476"/>
    <x v="0"/>
    <x v="5"/>
    <x v="1"/>
    <n v="600"/>
    <n v="1"/>
    <n v="600"/>
    <n v="600"/>
  </r>
  <r>
    <n v="478"/>
    <x v="477"/>
    <x v="0"/>
    <x v="0"/>
    <x v="0"/>
    <n v="1100"/>
    <n v="1"/>
    <n v="1100"/>
    <n v="1100"/>
  </r>
  <r>
    <n v="479"/>
    <x v="478"/>
    <x v="0"/>
    <x v="9"/>
    <x v="3"/>
    <n v="300"/>
    <n v="1"/>
    <n v="300"/>
    <n v="300"/>
  </r>
  <r>
    <n v="480"/>
    <x v="479"/>
    <x v="0"/>
    <x v="9"/>
    <x v="3"/>
    <n v="300"/>
    <n v="1"/>
    <n v="300"/>
    <n v="300"/>
  </r>
  <r>
    <n v="481"/>
    <x v="480"/>
    <x v="0"/>
    <x v="5"/>
    <x v="1"/>
    <n v="600"/>
    <n v="1"/>
    <n v="600"/>
    <n v="600"/>
  </r>
  <r>
    <n v="482"/>
    <x v="481"/>
    <x v="0"/>
    <x v="8"/>
    <x v="3"/>
    <n v="800"/>
    <n v="1"/>
    <n v="800"/>
    <n v="800"/>
  </r>
  <r>
    <n v="483"/>
    <x v="482"/>
    <x v="0"/>
    <x v="5"/>
    <x v="1"/>
    <n v="600"/>
    <n v="1"/>
    <n v="600"/>
    <n v="600"/>
  </r>
  <r>
    <n v="484"/>
    <x v="483"/>
    <x v="0"/>
    <x v="8"/>
    <x v="3"/>
    <n v="500"/>
    <n v="1"/>
    <n v="500"/>
    <n v="500"/>
  </r>
  <r>
    <n v="485"/>
    <x v="484"/>
    <x v="0"/>
    <x v="0"/>
    <x v="0"/>
    <n v="1100"/>
    <n v="1"/>
    <n v="1100"/>
    <n v="1100"/>
  </r>
  <r>
    <n v="486"/>
    <x v="485"/>
    <x v="0"/>
    <x v="5"/>
    <x v="1"/>
    <n v="600"/>
    <n v="1"/>
    <n v="600"/>
    <n v="600"/>
  </r>
  <r>
    <n v="487"/>
    <x v="486"/>
    <x v="0"/>
    <x v="1"/>
    <x v="0"/>
    <n v="900"/>
    <n v="1"/>
    <n v="900"/>
    <n v="765"/>
  </r>
  <r>
    <n v="488"/>
    <x v="487"/>
    <x v="0"/>
    <x v="0"/>
    <x v="0"/>
    <n v="1100"/>
    <n v="1"/>
    <n v="1100"/>
    <n v="1100"/>
  </r>
  <r>
    <n v="489"/>
    <x v="488"/>
    <x v="0"/>
    <x v="7"/>
    <x v="2"/>
    <n v="1200"/>
    <n v="1"/>
    <n v="1200"/>
    <n v="1200"/>
  </r>
  <r>
    <n v="490"/>
    <x v="489"/>
    <x v="0"/>
    <x v="0"/>
    <x v="0"/>
    <n v="1100"/>
    <n v="1"/>
    <n v="1100"/>
    <n v="1100"/>
  </r>
  <r>
    <n v="491"/>
    <x v="490"/>
    <x v="0"/>
    <x v="1"/>
    <x v="0"/>
    <n v="900"/>
    <n v="1"/>
    <n v="900"/>
    <n v="765"/>
  </r>
  <r>
    <n v="492"/>
    <x v="491"/>
    <x v="0"/>
    <x v="8"/>
    <x v="3"/>
    <n v="900"/>
    <n v="1"/>
    <n v="900"/>
    <n v="900"/>
  </r>
  <r>
    <n v="493"/>
    <x v="492"/>
    <x v="0"/>
    <x v="9"/>
    <x v="3"/>
    <n v="600"/>
    <n v="1"/>
    <n v="600"/>
    <n v="600"/>
  </r>
  <r>
    <n v="494"/>
    <x v="493"/>
    <x v="0"/>
    <x v="0"/>
    <x v="0"/>
    <n v="1100"/>
    <n v="1"/>
    <n v="1100"/>
    <n v="1100"/>
  </r>
  <r>
    <n v="495"/>
    <x v="494"/>
    <x v="0"/>
    <x v="0"/>
    <x v="0"/>
    <n v="1100"/>
    <n v="1"/>
    <n v="1100"/>
    <n v="1100"/>
  </r>
  <r>
    <n v="496"/>
    <x v="495"/>
    <x v="0"/>
    <x v="8"/>
    <x v="3"/>
    <n v="500"/>
    <n v="1"/>
    <n v="500"/>
    <n v="500"/>
  </r>
  <r>
    <n v="497"/>
    <x v="496"/>
    <x v="0"/>
    <x v="6"/>
    <x v="2"/>
    <n v="850"/>
    <n v="1"/>
    <n v="850"/>
    <n v="850"/>
  </r>
  <r>
    <n v="498"/>
    <x v="497"/>
    <x v="0"/>
    <x v="0"/>
    <x v="0"/>
    <n v="1100"/>
    <n v="1"/>
    <n v="1100"/>
    <n v="1100"/>
  </r>
  <r>
    <n v="499"/>
    <x v="498"/>
    <x v="0"/>
    <x v="9"/>
    <x v="3"/>
    <n v="300"/>
    <n v="1"/>
    <n v="300"/>
    <n v="300"/>
  </r>
  <r>
    <n v="500"/>
    <x v="499"/>
    <x v="0"/>
    <x v="4"/>
    <x v="1"/>
    <n v="800"/>
    <n v="1"/>
    <n v="800"/>
    <n v="800"/>
  </r>
  <r>
    <n v="501"/>
    <x v="500"/>
    <x v="0"/>
    <x v="1"/>
    <x v="0"/>
    <n v="900"/>
    <n v="1"/>
    <n v="900"/>
    <n v="765"/>
  </r>
  <r>
    <n v="502"/>
    <x v="501"/>
    <x v="0"/>
    <x v="0"/>
    <x v="0"/>
    <n v="1100"/>
    <n v="1"/>
    <n v="1100"/>
    <n v="1100"/>
  </r>
  <r>
    <n v="503"/>
    <x v="502"/>
    <x v="0"/>
    <x v="8"/>
    <x v="3"/>
    <n v="500"/>
    <n v="1"/>
    <n v="500"/>
    <n v="500"/>
  </r>
  <r>
    <n v="504"/>
    <x v="503"/>
    <x v="0"/>
    <x v="5"/>
    <x v="1"/>
    <n v="600"/>
    <n v="1"/>
    <n v="600"/>
    <n v="600"/>
  </r>
  <r>
    <n v="505"/>
    <x v="504"/>
    <x v="0"/>
    <x v="2"/>
    <x v="0"/>
    <n v="900"/>
    <n v="1"/>
    <n v="900"/>
    <n v="900"/>
  </r>
  <r>
    <n v="506"/>
    <x v="505"/>
    <x v="0"/>
    <x v="9"/>
    <x v="3"/>
    <n v="600"/>
    <n v="1"/>
    <n v="600"/>
    <n v="600"/>
  </r>
  <r>
    <n v="507"/>
    <x v="506"/>
    <x v="0"/>
    <x v="5"/>
    <x v="1"/>
    <n v="600"/>
    <n v="1"/>
    <n v="600"/>
    <n v="600"/>
  </r>
  <r>
    <n v="508"/>
    <x v="507"/>
    <x v="0"/>
    <x v="0"/>
    <x v="0"/>
    <n v="1100"/>
    <n v="1"/>
    <n v="1100"/>
    <n v="1100"/>
  </r>
  <r>
    <n v="509"/>
    <x v="508"/>
    <x v="0"/>
    <x v="0"/>
    <x v="0"/>
    <n v="1100"/>
    <n v="2"/>
    <n v="2200"/>
    <n v="2200"/>
  </r>
  <r>
    <n v="510"/>
    <x v="509"/>
    <x v="0"/>
    <x v="0"/>
    <x v="0"/>
    <n v="1100"/>
    <n v="1"/>
    <n v="1100"/>
    <n v="1100"/>
  </r>
  <r>
    <n v="511"/>
    <x v="510"/>
    <x v="0"/>
    <x v="6"/>
    <x v="2"/>
    <n v="850"/>
    <n v="1"/>
    <n v="850"/>
    <n v="850"/>
  </r>
  <r>
    <n v="512"/>
    <x v="511"/>
    <x v="0"/>
    <x v="0"/>
    <x v="0"/>
    <n v="1100"/>
    <n v="1"/>
    <n v="1100"/>
    <n v="1100"/>
  </r>
  <r>
    <n v="513"/>
    <x v="512"/>
    <x v="0"/>
    <x v="1"/>
    <x v="0"/>
    <n v="900"/>
    <n v="1"/>
    <n v="900"/>
    <n v="765"/>
  </r>
  <r>
    <n v="514"/>
    <x v="513"/>
    <x v="0"/>
    <x v="2"/>
    <x v="0"/>
    <n v="900"/>
    <n v="1"/>
    <n v="900"/>
    <n v="900"/>
  </r>
  <r>
    <n v="515"/>
    <x v="514"/>
    <x v="0"/>
    <x v="1"/>
    <x v="0"/>
    <n v="900"/>
    <n v="1"/>
    <n v="900"/>
    <n v="765"/>
  </r>
  <r>
    <n v="516"/>
    <x v="515"/>
    <x v="0"/>
    <x v="3"/>
    <x v="0"/>
    <n v="1000"/>
    <n v="1"/>
    <n v="1000"/>
    <n v="1000"/>
  </r>
  <r>
    <n v="517"/>
    <x v="516"/>
    <x v="0"/>
    <x v="7"/>
    <x v="2"/>
    <n v="1200"/>
    <n v="1"/>
    <n v="1200"/>
    <n v="1200"/>
  </r>
  <r>
    <n v="518"/>
    <x v="517"/>
    <x v="0"/>
    <x v="2"/>
    <x v="0"/>
    <n v="900"/>
    <n v="1"/>
    <n v="900"/>
    <n v="900"/>
  </r>
  <r>
    <n v="519"/>
    <x v="518"/>
    <x v="0"/>
    <x v="5"/>
    <x v="1"/>
    <n v="600"/>
    <n v="1"/>
    <n v="600"/>
    <n v="600"/>
  </r>
  <r>
    <n v="520"/>
    <x v="519"/>
    <x v="0"/>
    <x v="9"/>
    <x v="3"/>
    <n v="600"/>
    <n v="1"/>
    <n v="600"/>
    <n v="600"/>
  </r>
  <r>
    <n v="521"/>
    <x v="520"/>
    <x v="0"/>
    <x v="4"/>
    <x v="1"/>
    <n v="800"/>
    <n v="1"/>
    <n v="800"/>
    <n v="800"/>
  </r>
  <r>
    <n v="522"/>
    <x v="521"/>
    <x v="0"/>
    <x v="9"/>
    <x v="3"/>
    <n v="600"/>
    <n v="1"/>
    <n v="600"/>
    <n v="600"/>
  </r>
  <r>
    <n v="523"/>
    <x v="522"/>
    <x v="0"/>
    <x v="0"/>
    <x v="0"/>
    <n v="1100"/>
    <n v="1"/>
    <n v="1100"/>
    <n v="1100"/>
  </r>
  <r>
    <n v="524"/>
    <x v="523"/>
    <x v="0"/>
    <x v="0"/>
    <x v="0"/>
    <n v="1100"/>
    <n v="1"/>
    <n v="1100"/>
    <n v="1100"/>
  </r>
  <r>
    <n v="525"/>
    <x v="524"/>
    <x v="0"/>
    <x v="6"/>
    <x v="2"/>
    <n v="850"/>
    <n v="1"/>
    <n v="850"/>
    <n v="850"/>
  </r>
  <r>
    <n v="526"/>
    <x v="525"/>
    <x v="0"/>
    <x v="0"/>
    <x v="0"/>
    <n v="1100"/>
    <n v="1"/>
    <n v="1100"/>
    <n v="1100"/>
  </r>
  <r>
    <n v="527"/>
    <x v="526"/>
    <x v="0"/>
    <x v="0"/>
    <x v="0"/>
    <n v="1100"/>
    <n v="2"/>
    <n v="2200"/>
    <n v="2200"/>
  </r>
  <r>
    <n v="528"/>
    <x v="527"/>
    <x v="0"/>
    <x v="9"/>
    <x v="3"/>
    <n v="300"/>
    <n v="1"/>
    <n v="300"/>
    <n v="300"/>
  </r>
  <r>
    <n v="529"/>
    <x v="528"/>
    <x v="0"/>
    <x v="5"/>
    <x v="1"/>
    <n v="600"/>
    <n v="1"/>
    <n v="600"/>
    <n v="600"/>
  </r>
  <r>
    <n v="530"/>
    <x v="529"/>
    <x v="0"/>
    <x v="5"/>
    <x v="1"/>
    <n v="600"/>
    <n v="1"/>
    <n v="600"/>
    <n v="600"/>
  </r>
  <r>
    <n v="531"/>
    <x v="530"/>
    <x v="0"/>
    <x v="0"/>
    <x v="0"/>
    <n v="1100"/>
    <n v="1"/>
    <n v="1100"/>
    <n v="1100"/>
  </r>
  <r>
    <n v="532"/>
    <x v="531"/>
    <x v="0"/>
    <x v="2"/>
    <x v="0"/>
    <n v="900"/>
    <n v="1"/>
    <n v="900"/>
    <n v="900"/>
  </r>
  <r>
    <n v="533"/>
    <x v="532"/>
    <x v="0"/>
    <x v="1"/>
    <x v="0"/>
    <n v="900"/>
    <n v="1"/>
    <n v="900"/>
    <n v="765"/>
  </r>
  <r>
    <n v="534"/>
    <x v="533"/>
    <x v="0"/>
    <x v="1"/>
    <x v="0"/>
    <n v="900"/>
    <n v="1"/>
    <n v="900"/>
    <n v="765"/>
  </r>
  <r>
    <n v="535"/>
    <x v="534"/>
    <x v="0"/>
    <x v="0"/>
    <x v="0"/>
    <n v="1100"/>
    <n v="1"/>
    <n v="1100"/>
    <n v="1100"/>
  </r>
  <r>
    <n v="536"/>
    <x v="535"/>
    <x v="0"/>
    <x v="9"/>
    <x v="3"/>
    <n v="600"/>
    <n v="2"/>
    <n v="1200"/>
    <n v="1200"/>
  </r>
  <r>
    <n v="537"/>
    <x v="536"/>
    <x v="0"/>
    <x v="6"/>
    <x v="2"/>
    <n v="850"/>
    <n v="1"/>
    <n v="850"/>
    <n v="850"/>
  </r>
  <r>
    <n v="538"/>
    <x v="537"/>
    <x v="0"/>
    <x v="1"/>
    <x v="0"/>
    <n v="900"/>
    <n v="1"/>
    <n v="900"/>
    <n v="765"/>
  </r>
  <r>
    <n v="539"/>
    <x v="538"/>
    <x v="0"/>
    <x v="5"/>
    <x v="1"/>
    <n v="600"/>
    <n v="1"/>
    <n v="600"/>
    <n v="600"/>
  </r>
  <r>
    <n v="540"/>
    <x v="539"/>
    <x v="0"/>
    <x v="5"/>
    <x v="1"/>
    <n v="600"/>
    <n v="1"/>
    <n v="600"/>
    <n v="600"/>
  </r>
  <r>
    <n v="541"/>
    <x v="540"/>
    <x v="0"/>
    <x v="0"/>
    <x v="0"/>
    <n v="1100"/>
    <n v="1"/>
    <n v="1100"/>
    <n v="1100"/>
  </r>
  <r>
    <n v="542"/>
    <x v="541"/>
    <x v="0"/>
    <x v="0"/>
    <x v="0"/>
    <n v="1100"/>
    <n v="1"/>
    <n v="1100"/>
    <n v="1100"/>
  </r>
  <r>
    <n v="543"/>
    <x v="542"/>
    <x v="0"/>
    <x v="0"/>
    <x v="0"/>
    <n v="1100"/>
    <n v="1"/>
    <n v="1100"/>
    <n v="1100"/>
  </r>
  <r>
    <n v="544"/>
    <x v="543"/>
    <x v="0"/>
    <x v="0"/>
    <x v="0"/>
    <n v="1100"/>
    <n v="1"/>
    <n v="1100"/>
    <n v="1100"/>
  </r>
  <r>
    <n v="545"/>
    <x v="544"/>
    <x v="0"/>
    <x v="1"/>
    <x v="0"/>
    <n v="1100"/>
    <n v="1"/>
    <n v="1100"/>
    <n v="935"/>
  </r>
  <r>
    <n v="546"/>
    <x v="545"/>
    <x v="0"/>
    <x v="1"/>
    <x v="0"/>
    <n v="1100"/>
    <n v="1"/>
    <n v="1100"/>
    <n v="935"/>
  </r>
  <r>
    <n v="547"/>
    <x v="546"/>
    <x v="0"/>
    <x v="1"/>
    <x v="0"/>
    <n v="1100"/>
    <n v="1"/>
    <n v="1100"/>
    <n v="935"/>
  </r>
  <r>
    <n v="548"/>
    <x v="547"/>
    <x v="0"/>
    <x v="1"/>
    <x v="0"/>
    <n v="1100"/>
    <n v="2"/>
    <n v="2200"/>
    <n v="1870"/>
  </r>
  <r>
    <n v="549"/>
    <x v="548"/>
    <x v="0"/>
    <x v="1"/>
    <x v="0"/>
    <n v="1100"/>
    <n v="1"/>
    <n v="1100"/>
    <n v="935"/>
  </r>
  <r>
    <n v="550"/>
    <x v="549"/>
    <x v="0"/>
    <x v="1"/>
    <x v="0"/>
    <n v="1100"/>
    <n v="1"/>
    <n v="1100"/>
    <n v="935"/>
  </r>
  <r>
    <n v="551"/>
    <x v="550"/>
    <x v="0"/>
    <x v="1"/>
    <x v="0"/>
    <n v="900"/>
    <n v="1"/>
    <n v="900"/>
    <n v="765"/>
  </r>
  <r>
    <n v="552"/>
    <x v="551"/>
    <x v="0"/>
    <x v="1"/>
    <x v="0"/>
    <n v="900"/>
    <n v="1"/>
    <n v="900"/>
    <n v="765"/>
  </r>
  <r>
    <n v="553"/>
    <x v="552"/>
    <x v="0"/>
    <x v="1"/>
    <x v="0"/>
    <n v="900"/>
    <n v="1"/>
    <n v="900"/>
    <n v="765"/>
  </r>
  <r>
    <n v="554"/>
    <x v="553"/>
    <x v="0"/>
    <x v="1"/>
    <x v="0"/>
    <n v="900"/>
    <n v="2"/>
    <n v="1800"/>
    <n v="1530"/>
  </r>
  <r>
    <n v="555"/>
    <x v="554"/>
    <x v="0"/>
    <x v="1"/>
    <x v="0"/>
    <n v="900"/>
    <n v="1"/>
    <n v="900"/>
    <n v="765"/>
  </r>
  <r>
    <n v="556"/>
    <x v="555"/>
    <x v="0"/>
    <x v="1"/>
    <x v="0"/>
    <n v="900"/>
    <n v="1"/>
    <n v="900"/>
    <n v="765"/>
  </r>
  <r>
    <n v="557"/>
    <x v="556"/>
    <x v="0"/>
    <x v="1"/>
    <x v="0"/>
    <n v="1100"/>
    <n v="1"/>
    <n v="1100"/>
    <n v="935"/>
  </r>
  <r>
    <n v="558"/>
    <x v="557"/>
    <x v="1"/>
    <x v="1"/>
    <x v="0"/>
    <n v="900"/>
    <n v="1"/>
    <n v="900"/>
    <n v="765"/>
  </r>
  <r>
    <n v="559"/>
    <x v="558"/>
    <x v="1"/>
    <x v="1"/>
    <x v="0"/>
    <n v="1100"/>
    <n v="2"/>
    <n v="2200"/>
    <n v="1870"/>
  </r>
  <r>
    <n v="560"/>
    <x v="559"/>
    <x v="1"/>
    <x v="1"/>
    <x v="0"/>
    <n v="1100"/>
    <n v="1"/>
    <n v="1100"/>
    <n v="935"/>
  </r>
  <r>
    <n v="561"/>
    <x v="560"/>
    <x v="1"/>
    <x v="1"/>
    <x v="0"/>
    <n v="900"/>
    <n v="1"/>
    <n v="900"/>
    <n v="765"/>
  </r>
  <r>
    <n v="562"/>
    <x v="561"/>
    <x v="1"/>
    <x v="1"/>
    <x v="0"/>
    <n v="900"/>
    <n v="1"/>
    <n v="900"/>
    <n v="765"/>
  </r>
  <r>
    <n v="563"/>
    <x v="562"/>
    <x v="1"/>
    <x v="2"/>
    <x v="0"/>
    <n v="900"/>
    <n v="1"/>
    <n v="900"/>
    <n v="900"/>
  </r>
  <r>
    <n v="564"/>
    <x v="563"/>
    <x v="1"/>
    <x v="1"/>
    <x v="0"/>
    <n v="1100"/>
    <n v="1"/>
    <n v="1100"/>
    <n v="935"/>
  </r>
  <r>
    <n v="565"/>
    <x v="564"/>
    <x v="1"/>
    <x v="1"/>
    <x v="0"/>
    <n v="1100"/>
    <n v="1"/>
    <n v="1100"/>
    <n v="935"/>
  </r>
  <r>
    <n v="566"/>
    <x v="565"/>
    <x v="1"/>
    <x v="2"/>
    <x v="0"/>
    <n v="900"/>
    <n v="1"/>
    <n v="900"/>
    <n v="900"/>
  </r>
  <r>
    <n v="567"/>
    <x v="566"/>
    <x v="0"/>
    <x v="1"/>
    <x v="0"/>
    <n v="900"/>
    <n v="1"/>
    <n v="900"/>
    <n v="765"/>
  </r>
  <r>
    <n v="568"/>
    <x v="567"/>
    <x v="0"/>
    <x v="2"/>
    <x v="0"/>
    <n v="900"/>
    <n v="1"/>
    <n v="900"/>
    <n v="900"/>
  </r>
  <r>
    <n v="569"/>
    <x v="568"/>
    <x v="0"/>
    <x v="1"/>
    <x v="0"/>
    <n v="1100"/>
    <n v="1"/>
    <n v="1100"/>
    <n v="935"/>
  </r>
  <r>
    <n v="570"/>
    <x v="569"/>
    <x v="0"/>
    <x v="1"/>
    <x v="0"/>
    <n v="1100"/>
    <n v="1"/>
    <n v="1100"/>
    <n v="935"/>
  </r>
  <r>
    <n v="571"/>
    <x v="570"/>
    <x v="0"/>
    <x v="2"/>
    <x v="0"/>
    <n v="900"/>
    <n v="1"/>
    <n v="900"/>
    <n v="900"/>
  </r>
  <r>
    <n v="572"/>
    <x v="571"/>
    <x v="0"/>
    <x v="2"/>
    <x v="0"/>
    <n v="900"/>
    <n v="1"/>
    <n v="900"/>
    <n v="900"/>
  </r>
  <r>
    <n v="573"/>
    <x v="572"/>
    <x v="0"/>
    <x v="2"/>
    <x v="0"/>
    <n v="900"/>
    <n v="1"/>
    <n v="900"/>
    <n v="900"/>
  </r>
  <r>
    <n v="574"/>
    <x v="573"/>
    <x v="0"/>
    <x v="2"/>
    <x v="0"/>
    <n v="900"/>
    <n v="1"/>
    <n v="900"/>
    <n v="900"/>
  </r>
  <r>
    <n v="575"/>
    <x v="574"/>
    <x v="0"/>
    <x v="2"/>
    <x v="0"/>
    <n v="900"/>
    <n v="1"/>
    <n v="900"/>
    <n v="900"/>
  </r>
  <r>
    <n v="576"/>
    <x v="575"/>
    <x v="0"/>
    <x v="1"/>
    <x v="0"/>
    <n v="900"/>
    <n v="1"/>
    <n v="900"/>
    <n v="765"/>
  </r>
  <r>
    <n v="577"/>
    <x v="576"/>
    <x v="0"/>
    <x v="1"/>
    <x v="0"/>
    <n v="900"/>
    <n v="1"/>
    <n v="900"/>
    <n v="765"/>
  </r>
  <r>
    <n v="578"/>
    <x v="577"/>
    <x v="0"/>
    <x v="1"/>
    <x v="0"/>
    <n v="900"/>
    <n v="1"/>
    <n v="900"/>
    <n v="765"/>
  </r>
  <r>
    <n v="579"/>
    <x v="578"/>
    <x v="0"/>
    <x v="1"/>
    <x v="0"/>
    <n v="1100"/>
    <n v="1"/>
    <n v="1100"/>
    <n v="935"/>
  </r>
  <r>
    <n v="580"/>
    <x v="579"/>
    <x v="0"/>
    <x v="1"/>
    <x v="0"/>
    <n v="1100"/>
    <n v="1"/>
    <n v="1100"/>
    <n v="935"/>
  </r>
  <r>
    <n v="581"/>
    <x v="580"/>
    <x v="0"/>
    <x v="3"/>
    <x v="0"/>
    <n v="1000"/>
    <n v="1"/>
    <n v="1000"/>
    <n v="1000"/>
  </r>
  <r>
    <n v="582"/>
    <x v="581"/>
    <x v="0"/>
    <x v="3"/>
    <x v="0"/>
    <n v="1000"/>
    <n v="1"/>
    <n v="1000"/>
    <n v="1000"/>
  </r>
  <r>
    <n v="583"/>
    <x v="582"/>
    <x v="0"/>
    <x v="1"/>
    <x v="0"/>
    <n v="1100"/>
    <n v="1"/>
    <n v="1100"/>
    <n v="935"/>
  </r>
  <r>
    <n v="584"/>
    <x v="583"/>
    <x v="0"/>
    <x v="3"/>
    <x v="0"/>
    <n v="1000"/>
    <n v="1"/>
    <n v="1000"/>
    <n v="1000"/>
  </r>
  <r>
    <n v="585"/>
    <x v="584"/>
    <x v="0"/>
    <x v="1"/>
    <x v="0"/>
    <n v="900"/>
    <n v="1"/>
    <n v="900"/>
    <n v="765"/>
  </r>
  <r>
    <n v="586"/>
    <x v="585"/>
    <x v="0"/>
    <x v="1"/>
    <x v="0"/>
    <n v="900"/>
    <n v="2"/>
    <n v="1800"/>
    <n v="1530"/>
  </r>
  <r>
    <n v="587"/>
    <x v="586"/>
    <x v="0"/>
    <x v="1"/>
    <x v="0"/>
    <n v="1100"/>
    <n v="1"/>
    <n v="1100"/>
    <n v="935"/>
  </r>
  <r>
    <n v="588"/>
    <x v="587"/>
    <x v="0"/>
    <x v="1"/>
    <x v="0"/>
    <n v="900"/>
    <n v="1"/>
    <n v="900"/>
    <n v="765"/>
  </r>
  <r>
    <n v="589"/>
    <x v="588"/>
    <x v="0"/>
    <x v="1"/>
    <x v="0"/>
    <n v="1100"/>
    <n v="1"/>
    <n v="1100"/>
    <n v="935"/>
  </r>
  <r>
    <n v="590"/>
    <x v="589"/>
    <x v="0"/>
    <x v="4"/>
    <x v="1"/>
    <n v="800"/>
    <n v="1"/>
    <n v="800"/>
    <n v="800"/>
  </r>
  <r>
    <n v="591"/>
    <x v="590"/>
    <x v="0"/>
    <x v="4"/>
    <x v="1"/>
    <n v="800"/>
    <n v="2"/>
    <n v="1600"/>
    <n v="1600"/>
  </r>
  <r>
    <n v="592"/>
    <x v="591"/>
    <x v="0"/>
    <x v="2"/>
    <x v="0"/>
    <n v="900"/>
    <n v="1"/>
    <n v="900"/>
    <n v="900"/>
  </r>
  <r>
    <n v="593"/>
    <x v="592"/>
    <x v="0"/>
    <x v="1"/>
    <x v="0"/>
    <n v="1100"/>
    <n v="1"/>
    <n v="1100"/>
    <n v="935"/>
  </r>
  <r>
    <n v="594"/>
    <x v="593"/>
    <x v="0"/>
    <x v="4"/>
    <x v="1"/>
    <n v="800"/>
    <n v="1"/>
    <n v="800"/>
    <n v="800"/>
  </r>
  <r>
    <n v="595"/>
    <x v="594"/>
    <x v="0"/>
    <x v="3"/>
    <x v="0"/>
    <n v="1000"/>
    <n v="1"/>
    <n v="1000"/>
    <n v="1000"/>
  </r>
  <r>
    <n v="596"/>
    <x v="595"/>
    <x v="0"/>
    <x v="4"/>
    <x v="1"/>
    <n v="800"/>
    <n v="1"/>
    <n v="800"/>
    <n v="800"/>
  </r>
  <r>
    <n v="597"/>
    <x v="596"/>
    <x v="0"/>
    <x v="5"/>
    <x v="1"/>
    <n v="600"/>
    <n v="1"/>
    <n v="600"/>
    <n v="600"/>
  </r>
  <r>
    <n v="598"/>
    <x v="597"/>
    <x v="0"/>
    <x v="1"/>
    <x v="0"/>
    <n v="900"/>
    <n v="1"/>
    <n v="900"/>
    <n v="765"/>
  </r>
  <r>
    <n v="599"/>
    <x v="598"/>
    <x v="0"/>
    <x v="1"/>
    <x v="0"/>
    <n v="1100"/>
    <n v="1"/>
    <n v="1100"/>
    <n v="935"/>
  </r>
  <r>
    <n v="600"/>
    <x v="599"/>
    <x v="0"/>
    <x v="3"/>
    <x v="0"/>
    <n v="1000"/>
    <n v="1"/>
    <n v="1000"/>
    <n v="1000"/>
  </r>
  <r>
    <n v="601"/>
    <x v="600"/>
    <x v="0"/>
    <x v="1"/>
    <x v="0"/>
    <n v="900"/>
    <n v="1"/>
    <n v="900"/>
    <n v="765"/>
  </r>
  <r>
    <n v="602"/>
    <x v="601"/>
    <x v="0"/>
    <x v="1"/>
    <x v="0"/>
    <n v="1100"/>
    <n v="2"/>
    <n v="2200"/>
    <n v="1870"/>
  </r>
  <r>
    <n v="603"/>
    <x v="602"/>
    <x v="0"/>
    <x v="5"/>
    <x v="1"/>
    <n v="600"/>
    <n v="1"/>
    <n v="600"/>
    <n v="600"/>
  </r>
  <r>
    <n v="604"/>
    <x v="603"/>
    <x v="0"/>
    <x v="5"/>
    <x v="1"/>
    <n v="600"/>
    <n v="1"/>
    <n v="600"/>
    <n v="600"/>
  </r>
  <r>
    <n v="605"/>
    <x v="604"/>
    <x v="0"/>
    <x v="5"/>
    <x v="1"/>
    <n v="600"/>
    <n v="1"/>
    <n v="600"/>
    <n v="600"/>
  </r>
  <r>
    <n v="606"/>
    <x v="605"/>
    <x v="0"/>
    <x v="1"/>
    <x v="0"/>
    <n v="900"/>
    <n v="1"/>
    <n v="900"/>
    <n v="765"/>
  </r>
  <r>
    <n v="607"/>
    <x v="606"/>
    <x v="0"/>
    <x v="5"/>
    <x v="1"/>
    <n v="600"/>
    <n v="1"/>
    <n v="600"/>
    <n v="600"/>
  </r>
  <r>
    <n v="608"/>
    <x v="607"/>
    <x v="0"/>
    <x v="5"/>
    <x v="1"/>
    <n v="600"/>
    <n v="1"/>
    <n v="600"/>
    <n v="600"/>
  </r>
  <r>
    <n v="609"/>
    <x v="608"/>
    <x v="0"/>
    <x v="1"/>
    <x v="0"/>
    <n v="1100"/>
    <n v="1"/>
    <n v="1100"/>
    <n v="935"/>
  </r>
  <r>
    <n v="610"/>
    <x v="609"/>
    <x v="0"/>
    <x v="2"/>
    <x v="0"/>
    <n v="900"/>
    <n v="3"/>
    <n v="2700"/>
    <n v="2700"/>
  </r>
  <r>
    <n v="611"/>
    <x v="610"/>
    <x v="0"/>
    <x v="1"/>
    <x v="0"/>
    <n v="1100"/>
    <n v="2"/>
    <n v="2200"/>
    <n v="1870"/>
  </r>
  <r>
    <n v="612"/>
    <x v="611"/>
    <x v="0"/>
    <x v="1"/>
    <x v="0"/>
    <n v="1100"/>
    <n v="1"/>
    <n v="1100"/>
    <n v="935"/>
  </r>
  <r>
    <n v="613"/>
    <x v="612"/>
    <x v="0"/>
    <x v="5"/>
    <x v="1"/>
    <n v="600"/>
    <n v="1"/>
    <n v="600"/>
    <n v="600"/>
  </r>
  <r>
    <n v="614"/>
    <x v="613"/>
    <x v="0"/>
    <x v="1"/>
    <x v="0"/>
    <n v="900"/>
    <n v="1"/>
    <n v="900"/>
    <n v="765"/>
  </r>
  <r>
    <n v="615"/>
    <x v="614"/>
    <x v="0"/>
    <x v="5"/>
    <x v="1"/>
    <n v="600"/>
    <n v="1"/>
    <n v="600"/>
    <n v="600"/>
  </r>
  <r>
    <n v="616"/>
    <x v="615"/>
    <x v="0"/>
    <x v="5"/>
    <x v="1"/>
    <n v="600"/>
    <n v="1"/>
    <n v="600"/>
    <n v="600"/>
  </r>
  <r>
    <n v="617"/>
    <x v="616"/>
    <x v="0"/>
    <x v="1"/>
    <x v="0"/>
    <n v="900"/>
    <n v="3"/>
    <n v="2700"/>
    <n v="2295"/>
  </r>
  <r>
    <n v="618"/>
    <x v="617"/>
    <x v="0"/>
    <x v="5"/>
    <x v="1"/>
    <n v="600"/>
    <n v="1"/>
    <n v="600"/>
    <n v="600"/>
  </r>
  <r>
    <n v="619"/>
    <x v="618"/>
    <x v="0"/>
    <x v="4"/>
    <x v="1"/>
    <n v="800"/>
    <n v="1"/>
    <n v="800"/>
    <n v="800"/>
  </r>
  <r>
    <n v="620"/>
    <x v="619"/>
    <x v="0"/>
    <x v="5"/>
    <x v="1"/>
    <n v="600"/>
    <n v="1"/>
    <n v="600"/>
    <n v="600"/>
  </r>
  <r>
    <n v="621"/>
    <x v="620"/>
    <x v="0"/>
    <x v="1"/>
    <x v="0"/>
    <n v="1100"/>
    <n v="1"/>
    <n v="1100"/>
    <n v="935"/>
  </r>
  <r>
    <n v="622"/>
    <x v="621"/>
    <x v="0"/>
    <x v="2"/>
    <x v="0"/>
    <n v="900"/>
    <n v="1"/>
    <n v="900"/>
    <n v="900"/>
  </r>
  <r>
    <n v="623"/>
    <x v="622"/>
    <x v="0"/>
    <x v="1"/>
    <x v="0"/>
    <n v="1100"/>
    <n v="1"/>
    <n v="1100"/>
    <n v="935"/>
  </r>
  <r>
    <n v="624"/>
    <x v="623"/>
    <x v="0"/>
    <x v="1"/>
    <x v="0"/>
    <n v="1100"/>
    <n v="1"/>
    <n v="1100"/>
    <n v="935"/>
  </r>
  <r>
    <n v="625"/>
    <x v="624"/>
    <x v="0"/>
    <x v="1"/>
    <x v="0"/>
    <n v="1100"/>
    <n v="1"/>
    <n v="1100"/>
    <n v="935"/>
  </r>
  <r>
    <n v="626"/>
    <x v="625"/>
    <x v="0"/>
    <x v="3"/>
    <x v="0"/>
    <n v="1000"/>
    <n v="1"/>
    <n v="1000"/>
    <n v="1000"/>
  </r>
  <r>
    <n v="627"/>
    <x v="626"/>
    <x v="0"/>
    <x v="5"/>
    <x v="1"/>
    <n v="600"/>
    <n v="1"/>
    <n v="600"/>
    <n v="600"/>
  </r>
  <r>
    <n v="628"/>
    <x v="627"/>
    <x v="0"/>
    <x v="4"/>
    <x v="1"/>
    <n v="800"/>
    <n v="1"/>
    <n v="800"/>
    <n v="800"/>
  </r>
  <r>
    <n v="629"/>
    <x v="628"/>
    <x v="0"/>
    <x v="1"/>
    <x v="0"/>
    <n v="1100"/>
    <n v="1"/>
    <n v="1100"/>
    <n v="935"/>
  </r>
  <r>
    <n v="630"/>
    <x v="629"/>
    <x v="0"/>
    <x v="5"/>
    <x v="1"/>
    <n v="600"/>
    <n v="1"/>
    <n v="600"/>
    <n v="600"/>
  </r>
  <r>
    <n v="631"/>
    <x v="630"/>
    <x v="0"/>
    <x v="6"/>
    <x v="2"/>
    <n v="850"/>
    <n v="1"/>
    <n v="850"/>
    <n v="850"/>
  </r>
  <r>
    <n v="632"/>
    <x v="631"/>
    <x v="0"/>
    <x v="2"/>
    <x v="0"/>
    <n v="900"/>
    <n v="1"/>
    <n v="900"/>
    <n v="900"/>
  </r>
  <r>
    <n v="633"/>
    <x v="632"/>
    <x v="0"/>
    <x v="3"/>
    <x v="0"/>
    <n v="1000"/>
    <n v="1"/>
    <n v="1000"/>
    <n v="1000"/>
  </r>
  <r>
    <n v="634"/>
    <x v="633"/>
    <x v="0"/>
    <x v="6"/>
    <x v="2"/>
    <n v="850"/>
    <n v="1"/>
    <n v="850"/>
    <n v="850"/>
  </r>
  <r>
    <n v="635"/>
    <x v="634"/>
    <x v="0"/>
    <x v="6"/>
    <x v="2"/>
    <n v="850"/>
    <n v="1"/>
    <n v="850"/>
    <n v="850"/>
  </r>
  <r>
    <n v="636"/>
    <x v="635"/>
    <x v="0"/>
    <x v="3"/>
    <x v="0"/>
    <n v="1000"/>
    <n v="1"/>
    <n v="1000"/>
    <n v="1000"/>
  </r>
  <r>
    <n v="637"/>
    <x v="636"/>
    <x v="0"/>
    <x v="4"/>
    <x v="1"/>
    <n v="800"/>
    <n v="1"/>
    <n v="800"/>
    <n v="800"/>
  </r>
  <r>
    <n v="638"/>
    <x v="637"/>
    <x v="0"/>
    <x v="1"/>
    <x v="0"/>
    <n v="1100"/>
    <n v="1"/>
    <n v="1100"/>
    <n v="935"/>
  </r>
  <r>
    <n v="639"/>
    <x v="638"/>
    <x v="0"/>
    <x v="1"/>
    <x v="0"/>
    <n v="1100"/>
    <n v="1"/>
    <n v="1100"/>
    <n v="935"/>
  </r>
  <r>
    <n v="640"/>
    <x v="639"/>
    <x v="0"/>
    <x v="1"/>
    <x v="0"/>
    <n v="1100"/>
    <n v="1"/>
    <n v="1100"/>
    <n v="935"/>
  </r>
  <r>
    <n v="641"/>
    <x v="640"/>
    <x v="0"/>
    <x v="1"/>
    <x v="0"/>
    <n v="1100"/>
    <n v="1"/>
    <n v="1100"/>
    <n v="935"/>
  </r>
  <r>
    <n v="642"/>
    <x v="641"/>
    <x v="0"/>
    <x v="1"/>
    <x v="0"/>
    <n v="1100"/>
    <n v="1"/>
    <n v="1100"/>
    <n v="935"/>
  </r>
  <r>
    <n v="643"/>
    <x v="642"/>
    <x v="0"/>
    <x v="1"/>
    <x v="0"/>
    <n v="1100"/>
    <n v="1"/>
    <n v="1100"/>
    <n v="935"/>
  </r>
  <r>
    <n v="644"/>
    <x v="643"/>
    <x v="0"/>
    <x v="1"/>
    <x v="0"/>
    <n v="1100"/>
    <n v="2"/>
    <n v="2200"/>
    <n v="1870"/>
  </r>
  <r>
    <n v="645"/>
    <x v="644"/>
    <x v="0"/>
    <x v="1"/>
    <x v="0"/>
    <n v="1100"/>
    <n v="1"/>
    <n v="1100"/>
    <n v="935"/>
  </r>
  <r>
    <n v="646"/>
    <x v="645"/>
    <x v="0"/>
    <x v="1"/>
    <x v="0"/>
    <n v="1100"/>
    <n v="1"/>
    <n v="1100"/>
    <n v="935"/>
  </r>
  <r>
    <n v="647"/>
    <x v="646"/>
    <x v="0"/>
    <x v="1"/>
    <x v="0"/>
    <n v="900"/>
    <n v="1"/>
    <n v="900"/>
    <n v="765"/>
  </r>
  <r>
    <n v="648"/>
    <x v="647"/>
    <x v="0"/>
    <x v="1"/>
    <x v="0"/>
    <n v="900"/>
    <n v="1"/>
    <n v="900"/>
    <n v="765"/>
  </r>
  <r>
    <n v="649"/>
    <x v="648"/>
    <x v="0"/>
    <x v="1"/>
    <x v="0"/>
    <n v="900"/>
    <n v="1"/>
    <n v="900"/>
    <n v="765"/>
  </r>
  <r>
    <n v="650"/>
    <x v="649"/>
    <x v="0"/>
    <x v="1"/>
    <x v="0"/>
    <n v="900"/>
    <n v="2"/>
    <n v="1800"/>
    <n v="1530"/>
  </r>
  <r>
    <n v="651"/>
    <x v="650"/>
    <x v="0"/>
    <x v="1"/>
    <x v="0"/>
    <n v="900"/>
    <n v="1"/>
    <n v="900"/>
    <n v="765"/>
  </r>
  <r>
    <n v="652"/>
    <x v="651"/>
    <x v="0"/>
    <x v="1"/>
    <x v="0"/>
    <n v="900"/>
    <n v="1"/>
    <n v="900"/>
    <n v="765"/>
  </r>
  <r>
    <n v="653"/>
    <x v="652"/>
    <x v="0"/>
    <x v="1"/>
    <x v="0"/>
    <n v="1100"/>
    <n v="1"/>
    <n v="1100"/>
    <n v="935"/>
  </r>
  <r>
    <n v="654"/>
    <x v="653"/>
    <x v="0"/>
    <x v="1"/>
    <x v="0"/>
    <n v="900"/>
    <n v="1"/>
    <n v="900"/>
    <n v="765"/>
  </r>
  <r>
    <n v="655"/>
    <x v="654"/>
    <x v="0"/>
    <x v="1"/>
    <x v="0"/>
    <n v="1100"/>
    <n v="2"/>
    <n v="2200"/>
    <n v="1870"/>
  </r>
  <r>
    <n v="656"/>
    <x v="655"/>
    <x v="0"/>
    <x v="1"/>
    <x v="0"/>
    <n v="1100"/>
    <n v="1"/>
    <n v="1100"/>
    <n v="935"/>
  </r>
  <r>
    <n v="657"/>
    <x v="656"/>
    <x v="0"/>
    <x v="1"/>
    <x v="0"/>
    <n v="900"/>
    <n v="1"/>
    <n v="900"/>
    <n v="765"/>
  </r>
  <r>
    <n v="658"/>
    <x v="657"/>
    <x v="0"/>
    <x v="1"/>
    <x v="0"/>
    <n v="900"/>
    <n v="1"/>
    <n v="900"/>
    <n v="765"/>
  </r>
  <r>
    <n v="659"/>
    <x v="658"/>
    <x v="0"/>
    <x v="2"/>
    <x v="0"/>
    <n v="900"/>
    <n v="1"/>
    <n v="900"/>
    <n v="900"/>
  </r>
  <r>
    <n v="660"/>
    <x v="659"/>
    <x v="0"/>
    <x v="1"/>
    <x v="0"/>
    <n v="1100"/>
    <n v="1"/>
    <n v="1100"/>
    <n v="935"/>
  </r>
  <r>
    <n v="661"/>
    <x v="660"/>
    <x v="0"/>
    <x v="1"/>
    <x v="0"/>
    <n v="1100"/>
    <n v="1"/>
    <n v="1100"/>
    <n v="935"/>
  </r>
  <r>
    <n v="662"/>
    <x v="661"/>
    <x v="0"/>
    <x v="2"/>
    <x v="0"/>
    <n v="900"/>
    <n v="1"/>
    <n v="900"/>
    <n v="900"/>
  </r>
  <r>
    <n v="663"/>
    <x v="662"/>
    <x v="0"/>
    <x v="1"/>
    <x v="0"/>
    <n v="900"/>
    <n v="1"/>
    <n v="900"/>
    <n v="765"/>
  </r>
  <r>
    <n v="664"/>
    <x v="663"/>
    <x v="0"/>
    <x v="2"/>
    <x v="0"/>
    <n v="900"/>
    <n v="1"/>
    <n v="900"/>
    <n v="900"/>
  </r>
  <r>
    <n v="665"/>
    <x v="664"/>
    <x v="0"/>
    <x v="1"/>
    <x v="0"/>
    <n v="1100"/>
    <n v="1"/>
    <n v="1100"/>
    <n v="935"/>
  </r>
  <r>
    <n v="666"/>
    <x v="665"/>
    <x v="0"/>
    <x v="1"/>
    <x v="0"/>
    <n v="1100"/>
    <n v="1"/>
    <n v="1100"/>
    <n v="935"/>
  </r>
  <r>
    <n v="667"/>
    <x v="666"/>
    <x v="0"/>
    <x v="2"/>
    <x v="0"/>
    <n v="900"/>
    <n v="1"/>
    <n v="900"/>
    <n v="900"/>
  </r>
  <r>
    <n v="668"/>
    <x v="667"/>
    <x v="0"/>
    <x v="2"/>
    <x v="0"/>
    <n v="900"/>
    <n v="1"/>
    <n v="900"/>
    <n v="900"/>
  </r>
  <r>
    <n v="669"/>
    <x v="668"/>
    <x v="0"/>
    <x v="2"/>
    <x v="0"/>
    <n v="900"/>
    <n v="1"/>
    <n v="900"/>
    <n v="900"/>
  </r>
  <r>
    <n v="670"/>
    <x v="669"/>
    <x v="0"/>
    <x v="2"/>
    <x v="0"/>
    <n v="900"/>
    <n v="1"/>
    <n v="900"/>
    <n v="900"/>
  </r>
  <r>
    <n v="671"/>
    <x v="670"/>
    <x v="0"/>
    <x v="2"/>
    <x v="0"/>
    <n v="900"/>
    <n v="1"/>
    <n v="900"/>
    <n v="900"/>
  </r>
  <r>
    <n v="672"/>
    <x v="671"/>
    <x v="0"/>
    <x v="1"/>
    <x v="0"/>
    <n v="900"/>
    <n v="1"/>
    <n v="900"/>
    <n v="765"/>
  </r>
  <r>
    <n v="673"/>
    <x v="672"/>
    <x v="0"/>
    <x v="1"/>
    <x v="0"/>
    <n v="900"/>
    <n v="1"/>
    <n v="900"/>
    <n v="765"/>
  </r>
  <r>
    <n v="674"/>
    <x v="673"/>
    <x v="0"/>
    <x v="1"/>
    <x v="0"/>
    <n v="900"/>
    <n v="1"/>
    <n v="900"/>
    <n v="765"/>
  </r>
  <r>
    <n v="675"/>
    <x v="674"/>
    <x v="0"/>
    <x v="1"/>
    <x v="0"/>
    <n v="1100"/>
    <n v="1"/>
    <n v="1100"/>
    <n v="935"/>
  </r>
  <r>
    <n v="676"/>
    <x v="675"/>
    <x v="0"/>
    <x v="1"/>
    <x v="0"/>
    <n v="1100"/>
    <n v="1"/>
    <n v="1100"/>
    <n v="935"/>
  </r>
  <r>
    <n v="677"/>
    <x v="676"/>
    <x v="0"/>
    <x v="3"/>
    <x v="0"/>
    <n v="1000"/>
    <n v="1"/>
    <n v="1000"/>
    <n v="1000"/>
  </r>
  <r>
    <n v="678"/>
    <x v="677"/>
    <x v="0"/>
    <x v="3"/>
    <x v="0"/>
    <n v="1000"/>
    <n v="1"/>
    <n v="1000"/>
    <n v="1000"/>
  </r>
  <r>
    <n v="679"/>
    <x v="678"/>
    <x v="0"/>
    <x v="1"/>
    <x v="0"/>
    <n v="1100"/>
    <n v="1"/>
    <n v="1100"/>
    <n v="935"/>
  </r>
  <r>
    <n v="680"/>
    <x v="679"/>
    <x v="0"/>
    <x v="3"/>
    <x v="0"/>
    <n v="1000"/>
    <n v="1"/>
    <n v="1000"/>
    <n v="1000"/>
  </r>
  <r>
    <n v="681"/>
    <x v="680"/>
    <x v="0"/>
    <x v="1"/>
    <x v="0"/>
    <n v="900"/>
    <n v="1"/>
    <n v="900"/>
    <n v="765"/>
  </r>
  <r>
    <n v="682"/>
    <x v="681"/>
    <x v="0"/>
    <x v="1"/>
    <x v="0"/>
    <n v="900"/>
    <n v="2"/>
    <n v="1800"/>
    <n v="1530"/>
  </r>
  <r>
    <n v="683"/>
    <x v="682"/>
    <x v="0"/>
    <x v="1"/>
    <x v="0"/>
    <n v="1100"/>
    <n v="1"/>
    <n v="1100"/>
    <n v="935"/>
  </r>
  <r>
    <n v="684"/>
    <x v="683"/>
    <x v="0"/>
    <x v="1"/>
    <x v="0"/>
    <n v="900"/>
    <n v="1"/>
    <n v="900"/>
    <n v="765"/>
  </r>
  <r>
    <n v="685"/>
    <x v="684"/>
    <x v="0"/>
    <x v="1"/>
    <x v="0"/>
    <n v="1100"/>
    <n v="1"/>
    <n v="1100"/>
    <n v="935"/>
  </r>
  <r>
    <n v="686"/>
    <x v="685"/>
    <x v="0"/>
    <x v="4"/>
    <x v="1"/>
    <n v="800"/>
    <n v="1"/>
    <n v="800"/>
    <n v="800"/>
  </r>
  <r>
    <n v="687"/>
    <x v="686"/>
    <x v="0"/>
    <x v="4"/>
    <x v="1"/>
    <n v="800"/>
    <n v="2"/>
    <n v="1600"/>
    <n v="1600"/>
  </r>
  <r>
    <n v="688"/>
    <x v="687"/>
    <x v="0"/>
    <x v="2"/>
    <x v="0"/>
    <n v="900"/>
    <n v="1"/>
    <n v="900"/>
    <n v="900"/>
  </r>
  <r>
    <n v="689"/>
    <x v="688"/>
    <x v="0"/>
    <x v="1"/>
    <x v="0"/>
    <n v="1100"/>
    <n v="1"/>
    <n v="1100"/>
    <n v="935"/>
  </r>
  <r>
    <n v="690"/>
    <x v="689"/>
    <x v="0"/>
    <x v="4"/>
    <x v="1"/>
    <n v="800"/>
    <n v="1"/>
    <n v="800"/>
    <n v="800"/>
  </r>
  <r>
    <n v="691"/>
    <x v="690"/>
    <x v="0"/>
    <x v="3"/>
    <x v="0"/>
    <n v="1000"/>
    <n v="1"/>
    <n v="1000"/>
    <n v="1000"/>
  </r>
  <r>
    <n v="692"/>
    <x v="691"/>
    <x v="0"/>
    <x v="4"/>
    <x v="1"/>
    <n v="800"/>
    <n v="1"/>
    <n v="800"/>
    <n v="800"/>
  </r>
  <r>
    <n v="693"/>
    <x v="692"/>
    <x v="0"/>
    <x v="5"/>
    <x v="1"/>
    <n v="600"/>
    <n v="1"/>
    <n v="600"/>
    <n v="600"/>
  </r>
  <r>
    <n v="694"/>
    <x v="693"/>
    <x v="0"/>
    <x v="1"/>
    <x v="0"/>
    <n v="900"/>
    <n v="1"/>
    <n v="900"/>
    <n v="765"/>
  </r>
  <r>
    <n v="695"/>
    <x v="694"/>
    <x v="0"/>
    <x v="1"/>
    <x v="0"/>
    <n v="1100"/>
    <n v="1"/>
    <n v="1100"/>
    <n v="935"/>
  </r>
  <r>
    <n v="696"/>
    <x v="695"/>
    <x v="0"/>
    <x v="3"/>
    <x v="0"/>
    <n v="1000"/>
    <n v="1"/>
    <n v="1000"/>
    <n v="1000"/>
  </r>
  <r>
    <n v="697"/>
    <x v="696"/>
    <x v="0"/>
    <x v="1"/>
    <x v="0"/>
    <n v="900"/>
    <n v="1"/>
    <n v="900"/>
    <n v="765"/>
  </r>
  <r>
    <n v="698"/>
    <x v="697"/>
    <x v="0"/>
    <x v="1"/>
    <x v="0"/>
    <n v="1100"/>
    <n v="2"/>
    <n v="2200"/>
    <n v="1870"/>
  </r>
  <r>
    <n v="699"/>
    <x v="698"/>
    <x v="0"/>
    <x v="5"/>
    <x v="1"/>
    <n v="600"/>
    <n v="1"/>
    <n v="600"/>
    <n v="600"/>
  </r>
  <r>
    <n v="700"/>
    <x v="699"/>
    <x v="0"/>
    <x v="5"/>
    <x v="1"/>
    <n v="600"/>
    <n v="1"/>
    <n v="600"/>
    <n v="600"/>
  </r>
  <r>
    <n v="701"/>
    <x v="700"/>
    <x v="0"/>
    <x v="5"/>
    <x v="1"/>
    <n v="600"/>
    <n v="1"/>
    <n v="600"/>
    <n v="600"/>
  </r>
  <r>
    <n v="702"/>
    <x v="701"/>
    <x v="0"/>
    <x v="1"/>
    <x v="0"/>
    <n v="900"/>
    <n v="1"/>
    <n v="900"/>
    <n v="765"/>
  </r>
  <r>
    <n v="703"/>
    <x v="702"/>
    <x v="0"/>
    <x v="5"/>
    <x v="1"/>
    <n v="600"/>
    <n v="1"/>
    <n v="600"/>
    <n v="600"/>
  </r>
  <r>
    <n v="704"/>
    <x v="703"/>
    <x v="0"/>
    <x v="5"/>
    <x v="1"/>
    <n v="600"/>
    <n v="1"/>
    <n v="600"/>
    <n v="600"/>
  </r>
  <r>
    <n v="705"/>
    <x v="704"/>
    <x v="0"/>
    <x v="1"/>
    <x v="0"/>
    <n v="1100"/>
    <n v="1"/>
    <n v="1100"/>
    <n v="935"/>
  </r>
  <r>
    <n v="706"/>
    <x v="705"/>
    <x v="0"/>
    <x v="2"/>
    <x v="0"/>
    <n v="900"/>
    <n v="3"/>
    <n v="2700"/>
    <n v="2700"/>
  </r>
  <r>
    <n v="707"/>
    <x v="706"/>
    <x v="0"/>
    <x v="0"/>
    <x v="0"/>
    <n v="1100"/>
    <n v="2"/>
    <n v="2200"/>
    <n v="2200"/>
  </r>
  <r>
    <n v="708"/>
    <x v="707"/>
    <x v="0"/>
    <x v="0"/>
    <x v="0"/>
    <n v="1100"/>
    <n v="1"/>
    <n v="1100"/>
    <n v="1100"/>
  </r>
  <r>
    <n v="709"/>
    <x v="708"/>
    <x v="0"/>
    <x v="5"/>
    <x v="1"/>
    <n v="600"/>
    <n v="1"/>
    <n v="600"/>
    <n v="600"/>
  </r>
  <r>
    <n v="710"/>
    <x v="709"/>
    <x v="0"/>
    <x v="1"/>
    <x v="0"/>
    <n v="900"/>
    <n v="1"/>
    <n v="900"/>
    <n v="765"/>
  </r>
  <r>
    <n v="711"/>
    <x v="710"/>
    <x v="0"/>
    <x v="5"/>
    <x v="1"/>
    <n v="600"/>
    <n v="1"/>
    <n v="600"/>
    <n v="600"/>
  </r>
  <r>
    <n v="712"/>
    <x v="711"/>
    <x v="0"/>
    <x v="5"/>
    <x v="1"/>
    <n v="600"/>
    <n v="1"/>
    <n v="600"/>
    <n v="600"/>
  </r>
  <r>
    <n v="713"/>
    <x v="712"/>
    <x v="1"/>
    <x v="1"/>
    <x v="0"/>
    <n v="900"/>
    <n v="3"/>
    <n v="2700"/>
    <n v="2295"/>
  </r>
  <r>
    <n v="714"/>
    <x v="713"/>
    <x v="1"/>
    <x v="5"/>
    <x v="1"/>
    <n v="600"/>
    <n v="1"/>
    <n v="600"/>
    <n v="600"/>
  </r>
  <r>
    <n v="715"/>
    <x v="714"/>
    <x v="1"/>
    <x v="4"/>
    <x v="1"/>
    <n v="800"/>
    <n v="1"/>
    <n v="800"/>
    <n v="800"/>
  </r>
  <r>
    <n v="716"/>
    <x v="715"/>
    <x v="1"/>
    <x v="5"/>
    <x v="1"/>
    <n v="600"/>
    <n v="1"/>
    <n v="600"/>
    <n v="600"/>
  </r>
  <r>
    <n v="717"/>
    <x v="716"/>
    <x v="1"/>
    <x v="0"/>
    <x v="0"/>
    <n v="1100"/>
    <n v="1"/>
    <n v="1100"/>
    <n v="1100"/>
  </r>
  <r>
    <n v="718"/>
    <x v="717"/>
    <x v="1"/>
    <x v="2"/>
    <x v="0"/>
    <n v="900"/>
    <n v="1"/>
    <n v="900"/>
    <n v="900"/>
  </r>
  <r>
    <n v="719"/>
    <x v="718"/>
    <x v="1"/>
    <x v="0"/>
    <x v="0"/>
    <n v="1100"/>
    <n v="1"/>
    <n v="1100"/>
    <n v="1100"/>
  </r>
  <r>
    <n v="720"/>
    <x v="719"/>
    <x v="1"/>
    <x v="0"/>
    <x v="0"/>
    <n v="1100"/>
    <n v="1"/>
    <n v="1100"/>
    <n v="1100"/>
  </r>
  <r>
    <n v="721"/>
    <x v="720"/>
    <x v="1"/>
    <x v="0"/>
    <x v="0"/>
    <n v="1100"/>
    <n v="1"/>
    <n v="1100"/>
    <n v="1100"/>
  </r>
  <r>
    <n v="722"/>
    <x v="721"/>
    <x v="0"/>
    <x v="3"/>
    <x v="0"/>
    <n v="1000"/>
    <n v="1"/>
    <n v="1000"/>
    <n v="1000"/>
  </r>
  <r>
    <n v="723"/>
    <x v="722"/>
    <x v="0"/>
    <x v="5"/>
    <x v="1"/>
    <n v="600"/>
    <n v="1"/>
    <n v="600"/>
    <n v="600"/>
  </r>
  <r>
    <n v="724"/>
    <x v="723"/>
    <x v="0"/>
    <x v="4"/>
    <x v="1"/>
    <n v="800"/>
    <n v="1"/>
    <n v="800"/>
    <n v="800"/>
  </r>
  <r>
    <n v="725"/>
    <x v="724"/>
    <x v="0"/>
    <x v="0"/>
    <x v="0"/>
    <n v="1100"/>
    <n v="1"/>
    <n v="1100"/>
    <n v="1100"/>
  </r>
  <r>
    <n v="726"/>
    <x v="725"/>
    <x v="0"/>
    <x v="5"/>
    <x v="1"/>
    <n v="600"/>
    <n v="1"/>
    <n v="600"/>
    <n v="600"/>
  </r>
  <r>
    <n v="727"/>
    <x v="726"/>
    <x v="0"/>
    <x v="6"/>
    <x v="2"/>
    <n v="850"/>
    <n v="1"/>
    <n v="850"/>
    <n v="850"/>
  </r>
  <r>
    <n v="728"/>
    <x v="727"/>
    <x v="0"/>
    <x v="2"/>
    <x v="0"/>
    <n v="900"/>
    <n v="1"/>
    <n v="900"/>
    <n v="900"/>
  </r>
  <r>
    <n v="729"/>
    <x v="728"/>
    <x v="0"/>
    <x v="3"/>
    <x v="0"/>
    <n v="1000"/>
    <n v="1"/>
    <n v="1000"/>
    <n v="1000"/>
  </r>
  <r>
    <n v="730"/>
    <x v="729"/>
    <x v="0"/>
    <x v="6"/>
    <x v="2"/>
    <n v="850"/>
    <n v="1"/>
    <n v="850"/>
    <n v="850"/>
  </r>
  <r>
    <n v="731"/>
    <x v="730"/>
    <x v="0"/>
    <x v="6"/>
    <x v="2"/>
    <n v="850"/>
    <n v="1"/>
    <n v="850"/>
    <n v="850"/>
  </r>
  <r>
    <n v="732"/>
    <x v="731"/>
    <x v="0"/>
    <x v="3"/>
    <x v="0"/>
    <n v="1000"/>
    <n v="1"/>
    <n v="1000"/>
    <n v="1000"/>
  </r>
  <r>
    <n v="733"/>
    <x v="732"/>
    <x v="0"/>
    <x v="4"/>
    <x v="1"/>
    <n v="800"/>
    <n v="1"/>
    <n v="800"/>
    <n v="800"/>
  </r>
  <r>
    <n v="734"/>
    <x v="733"/>
    <x v="0"/>
    <x v="5"/>
    <x v="1"/>
    <n v="600"/>
    <n v="1"/>
    <n v="600"/>
    <n v="600"/>
  </r>
  <r>
    <n v="735"/>
    <x v="734"/>
    <x v="0"/>
    <x v="4"/>
    <x v="1"/>
    <n v="800"/>
    <n v="1"/>
    <n v="800"/>
    <n v="800"/>
  </r>
  <r>
    <n v="736"/>
    <x v="735"/>
    <x v="0"/>
    <x v="0"/>
    <x v="0"/>
    <n v="1100"/>
    <n v="1"/>
    <n v="1100"/>
    <n v="1100"/>
  </r>
  <r>
    <n v="737"/>
    <x v="736"/>
    <x v="0"/>
    <x v="6"/>
    <x v="2"/>
    <n v="850"/>
    <n v="1"/>
    <n v="850"/>
    <n v="850"/>
  </r>
  <r>
    <n v="738"/>
    <x v="737"/>
    <x v="0"/>
    <x v="6"/>
    <x v="2"/>
    <n v="850"/>
    <n v="1"/>
    <n v="850"/>
    <n v="850"/>
  </r>
  <r>
    <n v="739"/>
    <x v="738"/>
    <x v="0"/>
    <x v="6"/>
    <x v="2"/>
    <n v="850"/>
    <n v="1"/>
    <n v="850"/>
    <n v="850"/>
  </r>
  <r>
    <n v="740"/>
    <x v="739"/>
    <x v="0"/>
    <x v="5"/>
    <x v="1"/>
    <n v="600"/>
    <n v="1"/>
    <n v="600"/>
    <n v="600"/>
  </r>
  <r>
    <n v="741"/>
    <x v="740"/>
    <x v="0"/>
    <x v="6"/>
    <x v="2"/>
    <n v="850"/>
    <n v="1"/>
    <n v="850"/>
    <n v="850"/>
  </r>
  <r>
    <n v="742"/>
    <x v="741"/>
    <x v="0"/>
    <x v="6"/>
    <x v="2"/>
    <n v="850"/>
    <n v="1"/>
    <n v="850"/>
    <n v="850"/>
  </r>
  <r>
    <n v="743"/>
    <x v="742"/>
    <x v="0"/>
    <x v="0"/>
    <x v="0"/>
    <n v="1100"/>
    <n v="1"/>
    <n v="1100"/>
    <n v="1100"/>
  </r>
  <r>
    <n v="744"/>
    <x v="743"/>
    <x v="0"/>
    <x v="3"/>
    <x v="0"/>
    <n v="1000"/>
    <n v="1"/>
    <n v="1000"/>
    <n v="1000"/>
  </r>
  <r>
    <n v="745"/>
    <x v="744"/>
    <x v="0"/>
    <x v="0"/>
    <x v="0"/>
    <n v="1100"/>
    <n v="1"/>
    <n v="1100"/>
    <n v="1100"/>
  </r>
  <r>
    <n v="746"/>
    <x v="745"/>
    <x v="0"/>
    <x v="5"/>
    <x v="1"/>
    <n v="600"/>
    <n v="1"/>
    <n v="600"/>
    <n v="600"/>
  </r>
  <r>
    <n v="747"/>
    <x v="746"/>
    <x v="0"/>
    <x v="5"/>
    <x v="1"/>
    <n v="600"/>
    <n v="2"/>
    <n v="1200"/>
    <n v="1200"/>
  </r>
  <r>
    <n v="748"/>
    <x v="747"/>
    <x v="0"/>
    <x v="5"/>
    <x v="1"/>
    <n v="600"/>
    <n v="1"/>
    <n v="600"/>
    <n v="600"/>
  </r>
  <r>
    <n v="749"/>
    <x v="748"/>
    <x v="0"/>
    <x v="5"/>
    <x v="1"/>
    <n v="600"/>
    <n v="1"/>
    <n v="600"/>
    <n v="600"/>
  </r>
  <r>
    <n v="750"/>
    <x v="749"/>
    <x v="0"/>
    <x v="0"/>
    <x v="0"/>
    <n v="1100"/>
    <n v="1"/>
    <n v="1100"/>
    <n v="1100"/>
  </r>
  <r>
    <n v="751"/>
    <x v="750"/>
    <x v="0"/>
    <x v="2"/>
    <x v="0"/>
    <n v="900"/>
    <n v="1"/>
    <n v="900"/>
    <n v="900"/>
  </r>
  <r>
    <n v="752"/>
    <x v="751"/>
    <x v="0"/>
    <x v="5"/>
    <x v="1"/>
    <n v="600"/>
    <n v="1"/>
    <n v="600"/>
    <n v="600"/>
  </r>
  <r>
    <n v="753"/>
    <x v="752"/>
    <x v="0"/>
    <x v="2"/>
    <x v="0"/>
    <n v="900"/>
    <n v="1"/>
    <n v="900"/>
    <n v="900"/>
  </r>
  <r>
    <n v="754"/>
    <x v="753"/>
    <x v="0"/>
    <x v="1"/>
    <x v="0"/>
    <n v="900"/>
    <n v="1"/>
    <n v="900"/>
    <n v="765"/>
  </r>
  <r>
    <n v="755"/>
    <x v="754"/>
    <x v="0"/>
    <x v="5"/>
    <x v="1"/>
    <n v="600"/>
    <n v="1"/>
    <n v="600"/>
    <n v="600"/>
  </r>
  <r>
    <n v="756"/>
    <x v="755"/>
    <x v="0"/>
    <x v="5"/>
    <x v="1"/>
    <n v="600"/>
    <n v="1"/>
    <n v="600"/>
    <n v="600"/>
  </r>
  <r>
    <n v="757"/>
    <x v="756"/>
    <x v="0"/>
    <x v="5"/>
    <x v="1"/>
    <n v="600"/>
    <n v="1"/>
    <n v="600"/>
    <n v="600"/>
  </r>
  <r>
    <n v="758"/>
    <x v="757"/>
    <x v="0"/>
    <x v="0"/>
    <x v="0"/>
    <n v="1100"/>
    <n v="1"/>
    <n v="1100"/>
    <n v="1100"/>
  </r>
  <r>
    <n v="759"/>
    <x v="758"/>
    <x v="0"/>
    <x v="5"/>
    <x v="1"/>
    <n v="600"/>
    <n v="1"/>
    <n v="600"/>
    <n v="600"/>
  </r>
  <r>
    <n v="760"/>
    <x v="759"/>
    <x v="0"/>
    <x v="5"/>
    <x v="1"/>
    <n v="600"/>
    <n v="1"/>
    <n v="600"/>
    <n v="600"/>
  </r>
  <r>
    <n v="761"/>
    <x v="760"/>
    <x v="0"/>
    <x v="5"/>
    <x v="1"/>
    <n v="600"/>
    <n v="1"/>
    <n v="600"/>
    <n v="600"/>
  </r>
  <r>
    <n v="762"/>
    <x v="761"/>
    <x v="0"/>
    <x v="1"/>
    <x v="0"/>
    <n v="900"/>
    <n v="1"/>
    <n v="900"/>
    <n v="765"/>
  </r>
  <r>
    <n v="763"/>
    <x v="762"/>
    <x v="0"/>
    <x v="5"/>
    <x v="1"/>
    <n v="600"/>
    <n v="1"/>
    <n v="600"/>
    <n v="600"/>
  </r>
  <r>
    <n v="764"/>
    <x v="763"/>
    <x v="0"/>
    <x v="2"/>
    <x v="0"/>
    <n v="900"/>
    <n v="1"/>
    <n v="900"/>
    <n v="900"/>
  </r>
  <r>
    <n v="765"/>
    <x v="764"/>
    <x v="0"/>
    <x v="7"/>
    <x v="2"/>
    <n v="1200"/>
    <n v="1"/>
    <n v="1200"/>
    <n v="1200"/>
  </r>
  <r>
    <n v="766"/>
    <x v="765"/>
    <x v="0"/>
    <x v="0"/>
    <x v="0"/>
    <n v="1100"/>
    <n v="1"/>
    <n v="1100"/>
    <n v="1100"/>
  </r>
  <r>
    <n v="767"/>
    <x v="766"/>
    <x v="0"/>
    <x v="0"/>
    <x v="0"/>
    <n v="1100"/>
    <n v="1"/>
    <n v="1100"/>
    <n v="1100"/>
  </r>
  <r>
    <n v="768"/>
    <x v="767"/>
    <x v="0"/>
    <x v="5"/>
    <x v="1"/>
    <n v="600"/>
    <n v="1"/>
    <n v="600"/>
    <n v="600"/>
  </r>
  <r>
    <n v="769"/>
    <x v="768"/>
    <x v="0"/>
    <x v="5"/>
    <x v="1"/>
    <n v="600"/>
    <n v="2"/>
    <n v="1200"/>
    <n v="1200"/>
  </r>
  <r>
    <n v="770"/>
    <x v="769"/>
    <x v="0"/>
    <x v="7"/>
    <x v="2"/>
    <n v="1200"/>
    <n v="1"/>
    <n v="1200"/>
    <n v="1200"/>
  </r>
  <r>
    <n v="771"/>
    <x v="770"/>
    <x v="0"/>
    <x v="7"/>
    <x v="2"/>
    <n v="1200"/>
    <n v="1"/>
    <n v="1200"/>
    <n v="1200"/>
  </r>
  <r>
    <n v="772"/>
    <x v="771"/>
    <x v="0"/>
    <x v="3"/>
    <x v="0"/>
    <n v="1000"/>
    <n v="1"/>
    <n v="1000"/>
    <n v="1000"/>
  </r>
  <r>
    <n v="773"/>
    <x v="772"/>
    <x v="0"/>
    <x v="4"/>
    <x v="1"/>
    <n v="800"/>
    <n v="2"/>
    <n v="1600"/>
    <n v="1600"/>
  </r>
  <r>
    <n v="774"/>
    <x v="773"/>
    <x v="0"/>
    <x v="7"/>
    <x v="2"/>
    <n v="1200"/>
    <n v="1"/>
    <n v="1200"/>
    <n v="1200"/>
  </r>
  <r>
    <n v="775"/>
    <x v="774"/>
    <x v="0"/>
    <x v="2"/>
    <x v="0"/>
    <n v="900"/>
    <n v="1"/>
    <n v="900"/>
    <n v="900"/>
  </r>
  <r>
    <n v="776"/>
    <x v="775"/>
    <x v="0"/>
    <x v="3"/>
    <x v="0"/>
    <n v="1000"/>
    <n v="1"/>
    <n v="1000"/>
    <n v="1000"/>
  </r>
  <r>
    <n v="777"/>
    <x v="776"/>
    <x v="0"/>
    <x v="4"/>
    <x v="1"/>
    <n v="800"/>
    <n v="1"/>
    <n v="800"/>
    <n v="800"/>
  </r>
  <r>
    <n v="778"/>
    <x v="777"/>
    <x v="0"/>
    <x v="7"/>
    <x v="2"/>
    <n v="1200"/>
    <n v="1"/>
    <n v="1200"/>
    <n v="1200"/>
  </r>
  <r>
    <n v="779"/>
    <x v="778"/>
    <x v="0"/>
    <x v="7"/>
    <x v="2"/>
    <n v="1200"/>
    <n v="1"/>
    <n v="1200"/>
    <n v="1200"/>
  </r>
  <r>
    <n v="780"/>
    <x v="779"/>
    <x v="0"/>
    <x v="4"/>
    <x v="1"/>
    <n v="800"/>
    <n v="2"/>
    <n v="1600"/>
    <n v="1600"/>
  </r>
  <r>
    <n v="781"/>
    <x v="780"/>
    <x v="0"/>
    <x v="1"/>
    <x v="0"/>
    <n v="900"/>
    <n v="1"/>
    <n v="900"/>
    <n v="765"/>
  </r>
  <r>
    <n v="782"/>
    <x v="781"/>
    <x v="0"/>
    <x v="3"/>
    <x v="0"/>
    <n v="1000"/>
    <n v="1"/>
    <n v="1000"/>
    <n v="1000"/>
  </r>
  <r>
    <n v="783"/>
    <x v="782"/>
    <x v="0"/>
    <x v="3"/>
    <x v="0"/>
    <n v="1000"/>
    <n v="1"/>
    <n v="1000"/>
    <n v="1000"/>
  </r>
  <r>
    <n v="784"/>
    <x v="783"/>
    <x v="0"/>
    <x v="5"/>
    <x v="1"/>
    <n v="600"/>
    <n v="1"/>
    <n v="600"/>
    <n v="600"/>
  </r>
  <r>
    <n v="785"/>
    <x v="784"/>
    <x v="0"/>
    <x v="6"/>
    <x v="2"/>
    <n v="850"/>
    <n v="1"/>
    <n v="850"/>
    <n v="850"/>
  </r>
  <r>
    <n v="786"/>
    <x v="785"/>
    <x v="0"/>
    <x v="5"/>
    <x v="1"/>
    <n v="600"/>
    <n v="1"/>
    <n v="600"/>
    <n v="600"/>
  </r>
  <r>
    <n v="787"/>
    <x v="786"/>
    <x v="0"/>
    <x v="6"/>
    <x v="2"/>
    <n v="850"/>
    <n v="1"/>
    <n v="850"/>
    <n v="850"/>
  </r>
  <r>
    <n v="788"/>
    <x v="787"/>
    <x v="0"/>
    <x v="6"/>
    <x v="2"/>
    <n v="850"/>
    <n v="1"/>
    <n v="850"/>
    <n v="850"/>
  </r>
  <r>
    <n v="789"/>
    <x v="788"/>
    <x v="0"/>
    <x v="1"/>
    <x v="0"/>
    <n v="900"/>
    <n v="1"/>
    <n v="900"/>
    <n v="765"/>
  </r>
  <r>
    <n v="790"/>
    <x v="789"/>
    <x v="0"/>
    <x v="7"/>
    <x v="2"/>
    <n v="1200"/>
    <n v="2"/>
    <n v="2400"/>
    <n v="2400"/>
  </r>
  <r>
    <n v="791"/>
    <x v="790"/>
    <x v="0"/>
    <x v="4"/>
    <x v="1"/>
    <n v="800"/>
    <n v="1"/>
    <n v="800"/>
    <n v="800"/>
  </r>
  <r>
    <n v="792"/>
    <x v="791"/>
    <x v="0"/>
    <x v="4"/>
    <x v="1"/>
    <n v="800"/>
    <n v="1"/>
    <n v="800"/>
    <n v="800"/>
  </r>
  <r>
    <n v="793"/>
    <x v="792"/>
    <x v="0"/>
    <x v="2"/>
    <x v="0"/>
    <n v="900"/>
    <n v="1"/>
    <n v="900"/>
    <n v="900"/>
  </r>
  <r>
    <n v="794"/>
    <x v="793"/>
    <x v="0"/>
    <x v="4"/>
    <x v="1"/>
    <n v="800"/>
    <n v="1"/>
    <n v="800"/>
    <n v="800"/>
  </r>
  <r>
    <n v="795"/>
    <x v="794"/>
    <x v="0"/>
    <x v="5"/>
    <x v="1"/>
    <n v="600"/>
    <n v="1"/>
    <n v="600"/>
    <n v="600"/>
  </r>
  <r>
    <n v="796"/>
    <x v="795"/>
    <x v="0"/>
    <x v="1"/>
    <x v="0"/>
    <n v="900"/>
    <n v="3"/>
    <n v="2700"/>
    <n v="2295"/>
  </r>
  <r>
    <n v="797"/>
    <x v="796"/>
    <x v="0"/>
    <x v="5"/>
    <x v="1"/>
    <n v="600"/>
    <n v="1"/>
    <n v="600"/>
    <n v="600"/>
  </r>
  <r>
    <n v="798"/>
    <x v="797"/>
    <x v="0"/>
    <x v="4"/>
    <x v="1"/>
    <n v="800"/>
    <n v="1"/>
    <n v="800"/>
    <n v="800"/>
  </r>
  <r>
    <n v="799"/>
    <x v="798"/>
    <x v="0"/>
    <x v="5"/>
    <x v="1"/>
    <n v="600"/>
    <n v="1"/>
    <n v="600"/>
    <n v="600"/>
  </r>
  <r>
    <n v="800"/>
    <x v="799"/>
    <x v="0"/>
    <x v="0"/>
    <x v="0"/>
    <n v="1100"/>
    <n v="1"/>
    <n v="1100"/>
    <n v="1100"/>
  </r>
  <r>
    <n v="801"/>
    <x v="800"/>
    <x v="0"/>
    <x v="2"/>
    <x v="0"/>
    <n v="900"/>
    <n v="1"/>
    <n v="900"/>
    <n v="900"/>
  </r>
  <r>
    <n v="802"/>
    <x v="801"/>
    <x v="0"/>
    <x v="0"/>
    <x v="0"/>
    <n v="1100"/>
    <n v="1"/>
    <n v="1100"/>
    <n v="1100"/>
  </r>
  <r>
    <n v="803"/>
    <x v="802"/>
    <x v="0"/>
    <x v="0"/>
    <x v="0"/>
    <n v="1100"/>
    <n v="1"/>
    <n v="1100"/>
    <n v="1100"/>
  </r>
  <r>
    <n v="804"/>
    <x v="803"/>
    <x v="0"/>
    <x v="7"/>
    <x v="2"/>
    <n v="1200"/>
    <n v="1"/>
    <n v="1200"/>
    <n v="1200"/>
  </r>
  <r>
    <n v="805"/>
    <x v="804"/>
    <x v="0"/>
    <x v="7"/>
    <x v="2"/>
    <n v="1200"/>
    <n v="1"/>
    <n v="1200"/>
    <n v="1200"/>
  </r>
  <r>
    <n v="806"/>
    <x v="805"/>
    <x v="0"/>
    <x v="0"/>
    <x v="0"/>
    <n v="1100"/>
    <n v="1"/>
    <n v="1100"/>
    <n v="1100"/>
  </r>
  <r>
    <n v="807"/>
    <x v="806"/>
    <x v="0"/>
    <x v="0"/>
    <x v="0"/>
    <n v="1100"/>
    <n v="1"/>
    <n v="1100"/>
    <n v="1100"/>
  </r>
  <r>
    <n v="808"/>
    <x v="807"/>
    <x v="0"/>
    <x v="8"/>
    <x v="3"/>
    <n v="900"/>
    <n v="1"/>
    <n v="900"/>
    <n v="900"/>
  </r>
  <r>
    <n v="809"/>
    <x v="808"/>
    <x v="0"/>
    <x v="2"/>
    <x v="0"/>
    <n v="900"/>
    <n v="1"/>
    <n v="900"/>
    <n v="900"/>
  </r>
  <r>
    <n v="810"/>
    <x v="809"/>
    <x v="0"/>
    <x v="8"/>
    <x v="3"/>
    <n v="800"/>
    <n v="1"/>
    <n v="800"/>
    <n v="800"/>
  </r>
  <r>
    <n v="811"/>
    <x v="810"/>
    <x v="0"/>
    <x v="5"/>
    <x v="1"/>
    <n v="600"/>
    <n v="1"/>
    <n v="600"/>
    <n v="600"/>
  </r>
  <r>
    <n v="812"/>
    <x v="811"/>
    <x v="0"/>
    <x v="8"/>
    <x v="3"/>
    <n v="800"/>
    <n v="1"/>
    <n v="800"/>
    <n v="800"/>
  </r>
  <r>
    <n v="813"/>
    <x v="812"/>
    <x v="0"/>
    <x v="2"/>
    <x v="0"/>
    <n v="900"/>
    <n v="1"/>
    <n v="900"/>
    <n v="900"/>
  </r>
  <r>
    <n v="814"/>
    <x v="813"/>
    <x v="0"/>
    <x v="7"/>
    <x v="2"/>
    <n v="1200"/>
    <n v="1"/>
    <n v="1200"/>
    <n v="1200"/>
  </r>
  <r>
    <n v="815"/>
    <x v="814"/>
    <x v="0"/>
    <x v="8"/>
    <x v="3"/>
    <n v="800"/>
    <n v="1"/>
    <n v="800"/>
    <n v="800"/>
  </r>
  <r>
    <n v="816"/>
    <x v="815"/>
    <x v="0"/>
    <x v="1"/>
    <x v="0"/>
    <n v="900"/>
    <n v="1"/>
    <n v="900"/>
    <n v="765"/>
  </r>
  <r>
    <n v="817"/>
    <x v="816"/>
    <x v="0"/>
    <x v="7"/>
    <x v="2"/>
    <n v="1200"/>
    <n v="1"/>
    <n v="1200"/>
    <n v="1200"/>
  </r>
  <r>
    <n v="818"/>
    <x v="817"/>
    <x v="0"/>
    <x v="0"/>
    <x v="0"/>
    <n v="1100"/>
    <n v="1"/>
    <n v="1100"/>
    <n v="1100"/>
  </r>
  <r>
    <n v="819"/>
    <x v="818"/>
    <x v="0"/>
    <x v="7"/>
    <x v="2"/>
    <n v="1200"/>
    <n v="1"/>
    <n v="1200"/>
    <n v="1200"/>
  </r>
  <r>
    <n v="820"/>
    <x v="819"/>
    <x v="0"/>
    <x v="2"/>
    <x v="0"/>
    <n v="900"/>
    <n v="1"/>
    <n v="900"/>
    <n v="900"/>
  </r>
  <r>
    <n v="821"/>
    <x v="820"/>
    <x v="0"/>
    <x v="0"/>
    <x v="0"/>
    <n v="1100"/>
    <n v="2"/>
    <n v="2200"/>
    <n v="2200"/>
  </r>
  <r>
    <n v="822"/>
    <x v="821"/>
    <x v="0"/>
    <x v="7"/>
    <x v="2"/>
    <n v="1200"/>
    <n v="1"/>
    <n v="1200"/>
    <n v="1200"/>
  </r>
  <r>
    <n v="823"/>
    <x v="822"/>
    <x v="0"/>
    <x v="0"/>
    <x v="0"/>
    <n v="1100"/>
    <n v="1"/>
    <n v="1100"/>
    <n v="1100"/>
  </r>
  <r>
    <n v="824"/>
    <x v="823"/>
    <x v="0"/>
    <x v="1"/>
    <x v="0"/>
    <n v="900"/>
    <n v="1"/>
    <n v="900"/>
    <n v="765"/>
  </r>
  <r>
    <n v="825"/>
    <x v="824"/>
    <x v="0"/>
    <x v="5"/>
    <x v="1"/>
    <n v="600"/>
    <n v="1"/>
    <n v="600"/>
    <n v="600"/>
  </r>
  <r>
    <n v="826"/>
    <x v="825"/>
    <x v="0"/>
    <x v="8"/>
    <x v="3"/>
    <n v="900"/>
    <n v="1"/>
    <n v="900"/>
    <n v="900"/>
  </r>
  <r>
    <n v="827"/>
    <x v="826"/>
    <x v="0"/>
    <x v="4"/>
    <x v="1"/>
    <n v="800"/>
    <n v="1"/>
    <n v="800"/>
    <n v="800"/>
  </r>
  <r>
    <n v="828"/>
    <x v="827"/>
    <x v="0"/>
    <x v="0"/>
    <x v="0"/>
    <n v="1100"/>
    <n v="1"/>
    <n v="1100"/>
    <n v="1100"/>
  </r>
  <r>
    <n v="829"/>
    <x v="828"/>
    <x v="0"/>
    <x v="2"/>
    <x v="0"/>
    <n v="900"/>
    <n v="1"/>
    <n v="900"/>
    <n v="900"/>
  </r>
  <r>
    <n v="830"/>
    <x v="829"/>
    <x v="0"/>
    <x v="3"/>
    <x v="0"/>
    <n v="1000"/>
    <n v="1"/>
    <n v="1000"/>
    <n v="1000"/>
  </r>
  <r>
    <n v="831"/>
    <x v="830"/>
    <x v="0"/>
    <x v="6"/>
    <x v="2"/>
    <n v="850"/>
    <n v="1"/>
    <n v="850"/>
    <n v="850"/>
  </r>
  <r>
    <n v="832"/>
    <x v="831"/>
    <x v="0"/>
    <x v="5"/>
    <x v="1"/>
    <n v="600"/>
    <n v="1"/>
    <n v="600"/>
    <n v="600"/>
  </r>
  <r>
    <n v="833"/>
    <x v="832"/>
    <x v="0"/>
    <x v="2"/>
    <x v="0"/>
    <n v="900"/>
    <n v="1"/>
    <n v="900"/>
    <n v="900"/>
  </r>
  <r>
    <n v="834"/>
    <x v="833"/>
    <x v="0"/>
    <x v="3"/>
    <x v="0"/>
    <n v="1000"/>
    <n v="1"/>
    <n v="1000"/>
    <n v="1000"/>
  </r>
  <r>
    <n v="835"/>
    <x v="834"/>
    <x v="0"/>
    <x v="2"/>
    <x v="0"/>
    <n v="900"/>
    <n v="1"/>
    <n v="900"/>
    <n v="900"/>
  </r>
  <r>
    <n v="836"/>
    <x v="835"/>
    <x v="0"/>
    <x v="1"/>
    <x v="0"/>
    <n v="900"/>
    <n v="1"/>
    <n v="900"/>
    <n v="765"/>
  </r>
  <r>
    <n v="837"/>
    <x v="836"/>
    <x v="0"/>
    <x v="5"/>
    <x v="1"/>
    <n v="600"/>
    <n v="1"/>
    <n v="600"/>
    <n v="600"/>
  </r>
  <r>
    <n v="838"/>
    <x v="837"/>
    <x v="0"/>
    <x v="8"/>
    <x v="3"/>
    <n v="900"/>
    <n v="1"/>
    <n v="900"/>
    <n v="900"/>
  </r>
  <r>
    <n v="839"/>
    <x v="838"/>
    <x v="0"/>
    <x v="8"/>
    <x v="3"/>
    <n v="800"/>
    <n v="1"/>
    <n v="800"/>
    <n v="800"/>
  </r>
  <r>
    <n v="840"/>
    <x v="839"/>
    <x v="0"/>
    <x v="4"/>
    <x v="1"/>
    <n v="800"/>
    <n v="1"/>
    <n v="800"/>
    <n v="800"/>
  </r>
  <r>
    <n v="841"/>
    <x v="840"/>
    <x v="0"/>
    <x v="5"/>
    <x v="1"/>
    <n v="600"/>
    <n v="1"/>
    <n v="600"/>
    <n v="600"/>
  </r>
  <r>
    <n v="842"/>
    <x v="841"/>
    <x v="0"/>
    <x v="8"/>
    <x v="3"/>
    <n v="500"/>
    <n v="1"/>
    <n v="500"/>
    <n v="500"/>
  </r>
  <r>
    <n v="843"/>
    <x v="842"/>
    <x v="0"/>
    <x v="2"/>
    <x v="0"/>
    <n v="900"/>
    <n v="1"/>
    <n v="900"/>
    <n v="900"/>
  </r>
  <r>
    <n v="844"/>
    <x v="843"/>
    <x v="0"/>
    <x v="0"/>
    <x v="0"/>
    <n v="1100"/>
    <n v="1"/>
    <n v="1100"/>
    <n v="1100"/>
  </r>
  <r>
    <n v="845"/>
    <x v="844"/>
    <x v="0"/>
    <x v="8"/>
    <x v="3"/>
    <n v="500"/>
    <n v="1"/>
    <n v="500"/>
    <n v="500"/>
  </r>
  <r>
    <n v="846"/>
    <x v="845"/>
    <x v="0"/>
    <x v="5"/>
    <x v="1"/>
    <n v="600"/>
    <n v="1"/>
    <n v="600"/>
    <n v="600"/>
  </r>
  <r>
    <n v="847"/>
    <x v="846"/>
    <x v="0"/>
    <x v="2"/>
    <x v="0"/>
    <n v="900"/>
    <n v="1"/>
    <n v="900"/>
    <n v="900"/>
  </r>
  <r>
    <n v="848"/>
    <x v="847"/>
    <x v="0"/>
    <x v="8"/>
    <x v="3"/>
    <n v="500"/>
    <n v="1"/>
    <n v="500"/>
    <n v="500"/>
  </r>
  <r>
    <n v="849"/>
    <x v="848"/>
    <x v="0"/>
    <x v="8"/>
    <x v="3"/>
    <n v="500"/>
    <n v="1"/>
    <n v="500"/>
    <n v="500"/>
  </r>
  <r>
    <n v="850"/>
    <x v="849"/>
    <x v="0"/>
    <x v="5"/>
    <x v="1"/>
    <n v="600"/>
    <n v="1"/>
    <n v="600"/>
    <n v="600"/>
  </r>
  <r>
    <n v="851"/>
    <x v="850"/>
    <x v="0"/>
    <x v="5"/>
    <x v="1"/>
    <n v="600"/>
    <n v="1"/>
    <n v="600"/>
    <n v="600"/>
  </r>
  <r>
    <n v="852"/>
    <x v="851"/>
    <x v="0"/>
    <x v="4"/>
    <x v="1"/>
    <n v="800"/>
    <n v="1"/>
    <n v="800"/>
    <n v="800"/>
  </r>
  <r>
    <n v="853"/>
    <x v="852"/>
    <x v="0"/>
    <x v="6"/>
    <x v="2"/>
    <n v="850"/>
    <n v="1"/>
    <n v="850"/>
    <n v="850"/>
  </r>
  <r>
    <n v="854"/>
    <x v="853"/>
    <x v="0"/>
    <x v="8"/>
    <x v="3"/>
    <n v="500"/>
    <n v="1"/>
    <n v="500"/>
    <n v="500"/>
  </r>
  <r>
    <n v="855"/>
    <x v="854"/>
    <x v="0"/>
    <x v="8"/>
    <x v="3"/>
    <n v="500"/>
    <n v="1"/>
    <n v="500"/>
    <n v="500"/>
  </r>
  <r>
    <n v="856"/>
    <x v="855"/>
    <x v="0"/>
    <x v="0"/>
    <x v="0"/>
    <n v="1100"/>
    <n v="1"/>
    <n v="1100"/>
    <n v="1100"/>
  </r>
  <r>
    <n v="857"/>
    <x v="856"/>
    <x v="0"/>
    <x v="8"/>
    <x v="3"/>
    <n v="500"/>
    <n v="1"/>
    <n v="500"/>
    <n v="500"/>
  </r>
  <r>
    <n v="858"/>
    <x v="857"/>
    <x v="0"/>
    <x v="3"/>
    <x v="0"/>
    <n v="1000"/>
    <n v="1"/>
    <n v="1000"/>
    <n v="1000"/>
  </r>
  <r>
    <n v="859"/>
    <x v="858"/>
    <x v="0"/>
    <x v="4"/>
    <x v="1"/>
    <n v="800"/>
    <n v="1"/>
    <n v="800"/>
    <n v="800"/>
  </r>
  <r>
    <n v="860"/>
    <x v="859"/>
    <x v="0"/>
    <x v="9"/>
    <x v="3"/>
    <n v="600"/>
    <n v="1"/>
    <n v="600"/>
    <n v="600"/>
  </r>
  <r>
    <n v="861"/>
    <x v="860"/>
    <x v="0"/>
    <x v="9"/>
    <x v="3"/>
    <n v="600"/>
    <n v="1"/>
    <n v="600"/>
    <n v="600"/>
  </r>
  <r>
    <n v="862"/>
    <x v="861"/>
    <x v="0"/>
    <x v="6"/>
    <x v="2"/>
    <n v="850"/>
    <n v="1"/>
    <n v="850"/>
    <n v="850"/>
  </r>
  <r>
    <n v="863"/>
    <x v="862"/>
    <x v="0"/>
    <x v="9"/>
    <x v="3"/>
    <n v="600"/>
    <n v="1"/>
    <n v="600"/>
    <n v="600"/>
  </r>
  <r>
    <n v="864"/>
    <x v="863"/>
    <x v="0"/>
    <x v="5"/>
    <x v="1"/>
    <n v="600"/>
    <n v="1"/>
    <n v="600"/>
    <n v="600"/>
  </r>
  <r>
    <n v="865"/>
    <x v="864"/>
    <x v="0"/>
    <x v="9"/>
    <x v="3"/>
    <n v="600"/>
    <n v="1"/>
    <n v="600"/>
    <n v="600"/>
  </r>
  <r>
    <n v="866"/>
    <x v="865"/>
    <x v="0"/>
    <x v="0"/>
    <x v="0"/>
    <n v="1100"/>
    <n v="1"/>
    <n v="1100"/>
    <n v="1100"/>
  </r>
  <r>
    <n v="867"/>
    <x v="866"/>
    <x v="0"/>
    <x v="5"/>
    <x v="1"/>
    <n v="600"/>
    <n v="1"/>
    <n v="600"/>
    <n v="600"/>
  </r>
  <r>
    <n v="868"/>
    <x v="867"/>
    <x v="0"/>
    <x v="0"/>
    <x v="0"/>
    <n v="1100"/>
    <n v="1"/>
    <n v="1100"/>
    <n v="1100"/>
  </r>
  <r>
    <n v="869"/>
    <x v="868"/>
    <x v="0"/>
    <x v="0"/>
    <x v="0"/>
    <n v="1100"/>
    <n v="1"/>
    <n v="1100"/>
    <n v="1100"/>
  </r>
  <r>
    <n v="870"/>
    <x v="869"/>
    <x v="0"/>
    <x v="0"/>
    <x v="0"/>
    <n v="1100"/>
    <n v="1"/>
    <n v="1100"/>
    <n v="1100"/>
  </r>
  <r>
    <n v="871"/>
    <x v="870"/>
    <x v="0"/>
    <x v="6"/>
    <x v="2"/>
    <n v="850"/>
    <n v="1"/>
    <n v="850"/>
    <n v="850"/>
  </r>
  <r>
    <n v="872"/>
    <x v="871"/>
    <x v="0"/>
    <x v="5"/>
    <x v="1"/>
    <n v="600"/>
    <n v="1"/>
    <n v="600"/>
    <n v="600"/>
  </r>
  <r>
    <n v="873"/>
    <x v="872"/>
    <x v="0"/>
    <x v="5"/>
    <x v="1"/>
    <n v="600"/>
    <n v="1"/>
    <n v="600"/>
    <n v="600"/>
  </r>
  <r>
    <n v="874"/>
    <x v="873"/>
    <x v="0"/>
    <x v="4"/>
    <x v="1"/>
    <n v="800"/>
    <n v="1"/>
    <n v="800"/>
    <n v="800"/>
  </r>
  <r>
    <n v="875"/>
    <x v="874"/>
    <x v="0"/>
    <x v="7"/>
    <x v="2"/>
    <n v="1200"/>
    <n v="1"/>
    <n v="1200"/>
    <n v="1200"/>
  </r>
  <r>
    <n v="876"/>
    <x v="875"/>
    <x v="0"/>
    <x v="3"/>
    <x v="0"/>
    <n v="1000"/>
    <n v="1"/>
    <n v="1000"/>
    <n v="1000"/>
  </r>
  <r>
    <n v="877"/>
    <x v="876"/>
    <x v="0"/>
    <x v="9"/>
    <x v="3"/>
    <n v="600"/>
    <n v="1"/>
    <n v="600"/>
    <n v="600"/>
  </r>
  <r>
    <n v="878"/>
    <x v="877"/>
    <x v="0"/>
    <x v="2"/>
    <x v="0"/>
    <n v="900"/>
    <n v="1"/>
    <n v="900"/>
    <n v="900"/>
  </r>
  <r>
    <n v="879"/>
    <x v="878"/>
    <x v="0"/>
    <x v="5"/>
    <x v="1"/>
    <n v="600"/>
    <n v="1"/>
    <n v="600"/>
    <n v="600"/>
  </r>
  <r>
    <n v="880"/>
    <x v="879"/>
    <x v="0"/>
    <x v="1"/>
    <x v="0"/>
    <n v="900"/>
    <n v="1"/>
    <n v="900"/>
    <n v="765"/>
  </r>
  <r>
    <n v="881"/>
    <x v="880"/>
    <x v="0"/>
    <x v="9"/>
    <x v="3"/>
    <n v="600"/>
    <n v="1"/>
    <n v="600"/>
    <n v="600"/>
  </r>
  <r>
    <n v="882"/>
    <x v="881"/>
    <x v="0"/>
    <x v="6"/>
    <x v="2"/>
    <n v="850"/>
    <n v="1"/>
    <n v="850"/>
    <n v="850"/>
  </r>
  <r>
    <n v="883"/>
    <x v="882"/>
    <x v="0"/>
    <x v="2"/>
    <x v="0"/>
    <n v="900"/>
    <n v="1"/>
    <n v="900"/>
    <n v="900"/>
  </r>
  <r>
    <n v="884"/>
    <x v="883"/>
    <x v="0"/>
    <x v="0"/>
    <x v="0"/>
    <n v="1100"/>
    <n v="1"/>
    <n v="1100"/>
    <n v="1100"/>
  </r>
  <r>
    <n v="885"/>
    <x v="884"/>
    <x v="0"/>
    <x v="2"/>
    <x v="0"/>
    <n v="900"/>
    <n v="1"/>
    <n v="900"/>
    <n v="900"/>
  </r>
  <r>
    <n v="886"/>
    <x v="885"/>
    <x v="0"/>
    <x v="3"/>
    <x v="0"/>
    <n v="1000"/>
    <n v="1"/>
    <n v="1000"/>
    <n v="1000"/>
  </r>
  <r>
    <n v="887"/>
    <x v="886"/>
    <x v="0"/>
    <x v="0"/>
    <x v="0"/>
    <n v="1100"/>
    <n v="1"/>
    <n v="1100"/>
    <n v="1100"/>
  </r>
  <r>
    <n v="888"/>
    <x v="887"/>
    <x v="0"/>
    <x v="3"/>
    <x v="0"/>
    <n v="1000"/>
    <n v="1"/>
    <n v="1000"/>
    <n v="1000"/>
  </r>
  <r>
    <n v="889"/>
    <x v="888"/>
    <x v="0"/>
    <x v="0"/>
    <x v="0"/>
    <n v="1100"/>
    <n v="1"/>
    <n v="1100"/>
    <n v="1100"/>
  </r>
  <r>
    <n v="890"/>
    <x v="889"/>
    <x v="0"/>
    <x v="2"/>
    <x v="0"/>
    <n v="900"/>
    <n v="1"/>
    <n v="900"/>
    <n v="900"/>
  </r>
  <r>
    <n v="891"/>
    <x v="890"/>
    <x v="0"/>
    <x v="1"/>
    <x v="0"/>
    <n v="900"/>
    <n v="1"/>
    <n v="900"/>
    <n v="765"/>
  </r>
  <r>
    <n v="892"/>
    <x v="891"/>
    <x v="0"/>
    <x v="0"/>
    <x v="0"/>
    <n v="1100"/>
    <n v="1"/>
    <n v="1100"/>
    <n v="1100"/>
  </r>
  <r>
    <n v="893"/>
    <x v="892"/>
    <x v="0"/>
    <x v="0"/>
    <x v="0"/>
    <n v="1100"/>
    <n v="1"/>
    <n v="1100"/>
    <n v="1100"/>
  </r>
  <r>
    <n v="894"/>
    <x v="893"/>
    <x v="0"/>
    <x v="3"/>
    <x v="0"/>
    <n v="1000"/>
    <n v="1"/>
    <n v="1000"/>
    <n v="1000"/>
  </r>
  <r>
    <n v="895"/>
    <x v="894"/>
    <x v="0"/>
    <x v="1"/>
    <x v="0"/>
    <n v="900"/>
    <n v="1"/>
    <n v="900"/>
    <n v="765"/>
  </r>
  <r>
    <n v="896"/>
    <x v="895"/>
    <x v="0"/>
    <x v="5"/>
    <x v="1"/>
    <n v="600"/>
    <n v="1"/>
    <n v="600"/>
    <n v="600"/>
  </r>
  <r>
    <n v="897"/>
    <x v="896"/>
    <x v="0"/>
    <x v="1"/>
    <x v="0"/>
    <n v="900"/>
    <n v="1"/>
    <n v="900"/>
    <n v="765"/>
  </r>
  <r>
    <n v="898"/>
    <x v="897"/>
    <x v="0"/>
    <x v="5"/>
    <x v="1"/>
    <n v="600"/>
    <n v="1"/>
    <n v="600"/>
    <n v="600"/>
  </r>
  <r>
    <n v="899"/>
    <x v="898"/>
    <x v="0"/>
    <x v="2"/>
    <x v="0"/>
    <n v="900"/>
    <n v="1"/>
    <n v="900"/>
    <n v="900"/>
  </r>
  <r>
    <n v="900"/>
    <x v="899"/>
    <x v="0"/>
    <x v="0"/>
    <x v="0"/>
    <n v="1100"/>
    <n v="2"/>
    <n v="2200"/>
    <n v="2200"/>
  </r>
  <r>
    <n v="901"/>
    <x v="900"/>
    <x v="0"/>
    <x v="5"/>
    <x v="1"/>
    <n v="600"/>
    <n v="1"/>
    <n v="600"/>
    <n v="600"/>
  </r>
  <r>
    <n v="902"/>
    <x v="901"/>
    <x v="0"/>
    <x v="5"/>
    <x v="1"/>
    <n v="600"/>
    <n v="1"/>
    <n v="600"/>
    <n v="600"/>
  </r>
  <r>
    <n v="903"/>
    <x v="902"/>
    <x v="0"/>
    <x v="2"/>
    <x v="0"/>
    <n v="900"/>
    <n v="1"/>
    <n v="900"/>
    <n v="900"/>
  </r>
  <r>
    <n v="904"/>
    <x v="903"/>
    <x v="0"/>
    <x v="0"/>
    <x v="0"/>
    <n v="1100"/>
    <n v="1"/>
    <n v="1100"/>
    <n v="1100"/>
  </r>
  <r>
    <n v="905"/>
    <x v="904"/>
    <x v="0"/>
    <x v="5"/>
    <x v="1"/>
    <n v="600"/>
    <n v="1"/>
    <n v="600"/>
    <n v="600"/>
  </r>
  <r>
    <n v="906"/>
    <x v="905"/>
    <x v="0"/>
    <x v="9"/>
    <x v="3"/>
    <n v="600"/>
    <n v="1"/>
    <n v="600"/>
    <n v="600"/>
  </r>
  <r>
    <n v="907"/>
    <x v="906"/>
    <x v="0"/>
    <x v="5"/>
    <x v="1"/>
    <n v="600"/>
    <n v="1"/>
    <n v="600"/>
    <n v="600"/>
  </r>
  <r>
    <n v="908"/>
    <x v="907"/>
    <x v="0"/>
    <x v="9"/>
    <x v="3"/>
    <n v="600"/>
    <n v="1"/>
    <n v="600"/>
    <n v="600"/>
  </r>
  <r>
    <n v="909"/>
    <x v="908"/>
    <x v="0"/>
    <x v="9"/>
    <x v="3"/>
    <n v="600"/>
    <n v="2"/>
    <n v="1200"/>
    <n v="1200"/>
  </r>
  <r>
    <n v="910"/>
    <x v="909"/>
    <x v="0"/>
    <x v="5"/>
    <x v="1"/>
    <n v="600"/>
    <n v="1"/>
    <n v="600"/>
    <n v="600"/>
  </r>
  <r>
    <n v="911"/>
    <x v="910"/>
    <x v="0"/>
    <x v="0"/>
    <x v="0"/>
    <n v="1100"/>
    <n v="3"/>
    <n v="3300"/>
    <n v="3300"/>
  </r>
  <r>
    <n v="912"/>
    <x v="911"/>
    <x v="0"/>
    <x v="0"/>
    <x v="0"/>
    <n v="1100"/>
    <n v="1"/>
    <n v="1100"/>
    <n v="1100"/>
  </r>
  <r>
    <n v="913"/>
    <x v="912"/>
    <x v="0"/>
    <x v="6"/>
    <x v="2"/>
    <n v="850"/>
    <n v="1"/>
    <n v="850"/>
    <n v="850"/>
  </r>
  <r>
    <n v="914"/>
    <x v="913"/>
    <x v="0"/>
    <x v="7"/>
    <x v="2"/>
    <n v="1200"/>
    <n v="1"/>
    <n v="1200"/>
    <n v="1200"/>
  </r>
  <r>
    <n v="915"/>
    <x v="914"/>
    <x v="0"/>
    <x v="4"/>
    <x v="1"/>
    <n v="800"/>
    <n v="1"/>
    <n v="800"/>
    <n v="800"/>
  </r>
  <r>
    <n v="916"/>
    <x v="915"/>
    <x v="0"/>
    <x v="2"/>
    <x v="0"/>
    <n v="900"/>
    <n v="1"/>
    <n v="900"/>
    <n v="900"/>
  </r>
  <r>
    <n v="917"/>
    <x v="916"/>
    <x v="0"/>
    <x v="0"/>
    <x v="0"/>
    <n v="1100"/>
    <n v="1"/>
    <n v="1100"/>
    <n v="1100"/>
  </r>
  <r>
    <n v="918"/>
    <x v="917"/>
    <x v="0"/>
    <x v="1"/>
    <x v="0"/>
    <n v="900"/>
    <n v="1"/>
    <n v="900"/>
    <n v="765"/>
  </r>
  <r>
    <n v="919"/>
    <x v="918"/>
    <x v="0"/>
    <x v="0"/>
    <x v="0"/>
    <n v="1100"/>
    <n v="1"/>
    <n v="1100"/>
    <n v="1100"/>
  </r>
  <r>
    <n v="920"/>
    <x v="919"/>
    <x v="0"/>
    <x v="8"/>
    <x v="3"/>
    <n v="900"/>
    <n v="1"/>
    <n v="900"/>
    <n v="900"/>
  </r>
  <r>
    <n v="921"/>
    <x v="920"/>
    <x v="0"/>
    <x v="8"/>
    <x v="3"/>
    <n v="500"/>
    <n v="1"/>
    <n v="500"/>
    <n v="500"/>
  </r>
  <r>
    <n v="922"/>
    <x v="921"/>
    <x v="0"/>
    <x v="3"/>
    <x v="0"/>
    <n v="1000"/>
    <n v="1"/>
    <n v="1000"/>
    <n v="1000"/>
  </r>
  <r>
    <n v="923"/>
    <x v="922"/>
    <x v="0"/>
    <x v="9"/>
    <x v="3"/>
    <n v="600"/>
    <n v="1"/>
    <n v="600"/>
    <n v="600"/>
  </r>
  <r>
    <n v="924"/>
    <x v="923"/>
    <x v="0"/>
    <x v="1"/>
    <x v="0"/>
    <n v="900"/>
    <n v="2"/>
    <n v="1800"/>
    <n v="1530"/>
  </r>
  <r>
    <n v="925"/>
    <x v="924"/>
    <x v="0"/>
    <x v="6"/>
    <x v="2"/>
    <n v="850"/>
    <n v="1"/>
    <n v="850"/>
    <n v="850"/>
  </r>
  <r>
    <n v="926"/>
    <x v="925"/>
    <x v="0"/>
    <x v="4"/>
    <x v="1"/>
    <n v="800"/>
    <n v="1"/>
    <n v="800"/>
    <n v="800"/>
  </r>
  <r>
    <n v="927"/>
    <x v="926"/>
    <x v="0"/>
    <x v="1"/>
    <x v="0"/>
    <n v="900"/>
    <n v="1"/>
    <n v="900"/>
    <n v="765"/>
  </r>
  <r>
    <n v="928"/>
    <x v="927"/>
    <x v="0"/>
    <x v="1"/>
    <x v="0"/>
    <n v="900"/>
    <n v="1"/>
    <n v="900"/>
    <n v="765"/>
  </r>
  <r>
    <n v="929"/>
    <x v="928"/>
    <x v="0"/>
    <x v="0"/>
    <x v="0"/>
    <n v="1100"/>
    <n v="1"/>
    <n v="1100"/>
    <n v="1100"/>
  </r>
  <r>
    <n v="930"/>
    <x v="929"/>
    <x v="0"/>
    <x v="2"/>
    <x v="0"/>
    <n v="900"/>
    <n v="1"/>
    <n v="900"/>
    <n v="900"/>
  </r>
  <r>
    <n v="931"/>
    <x v="930"/>
    <x v="0"/>
    <x v="5"/>
    <x v="1"/>
    <n v="600"/>
    <n v="1"/>
    <n v="600"/>
    <n v="600"/>
  </r>
  <r>
    <n v="932"/>
    <x v="931"/>
    <x v="0"/>
    <x v="5"/>
    <x v="1"/>
    <n v="600"/>
    <n v="1"/>
    <n v="600"/>
    <n v="600"/>
  </r>
  <r>
    <n v="933"/>
    <x v="932"/>
    <x v="0"/>
    <x v="2"/>
    <x v="0"/>
    <n v="900"/>
    <n v="1"/>
    <n v="900"/>
    <n v="900"/>
  </r>
  <r>
    <n v="934"/>
    <x v="933"/>
    <x v="0"/>
    <x v="6"/>
    <x v="2"/>
    <n v="850"/>
    <n v="1"/>
    <n v="850"/>
    <n v="850"/>
  </r>
  <r>
    <n v="935"/>
    <x v="934"/>
    <x v="0"/>
    <x v="2"/>
    <x v="0"/>
    <n v="900"/>
    <n v="1"/>
    <n v="900"/>
    <n v="900"/>
  </r>
  <r>
    <n v="936"/>
    <x v="935"/>
    <x v="0"/>
    <x v="5"/>
    <x v="1"/>
    <n v="600"/>
    <n v="1"/>
    <n v="600"/>
    <n v="600"/>
  </r>
  <r>
    <n v="937"/>
    <x v="936"/>
    <x v="0"/>
    <x v="5"/>
    <x v="1"/>
    <n v="600"/>
    <n v="1"/>
    <n v="600"/>
    <n v="600"/>
  </r>
  <r>
    <n v="938"/>
    <x v="937"/>
    <x v="0"/>
    <x v="0"/>
    <x v="0"/>
    <n v="1100"/>
    <n v="1"/>
    <n v="1100"/>
    <n v="1100"/>
  </r>
  <r>
    <n v="939"/>
    <x v="938"/>
    <x v="0"/>
    <x v="1"/>
    <x v="0"/>
    <n v="900"/>
    <n v="1"/>
    <n v="900"/>
    <n v="765"/>
  </r>
  <r>
    <n v="940"/>
    <x v="939"/>
    <x v="0"/>
    <x v="0"/>
    <x v="0"/>
    <n v="1100"/>
    <n v="1"/>
    <n v="1100"/>
    <n v="1100"/>
  </r>
  <r>
    <n v="941"/>
    <x v="940"/>
    <x v="0"/>
    <x v="5"/>
    <x v="1"/>
    <n v="600"/>
    <n v="1"/>
    <n v="600"/>
    <n v="600"/>
  </r>
  <r>
    <n v="942"/>
    <x v="941"/>
    <x v="0"/>
    <x v="7"/>
    <x v="2"/>
    <n v="1200"/>
    <n v="1"/>
    <n v="1200"/>
    <n v="1200"/>
  </r>
  <r>
    <n v="943"/>
    <x v="942"/>
    <x v="0"/>
    <x v="9"/>
    <x v="3"/>
    <n v="600"/>
    <n v="1"/>
    <n v="600"/>
    <n v="600"/>
  </r>
  <r>
    <n v="944"/>
    <x v="943"/>
    <x v="0"/>
    <x v="0"/>
    <x v="0"/>
    <n v="1100"/>
    <n v="1"/>
    <n v="1100"/>
    <n v="1100"/>
  </r>
  <r>
    <n v="945"/>
    <x v="944"/>
    <x v="0"/>
    <x v="8"/>
    <x v="3"/>
    <n v="500"/>
    <n v="1"/>
    <n v="500"/>
    <n v="500"/>
  </r>
  <r>
    <n v="946"/>
    <x v="945"/>
    <x v="0"/>
    <x v="1"/>
    <x v="0"/>
    <n v="900"/>
    <n v="1"/>
    <n v="900"/>
    <n v="765"/>
  </r>
  <r>
    <n v="947"/>
    <x v="946"/>
    <x v="0"/>
    <x v="6"/>
    <x v="2"/>
    <n v="850"/>
    <n v="1"/>
    <n v="850"/>
    <n v="850"/>
  </r>
  <r>
    <n v="948"/>
    <x v="947"/>
    <x v="0"/>
    <x v="5"/>
    <x v="1"/>
    <n v="600"/>
    <n v="1"/>
    <n v="600"/>
    <n v="600"/>
  </r>
  <r>
    <n v="949"/>
    <x v="948"/>
    <x v="0"/>
    <x v="0"/>
    <x v="0"/>
    <n v="1100"/>
    <n v="1"/>
    <n v="1100"/>
    <n v="1100"/>
  </r>
  <r>
    <n v="950"/>
    <x v="949"/>
    <x v="0"/>
    <x v="8"/>
    <x v="3"/>
    <n v="500"/>
    <n v="1"/>
    <n v="500"/>
    <n v="500"/>
  </r>
  <r>
    <n v="951"/>
    <x v="950"/>
    <x v="0"/>
    <x v="5"/>
    <x v="1"/>
    <n v="600"/>
    <n v="1"/>
    <n v="600"/>
    <n v="600"/>
  </r>
  <r>
    <n v="952"/>
    <x v="951"/>
    <x v="0"/>
    <x v="3"/>
    <x v="0"/>
    <n v="1000"/>
    <n v="1"/>
    <n v="1000"/>
    <n v="1000"/>
  </r>
  <r>
    <n v="953"/>
    <x v="952"/>
    <x v="0"/>
    <x v="5"/>
    <x v="1"/>
    <n v="600"/>
    <n v="1"/>
    <n v="600"/>
    <n v="600"/>
  </r>
  <r>
    <n v="954"/>
    <x v="953"/>
    <x v="0"/>
    <x v="0"/>
    <x v="0"/>
    <n v="1100"/>
    <n v="1"/>
    <n v="1100"/>
    <n v="1100"/>
  </r>
  <r>
    <n v="955"/>
    <x v="954"/>
    <x v="0"/>
    <x v="8"/>
    <x v="3"/>
    <n v="500"/>
    <n v="1"/>
    <n v="500"/>
    <n v="500"/>
  </r>
  <r>
    <n v="956"/>
    <x v="955"/>
    <x v="0"/>
    <x v="0"/>
    <x v="0"/>
    <n v="1100"/>
    <n v="2"/>
    <n v="2200"/>
    <n v="2200"/>
  </r>
  <r>
    <n v="957"/>
    <x v="956"/>
    <x v="0"/>
    <x v="5"/>
    <x v="1"/>
    <n v="600"/>
    <n v="1"/>
    <n v="600"/>
    <n v="600"/>
  </r>
  <r>
    <n v="958"/>
    <x v="957"/>
    <x v="0"/>
    <x v="4"/>
    <x v="1"/>
    <n v="800"/>
    <n v="1"/>
    <n v="800"/>
    <n v="800"/>
  </r>
  <r>
    <n v="959"/>
    <x v="958"/>
    <x v="0"/>
    <x v="2"/>
    <x v="0"/>
    <n v="900"/>
    <n v="1"/>
    <n v="900"/>
    <n v="900"/>
  </r>
  <r>
    <n v="960"/>
    <x v="959"/>
    <x v="0"/>
    <x v="9"/>
    <x v="3"/>
    <n v="600"/>
    <n v="1"/>
    <n v="600"/>
    <n v="600"/>
  </r>
  <r>
    <n v="961"/>
    <x v="960"/>
    <x v="0"/>
    <x v="0"/>
    <x v="0"/>
    <n v="1100"/>
    <n v="2"/>
    <n v="2200"/>
    <n v="2200"/>
  </r>
  <r>
    <n v="962"/>
    <x v="961"/>
    <x v="0"/>
    <x v="9"/>
    <x v="3"/>
    <n v="600"/>
    <n v="1"/>
    <n v="600"/>
    <n v="600"/>
  </r>
  <r>
    <n v="963"/>
    <x v="962"/>
    <x v="0"/>
    <x v="2"/>
    <x v="0"/>
    <n v="900"/>
    <n v="1"/>
    <n v="900"/>
    <n v="900"/>
  </r>
  <r>
    <n v="964"/>
    <x v="963"/>
    <x v="0"/>
    <x v="5"/>
    <x v="1"/>
    <n v="600"/>
    <n v="1"/>
    <n v="600"/>
    <n v="600"/>
  </r>
  <r>
    <n v="965"/>
    <x v="964"/>
    <x v="0"/>
    <x v="1"/>
    <x v="0"/>
    <n v="900"/>
    <n v="1"/>
    <n v="900"/>
    <n v="765"/>
  </r>
  <r>
    <n v="966"/>
    <x v="965"/>
    <x v="0"/>
    <x v="9"/>
    <x v="3"/>
    <n v="600"/>
    <n v="1"/>
    <n v="600"/>
    <n v="600"/>
  </r>
  <r>
    <n v="967"/>
    <x v="966"/>
    <x v="0"/>
    <x v="6"/>
    <x v="2"/>
    <n v="850"/>
    <n v="1"/>
    <n v="850"/>
    <n v="850"/>
  </r>
  <r>
    <n v="968"/>
    <x v="967"/>
    <x v="0"/>
    <x v="2"/>
    <x v="0"/>
    <n v="900"/>
    <n v="1"/>
    <n v="900"/>
    <n v="900"/>
  </r>
  <r>
    <n v="969"/>
    <x v="968"/>
    <x v="0"/>
    <x v="0"/>
    <x v="0"/>
    <n v="1100"/>
    <n v="1"/>
    <n v="1100"/>
    <n v="1100"/>
  </r>
  <r>
    <n v="970"/>
    <x v="969"/>
    <x v="0"/>
    <x v="2"/>
    <x v="0"/>
    <n v="900"/>
    <n v="1"/>
    <n v="900"/>
    <n v="900"/>
  </r>
  <r>
    <n v="971"/>
    <x v="970"/>
    <x v="0"/>
    <x v="3"/>
    <x v="0"/>
    <n v="1000"/>
    <n v="1"/>
    <n v="1000"/>
    <n v="1000"/>
  </r>
  <r>
    <n v="972"/>
    <x v="971"/>
    <x v="0"/>
    <x v="0"/>
    <x v="0"/>
    <n v="1100"/>
    <n v="1"/>
    <n v="1100"/>
    <n v="1100"/>
  </r>
  <r>
    <n v="973"/>
    <x v="972"/>
    <x v="0"/>
    <x v="3"/>
    <x v="0"/>
    <n v="1000"/>
    <n v="1"/>
    <n v="1000"/>
    <n v="1000"/>
  </r>
  <r>
    <n v="974"/>
    <x v="973"/>
    <x v="0"/>
    <x v="0"/>
    <x v="0"/>
    <n v="1100"/>
    <n v="1"/>
    <n v="1100"/>
    <n v="1100"/>
  </r>
  <r>
    <n v="975"/>
    <x v="974"/>
    <x v="0"/>
    <x v="2"/>
    <x v="0"/>
    <n v="900"/>
    <n v="1"/>
    <n v="900"/>
    <n v="900"/>
  </r>
  <r>
    <n v="976"/>
    <x v="975"/>
    <x v="0"/>
    <x v="1"/>
    <x v="0"/>
    <n v="900"/>
    <n v="1"/>
    <n v="900"/>
    <n v="765"/>
  </r>
  <r>
    <n v="977"/>
    <x v="976"/>
    <x v="0"/>
    <x v="0"/>
    <x v="0"/>
    <n v="1100"/>
    <n v="1"/>
    <n v="1100"/>
    <n v="1100"/>
  </r>
  <r>
    <n v="978"/>
    <x v="977"/>
    <x v="0"/>
    <x v="0"/>
    <x v="0"/>
    <n v="1100"/>
    <n v="1"/>
    <n v="1100"/>
    <n v="1100"/>
  </r>
  <r>
    <n v="979"/>
    <x v="978"/>
    <x v="0"/>
    <x v="3"/>
    <x v="0"/>
    <n v="1000"/>
    <n v="1"/>
    <n v="1000"/>
    <n v="1000"/>
  </r>
  <r>
    <n v="980"/>
    <x v="979"/>
    <x v="0"/>
    <x v="1"/>
    <x v="0"/>
    <n v="900"/>
    <n v="1"/>
    <n v="900"/>
    <n v="765"/>
  </r>
  <r>
    <n v="981"/>
    <x v="980"/>
    <x v="0"/>
    <x v="5"/>
    <x v="1"/>
    <n v="600"/>
    <n v="1"/>
    <n v="600"/>
    <n v="600"/>
  </r>
  <r>
    <n v="982"/>
    <x v="981"/>
    <x v="0"/>
    <x v="1"/>
    <x v="0"/>
    <n v="900"/>
    <n v="1"/>
    <n v="900"/>
    <n v="765"/>
  </r>
  <r>
    <n v="983"/>
    <x v="982"/>
    <x v="0"/>
    <x v="5"/>
    <x v="1"/>
    <n v="600"/>
    <n v="1"/>
    <n v="600"/>
    <n v="600"/>
  </r>
  <r>
    <n v="984"/>
    <x v="983"/>
    <x v="0"/>
    <x v="2"/>
    <x v="0"/>
    <n v="900"/>
    <n v="1"/>
    <n v="900"/>
    <n v="900"/>
  </r>
  <r>
    <n v="985"/>
    <x v="984"/>
    <x v="0"/>
    <x v="0"/>
    <x v="0"/>
    <n v="1100"/>
    <n v="2"/>
    <n v="2200"/>
    <n v="2200"/>
  </r>
  <r>
    <n v="986"/>
    <x v="985"/>
    <x v="0"/>
    <x v="5"/>
    <x v="1"/>
    <n v="600"/>
    <n v="1"/>
    <n v="600"/>
    <n v="600"/>
  </r>
  <r>
    <n v="987"/>
    <x v="986"/>
    <x v="0"/>
    <x v="5"/>
    <x v="1"/>
    <n v="600"/>
    <n v="1"/>
    <n v="600"/>
    <n v="600"/>
  </r>
  <r>
    <n v="988"/>
    <x v="987"/>
    <x v="0"/>
    <x v="2"/>
    <x v="0"/>
    <n v="900"/>
    <n v="1"/>
    <n v="900"/>
    <n v="900"/>
  </r>
  <r>
    <n v="989"/>
    <x v="988"/>
    <x v="0"/>
    <x v="0"/>
    <x v="0"/>
    <n v="1100"/>
    <n v="1"/>
    <n v="1100"/>
    <n v="1100"/>
  </r>
  <r>
    <n v="990"/>
    <x v="989"/>
    <x v="0"/>
    <x v="5"/>
    <x v="1"/>
    <n v="600"/>
    <n v="1"/>
    <n v="600"/>
    <n v="600"/>
  </r>
  <r>
    <n v="991"/>
    <x v="990"/>
    <x v="0"/>
    <x v="9"/>
    <x v="3"/>
    <n v="600"/>
    <n v="1"/>
    <n v="600"/>
    <n v="600"/>
  </r>
  <r>
    <n v="992"/>
    <x v="991"/>
    <x v="0"/>
    <x v="5"/>
    <x v="1"/>
    <n v="600"/>
    <n v="1"/>
    <n v="600"/>
    <n v="600"/>
  </r>
  <r>
    <n v="993"/>
    <x v="992"/>
    <x v="0"/>
    <x v="9"/>
    <x v="3"/>
    <n v="600"/>
    <n v="1"/>
    <n v="600"/>
    <n v="600"/>
  </r>
  <r>
    <n v="994"/>
    <x v="993"/>
    <x v="0"/>
    <x v="9"/>
    <x v="3"/>
    <n v="600"/>
    <n v="2"/>
    <n v="1200"/>
    <n v="1200"/>
  </r>
  <r>
    <n v="995"/>
    <x v="994"/>
    <x v="0"/>
    <x v="5"/>
    <x v="1"/>
    <n v="600"/>
    <n v="1"/>
    <n v="600"/>
    <n v="600"/>
  </r>
  <r>
    <n v="996"/>
    <x v="995"/>
    <x v="0"/>
    <x v="0"/>
    <x v="0"/>
    <n v="1100"/>
    <n v="3"/>
    <n v="3300"/>
    <n v="3300"/>
  </r>
  <r>
    <n v="997"/>
    <x v="996"/>
    <x v="0"/>
    <x v="0"/>
    <x v="0"/>
    <n v="1100"/>
    <n v="1"/>
    <n v="1100"/>
    <n v="1100"/>
  </r>
  <r>
    <n v="998"/>
    <x v="997"/>
    <x v="0"/>
    <x v="6"/>
    <x v="2"/>
    <n v="850"/>
    <n v="1"/>
    <n v="850"/>
    <n v="850"/>
  </r>
  <r>
    <n v="999"/>
    <x v="998"/>
    <x v="0"/>
    <x v="7"/>
    <x v="2"/>
    <n v="1200"/>
    <n v="1"/>
    <n v="1200"/>
    <n v="1200"/>
  </r>
  <r>
    <n v="1000"/>
    <x v="999"/>
    <x v="0"/>
    <x v="4"/>
    <x v="1"/>
    <n v="800"/>
    <n v="1"/>
    <n v="800"/>
    <n v="800"/>
  </r>
  <r>
    <n v="1001"/>
    <x v="1000"/>
    <x v="0"/>
    <x v="2"/>
    <x v="0"/>
    <n v="900"/>
    <n v="1"/>
    <n v="900"/>
    <n v="900"/>
  </r>
  <r>
    <n v="1002"/>
    <x v="1001"/>
    <x v="0"/>
    <x v="0"/>
    <x v="0"/>
    <n v="1100"/>
    <n v="1"/>
    <n v="1100"/>
    <n v="1100"/>
  </r>
  <r>
    <n v="1003"/>
    <x v="1002"/>
    <x v="0"/>
    <x v="1"/>
    <x v="0"/>
    <n v="900"/>
    <n v="1"/>
    <n v="900"/>
    <n v="765"/>
  </r>
  <r>
    <n v="1004"/>
    <x v="1003"/>
    <x v="0"/>
    <x v="0"/>
    <x v="0"/>
    <n v="1100"/>
    <n v="1"/>
    <n v="1100"/>
    <n v="1100"/>
  </r>
  <r>
    <n v="1005"/>
    <x v="1004"/>
    <x v="0"/>
    <x v="8"/>
    <x v="3"/>
    <n v="900"/>
    <n v="1"/>
    <n v="900"/>
    <n v="900"/>
  </r>
  <r>
    <n v="1006"/>
    <x v="1005"/>
    <x v="0"/>
    <x v="8"/>
    <x v="3"/>
    <n v="500"/>
    <n v="1"/>
    <n v="500"/>
    <n v="500"/>
  </r>
  <r>
    <n v="1007"/>
    <x v="1006"/>
    <x v="0"/>
    <x v="3"/>
    <x v="0"/>
    <n v="1000"/>
    <n v="1"/>
    <n v="1000"/>
    <n v="1000"/>
  </r>
  <r>
    <n v="1008"/>
    <x v="1007"/>
    <x v="0"/>
    <x v="9"/>
    <x v="3"/>
    <n v="600"/>
    <n v="1"/>
    <n v="600"/>
    <n v="600"/>
  </r>
  <r>
    <n v="1009"/>
    <x v="1008"/>
    <x v="0"/>
    <x v="1"/>
    <x v="0"/>
    <n v="900"/>
    <n v="2"/>
    <n v="1800"/>
    <n v="1530"/>
  </r>
  <r>
    <n v="1010"/>
    <x v="1009"/>
    <x v="0"/>
    <x v="6"/>
    <x v="2"/>
    <n v="850"/>
    <n v="1"/>
    <n v="850"/>
    <n v="850"/>
  </r>
  <r>
    <n v="1011"/>
    <x v="1010"/>
    <x v="0"/>
    <x v="4"/>
    <x v="1"/>
    <n v="800"/>
    <n v="1"/>
    <n v="800"/>
    <n v="800"/>
  </r>
  <r>
    <n v="1012"/>
    <x v="1011"/>
    <x v="0"/>
    <x v="1"/>
    <x v="0"/>
    <n v="900"/>
    <n v="1"/>
    <n v="900"/>
    <n v="765"/>
  </r>
  <r>
    <n v="1013"/>
    <x v="1012"/>
    <x v="0"/>
    <x v="1"/>
    <x v="0"/>
    <n v="900"/>
    <n v="1"/>
    <n v="900"/>
    <n v="765"/>
  </r>
  <r>
    <n v="1014"/>
    <x v="1013"/>
    <x v="0"/>
    <x v="0"/>
    <x v="0"/>
    <n v="1100"/>
    <n v="1"/>
    <n v="1100"/>
    <n v="1100"/>
  </r>
  <r>
    <n v="1015"/>
    <x v="1014"/>
    <x v="0"/>
    <x v="2"/>
    <x v="0"/>
    <n v="900"/>
    <n v="1"/>
    <n v="900"/>
    <n v="900"/>
  </r>
  <r>
    <n v="1016"/>
    <x v="1015"/>
    <x v="0"/>
    <x v="5"/>
    <x v="1"/>
    <n v="600"/>
    <n v="1"/>
    <n v="600"/>
    <n v="600"/>
  </r>
  <r>
    <n v="1017"/>
    <x v="1016"/>
    <x v="0"/>
    <x v="5"/>
    <x v="1"/>
    <n v="600"/>
    <n v="1"/>
    <n v="600"/>
    <n v="600"/>
  </r>
  <r>
    <n v="1018"/>
    <x v="1017"/>
    <x v="0"/>
    <x v="2"/>
    <x v="0"/>
    <n v="900"/>
    <n v="1"/>
    <n v="900"/>
    <n v="900"/>
  </r>
  <r>
    <n v="1019"/>
    <x v="1018"/>
    <x v="0"/>
    <x v="6"/>
    <x v="2"/>
    <n v="850"/>
    <n v="1"/>
    <n v="850"/>
    <n v="850"/>
  </r>
  <r>
    <n v="1020"/>
    <x v="1019"/>
    <x v="0"/>
    <x v="2"/>
    <x v="0"/>
    <n v="900"/>
    <n v="1"/>
    <n v="900"/>
    <n v="900"/>
  </r>
  <r>
    <n v="1021"/>
    <x v="1020"/>
    <x v="0"/>
    <x v="5"/>
    <x v="1"/>
    <n v="600"/>
    <n v="1"/>
    <n v="600"/>
    <n v="600"/>
  </r>
  <r>
    <n v="1022"/>
    <x v="1021"/>
    <x v="1"/>
    <x v="5"/>
    <x v="1"/>
    <n v="600"/>
    <n v="1"/>
    <n v="600"/>
    <n v="600"/>
  </r>
  <r>
    <n v="1023"/>
    <x v="1022"/>
    <x v="1"/>
    <x v="0"/>
    <x v="0"/>
    <n v="1100"/>
    <n v="1"/>
    <n v="1100"/>
    <n v="1100"/>
  </r>
  <r>
    <n v="1024"/>
    <x v="1023"/>
    <x v="1"/>
    <x v="1"/>
    <x v="0"/>
    <n v="900"/>
    <n v="1"/>
    <n v="900"/>
    <n v="765"/>
  </r>
  <r>
    <n v="1025"/>
    <x v="1024"/>
    <x v="1"/>
    <x v="0"/>
    <x v="0"/>
    <n v="1100"/>
    <n v="1"/>
    <n v="1100"/>
    <n v="1100"/>
  </r>
  <r>
    <n v="1026"/>
    <x v="1025"/>
    <x v="1"/>
    <x v="5"/>
    <x v="1"/>
    <n v="600"/>
    <n v="1"/>
    <n v="600"/>
    <n v="600"/>
  </r>
  <r>
    <n v="1027"/>
    <x v="1026"/>
    <x v="1"/>
    <x v="7"/>
    <x v="2"/>
    <n v="1200"/>
    <n v="1"/>
    <n v="1200"/>
    <n v="1200"/>
  </r>
  <r>
    <n v="1028"/>
    <x v="1027"/>
    <x v="1"/>
    <x v="9"/>
    <x v="3"/>
    <n v="600"/>
    <n v="1"/>
    <n v="600"/>
    <n v="600"/>
  </r>
  <r>
    <n v="1029"/>
    <x v="1028"/>
    <x v="1"/>
    <x v="0"/>
    <x v="0"/>
    <n v="1100"/>
    <n v="1"/>
    <n v="1100"/>
    <n v="1100"/>
  </r>
  <r>
    <n v="1030"/>
    <x v="1029"/>
    <x v="1"/>
    <x v="8"/>
    <x v="3"/>
    <n v="500"/>
    <n v="1"/>
    <n v="500"/>
    <n v="500"/>
  </r>
  <r>
    <n v="1031"/>
    <x v="1030"/>
    <x v="0"/>
    <x v="1"/>
    <x v="0"/>
    <n v="900"/>
    <n v="1"/>
    <n v="900"/>
    <n v="765"/>
  </r>
  <r>
    <n v="1032"/>
    <x v="1031"/>
    <x v="0"/>
    <x v="6"/>
    <x v="2"/>
    <n v="850"/>
    <n v="1"/>
    <n v="850"/>
    <n v="850"/>
  </r>
  <r>
    <n v="1033"/>
    <x v="1032"/>
    <x v="0"/>
    <x v="5"/>
    <x v="1"/>
    <n v="600"/>
    <n v="1"/>
    <n v="600"/>
    <n v="600"/>
  </r>
  <r>
    <n v="1034"/>
    <x v="1033"/>
    <x v="0"/>
    <x v="0"/>
    <x v="0"/>
    <n v="1100"/>
    <n v="1"/>
    <n v="1100"/>
    <n v="1100"/>
  </r>
  <r>
    <n v="1035"/>
    <x v="1034"/>
    <x v="0"/>
    <x v="8"/>
    <x v="3"/>
    <n v="500"/>
    <n v="1"/>
    <n v="500"/>
    <n v="500"/>
  </r>
  <r>
    <n v="1036"/>
    <x v="1035"/>
    <x v="0"/>
    <x v="5"/>
    <x v="1"/>
    <n v="600"/>
    <n v="1"/>
    <n v="600"/>
    <n v="6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3955EF-A8F1-448A-B294-C6772F663233}" name="PivotTable0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9:B20" firstHeaderRow="1" firstDataRow="1" firstDataCol="0"/>
  <pivotFields count="12">
    <pivotField numFmtId="1" showAll="0"/>
    <pivotField numFmtId="14" showAll="0">
      <items count="10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t="default"/>
      </items>
    </pivotField>
    <pivotField showAll="0"/>
    <pivotField dataField="1" showAll="0"/>
    <pivotField showAll="0"/>
    <pivotField numFmtId="1" showAll="0"/>
    <pivotField numFmtId="1" showAll="0"/>
    <pivotField numFmtId="1" showAll="0"/>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Count of Item name" fld="3" subtotal="count" baseField="0" baseItem="0"/>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44BE27-086F-4E54-ADB3-9FCDFF9AC50B}" name="PivotTable0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8:B29" firstHeaderRow="1" firstDataRow="1" firstDataCol="0"/>
  <pivotFields count="12">
    <pivotField dataField="1" numFmtId="1" showAll="0"/>
    <pivotField numFmtId="14" showAll="0">
      <items count="10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t="default"/>
      </items>
    </pivotField>
    <pivotField showAll="0"/>
    <pivotField showAll="0"/>
    <pivotField showAll="0"/>
    <pivotField numFmtId="1" showAll="0"/>
    <pivotField numFmtId="1" showAll="0"/>
    <pivotField numFmtId="1"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Items count="1">
    <i/>
  </colItems>
  <dataFields count="1">
    <dataField name="Count of Reciept no " fld="0" subtotal="count" baseField="0" baseItem="0"/>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DDBE06B-BB4D-486E-A5C9-B2885F9CD0AE}" name="PivotTable0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E10:F15" firstHeaderRow="1" firstDataRow="1" firstDataCol="1"/>
  <pivotFields count="12">
    <pivotField numFmtId="1" showAll="0"/>
    <pivotField numFmtId="14" showAll="0">
      <items count="10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t="default"/>
      </items>
    </pivotField>
    <pivotField showAll="0"/>
    <pivotField showAll="0"/>
    <pivotField axis="axisRow" showAll="0">
      <items count="5">
        <item x="3"/>
        <item x="0"/>
        <item x="2"/>
        <item x="1"/>
        <item t="default"/>
      </items>
    </pivotField>
    <pivotField numFmtId="1" showAll="0"/>
    <pivotField numFmtId="1" showAll="0"/>
    <pivotField numFmtId="1" showAll="0"/>
    <pivotField dataField="1"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5">
    <i>
      <x/>
    </i>
    <i>
      <x v="1"/>
    </i>
    <i>
      <x v="2"/>
    </i>
    <i>
      <x v="3"/>
    </i>
    <i t="grand">
      <x/>
    </i>
  </rowItems>
  <colItems count="1">
    <i/>
  </colItems>
  <dataFields count="1">
    <dataField name="Sum of Total sales after 15% discount" fld="8" baseField="0" baseItem="0" numFmtId="1"/>
  </dataFields>
  <formats count="1">
    <format dxfId="4">
      <pivotArea outline="0" collapsedLevelsAreSubtotals="1" fieldPosition="0"/>
    </format>
  </formats>
  <chartFormats count="1">
    <chartFormat chart="35"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B0EB6EA-12FC-442A-A1EE-39AC1511E2CF}"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H2:I8" firstHeaderRow="1" firstDataRow="1" firstDataCol="1"/>
  <pivotFields count="12">
    <pivotField numFmtId="1" showAll="0"/>
    <pivotField numFmtId="14" showAll="0">
      <items count="10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t="default"/>
      </items>
    </pivotField>
    <pivotField showAll="0"/>
    <pivotField axis="axisRow" showAll="0" sortType="descending">
      <items count="11">
        <item h="1" x="9"/>
        <item x="1"/>
        <item h="1" x="3"/>
        <item x="0"/>
        <item x="2"/>
        <item h="1" x="6"/>
        <item x="7"/>
        <item h="1" x="4"/>
        <item x="5"/>
        <item h="1" x="8"/>
        <item t="default"/>
      </items>
      <autoSortScope>
        <pivotArea dataOnly="0" outline="0" fieldPosition="0">
          <references count="1">
            <reference field="4294967294" count="1" selected="0">
              <x v="0"/>
            </reference>
          </references>
        </pivotArea>
      </autoSortScope>
    </pivotField>
    <pivotField showAll="0"/>
    <pivotField numFmtId="1" showAll="0"/>
    <pivotField numFmtId="1" showAll="0"/>
    <pivotField numFmtId="1" showAll="0"/>
    <pivotField dataField="1"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h="1" x="0"/>
        <item h="1" x="1"/>
        <item h="1" x="2"/>
        <item x="3"/>
        <item h="1" x="4"/>
        <item t="default"/>
      </items>
    </pivotField>
  </pivotFields>
  <rowFields count="1">
    <field x="3"/>
  </rowFields>
  <rowItems count="6">
    <i>
      <x v="3"/>
    </i>
    <i>
      <x v="1"/>
    </i>
    <i>
      <x v="8"/>
    </i>
    <i>
      <x v="4"/>
    </i>
    <i>
      <x v="6"/>
    </i>
    <i t="grand">
      <x/>
    </i>
  </rowItems>
  <colItems count="1">
    <i/>
  </colItems>
  <dataFields count="1">
    <dataField name="Sum of Total sales after 15% discount" fld="8" baseField="0" baseItem="0" numFmtId="1"/>
  </dataFields>
  <formats count="1">
    <format dxfId="5">
      <pivotArea outline="0" collapsedLevelsAreSubtotals="1" fieldPosition="0"/>
    </format>
  </formats>
  <chartFormats count="3">
    <chartFormat chart="21" format="34" series="1">
      <pivotArea type="data" outline="0" fieldPosition="0">
        <references count="1">
          <reference field="4294967294" count="1" selected="0">
            <x v="0"/>
          </reference>
        </references>
      </pivotArea>
    </chartFormat>
    <chartFormat chart="22" format="35" series="1">
      <pivotArea type="data" outline="0" fieldPosition="0">
        <references count="1">
          <reference field="4294967294" count="1" selected="0">
            <x v="0"/>
          </reference>
        </references>
      </pivotArea>
    </chartFormat>
    <chartFormat chart="25" format="3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78D02CC-DC2D-4E77-9D1B-1FA533F8194A}" name="PivotTable0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7:E8" firstHeaderRow="1" firstDataRow="1" firstDataCol="0"/>
  <pivotFields count="12">
    <pivotField numFmtId="1" showAll="0"/>
    <pivotField numFmtId="14" showAll="0">
      <items count="10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t="default"/>
      </items>
    </pivotField>
    <pivotField showAll="0"/>
    <pivotField showAll="0"/>
    <pivotField showAll="0"/>
    <pivotField numFmtId="1" showAll="0"/>
    <pivotField numFmtId="1" showAll="0"/>
    <pivotField numFmtId="1" showAll="0"/>
    <pivotField dataField="1"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Average of Total sales after 15% discount" fld="8" subtotal="average" baseField="0" baseItem="0" numFmtId="1"/>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7C141EA-14E3-433B-B0DE-EE78BD63B050}" name="PivotTable0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2:C36" firstHeaderRow="1" firstDataRow="1" firstDataCol="1"/>
  <pivotFields count="12">
    <pivotField numFmtId="1" showAll="0"/>
    <pivotField axis="axisRow" numFmtId="14" showAll="0">
      <items count="10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t="default"/>
      </items>
    </pivotField>
    <pivotField showAll="0"/>
    <pivotField showAll="0"/>
    <pivotField showAll="0"/>
    <pivotField numFmtId="1" showAll="0"/>
    <pivotField numFmtId="1" showAll="0"/>
    <pivotField numFmtId="1" showAll="0"/>
    <pivotField dataField="1" numFmtId="1"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x="1"/>
        <item x="2"/>
        <item x="3"/>
        <item x="4"/>
        <item sd="0" x="5"/>
        <item t="default"/>
      </items>
    </pivotField>
    <pivotField axis="axisRow" showAll="0" sortType="descending">
      <items count="6">
        <item sd="0" x="0"/>
        <item sd="0" x="1"/>
        <item sd="0" x="2"/>
        <item sd="0" x="3"/>
        <item sd="0" x="4"/>
        <item t="default"/>
      </items>
      <autoSortScope>
        <pivotArea dataOnly="0" outline="0" fieldPosition="0">
          <references count="1">
            <reference field="4294967294" count="1" selected="0">
              <x v="0"/>
            </reference>
          </references>
        </pivotArea>
      </autoSortScope>
    </pivotField>
  </pivotFields>
  <rowFields count="4">
    <field x="11"/>
    <field x="10"/>
    <field x="9"/>
    <field x="1"/>
  </rowFields>
  <rowItems count="4">
    <i>
      <x v="1"/>
    </i>
    <i>
      <x v="2"/>
    </i>
    <i>
      <x v="3"/>
    </i>
    <i t="grand">
      <x/>
    </i>
  </rowItems>
  <colItems count="1">
    <i/>
  </colItems>
  <dataFields count="1">
    <dataField name="Sum of Total sales after 15% discount" fld="8" baseField="0" baseItem="0" numFmtId="1"/>
  </dataFields>
  <formats count="2">
    <format dxfId="8">
      <pivotArea outline="0" collapsedLevelsAreSubtotals="1" fieldPosition="0"/>
    </format>
    <format dxfId="7">
      <pivotArea dataOnly="0" labelOnly="1" fieldPosition="0">
        <references count="3">
          <reference field="9" count="1">
            <x v="1"/>
          </reference>
          <reference field="10" count="1" selected="0">
            <x v="1"/>
          </reference>
          <reference field="11" count="1" selected="0">
            <x v="3"/>
          </reference>
        </references>
      </pivotArea>
    </format>
  </formats>
  <conditionalFormats count="2">
    <conditionalFormat priority="4">
      <pivotAreas count="3">
        <pivotArea type="data" collapsedLevelsAreSubtotals="1" fieldPosition="0">
          <references count="2">
            <reference field="4294967294" count="1" selected="0">
              <x v="0"/>
            </reference>
            <reference field="11" count="1">
              <x v="1"/>
            </reference>
          </references>
        </pivotArea>
        <pivotArea type="data" collapsedLevelsAreSubtotals="1" fieldPosition="0">
          <references count="2">
            <reference field="4294967294" count="1" selected="0">
              <x v="0"/>
            </reference>
            <reference field="11" count="1">
              <x v="2"/>
            </reference>
          </references>
        </pivotArea>
        <pivotArea type="data" collapsedLevelsAreSubtotals="1" fieldPosition="0">
          <references count="2">
            <reference field="4294967294" count="1" selected="0">
              <x v="0"/>
            </reference>
            <reference field="11" count="1">
              <x v="3"/>
            </reference>
          </references>
        </pivotArea>
      </pivotAreas>
    </conditionalFormat>
    <conditionalFormat priority="1">
      <pivotAreas count="3">
        <pivotArea type="data" collapsedLevelsAreSubtotals="1" fieldPosition="0">
          <references count="2">
            <reference field="4294967294" count="1" selected="0">
              <x v="0"/>
            </reference>
            <reference field="11" count="1">
              <x v="1"/>
            </reference>
          </references>
        </pivotArea>
        <pivotArea type="data" collapsedLevelsAreSubtotals="1" fieldPosition="0">
          <references count="2">
            <reference field="4294967294" count="1" selected="0">
              <x v="0"/>
            </reference>
            <reference field="11" count="1">
              <x v="2"/>
            </reference>
          </references>
        </pivotArea>
        <pivotArea type="data" collapsedLevelsAreSubtotals="1" fieldPosition="0">
          <references count="2">
            <reference field="4294967294" count="1" selected="0">
              <x v="0"/>
            </reference>
            <reference field="11" count="1">
              <x v="3"/>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E8FBBF7-81C1-45A9-9AF5-461052844BB7}"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H10:I16" firstHeaderRow="1" firstDataRow="1" firstDataCol="1"/>
  <pivotFields count="12">
    <pivotField numFmtId="1" showAll="0"/>
    <pivotField numFmtId="14" showAll="0">
      <items count="10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t="default"/>
      </items>
    </pivotField>
    <pivotField showAll="0"/>
    <pivotField axis="axisRow" showAll="0" sortType="descending">
      <items count="11">
        <item h="1" x="9"/>
        <item x="1"/>
        <item h="1" x="3"/>
        <item x="0"/>
        <item x="2"/>
        <item h="1" x="6"/>
        <item h="1" x="7"/>
        <item x="4"/>
        <item x="5"/>
        <item h="1" x="8"/>
        <item t="default"/>
      </items>
      <autoSortScope>
        <pivotArea dataOnly="0" outline="0" fieldPosition="0">
          <references count="1">
            <reference field="4294967294" count="1" selected="0">
              <x v="0"/>
            </reference>
          </references>
        </pivotArea>
      </autoSortScope>
    </pivotField>
    <pivotField showAll="0"/>
    <pivotField numFmtId="1" showAll="0"/>
    <pivotField dataField="1" numFmtId="1" showAll="0"/>
    <pivotField numFmtId="1" showAll="0"/>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h="1" x="0"/>
        <item h="1" x="1"/>
        <item h="1" x="2"/>
        <item x="3"/>
        <item h="1" x="4"/>
        <item t="default"/>
      </items>
    </pivotField>
  </pivotFields>
  <rowFields count="1">
    <field x="3"/>
  </rowFields>
  <rowItems count="6">
    <i>
      <x v="3"/>
    </i>
    <i>
      <x v="1"/>
    </i>
    <i>
      <x v="8"/>
    </i>
    <i>
      <x v="4"/>
    </i>
    <i>
      <x v="7"/>
    </i>
    <i t="grand">
      <x/>
    </i>
  </rowItems>
  <colItems count="1">
    <i/>
  </colItems>
  <dataFields count="1">
    <dataField name="Sum of Item quantity" fld="6" baseField="0" baseItem="0" numFmtId="1"/>
  </dataFields>
  <formats count="1">
    <format dxfId="9">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20" format="5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A0C4D82-59FF-4B74-B7F2-E82EAFDA63B8}" name="PivotTable1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K3:V17" firstHeaderRow="1" firstDataRow="2" firstDataCol="1"/>
  <pivotFields count="12">
    <pivotField numFmtId="1" showAll="0"/>
    <pivotField numFmtId="14" showAll="0">
      <items count="10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t="default"/>
      </items>
    </pivotField>
    <pivotField showAll="0"/>
    <pivotField axis="axisCol" showAll="0">
      <items count="11">
        <item x="9"/>
        <item x="1"/>
        <item x="3"/>
        <item x="0"/>
        <item x="2"/>
        <item x="6"/>
        <item x="7"/>
        <item x="4"/>
        <item x="5"/>
        <item x="8"/>
        <item t="default"/>
      </items>
    </pivotField>
    <pivotField showAll="0">
      <items count="5">
        <item x="3"/>
        <item x="0"/>
        <item x="2"/>
        <item x="1"/>
        <item t="default"/>
      </items>
    </pivotField>
    <pivotField numFmtId="1" showAll="0"/>
    <pivotField numFmtId="1" showAll="0"/>
    <pivotField numFmtId="1" showAll="0"/>
    <pivotField dataField="1" numFmtId="1" showAll="0"/>
    <pivotField axis="axisRow"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9"/>
  </rowFields>
  <rowItems count="13">
    <i>
      <x v="1"/>
    </i>
    <i>
      <x v="2"/>
    </i>
    <i>
      <x v="3"/>
    </i>
    <i>
      <x v="4"/>
    </i>
    <i>
      <x v="5"/>
    </i>
    <i>
      <x v="6"/>
    </i>
    <i>
      <x v="7"/>
    </i>
    <i>
      <x v="8"/>
    </i>
    <i>
      <x v="9"/>
    </i>
    <i>
      <x v="10"/>
    </i>
    <i>
      <x v="11"/>
    </i>
    <i>
      <x v="12"/>
    </i>
    <i t="grand">
      <x/>
    </i>
  </rowItems>
  <colFields count="1">
    <field x="3"/>
  </colFields>
  <colItems count="11">
    <i>
      <x/>
    </i>
    <i>
      <x v="1"/>
    </i>
    <i>
      <x v="2"/>
    </i>
    <i>
      <x v="3"/>
    </i>
    <i>
      <x v="4"/>
    </i>
    <i>
      <x v="5"/>
    </i>
    <i>
      <x v="6"/>
    </i>
    <i>
      <x v="7"/>
    </i>
    <i>
      <x v="8"/>
    </i>
    <i>
      <x v="9"/>
    </i>
    <i t="grand">
      <x/>
    </i>
  </colItems>
  <dataFields count="1">
    <dataField name="Sum of Total sales after 15% discount" fld="8" baseField="4" baseItem="1" numFmtId="1"/>
  </dataFields>
  <formats count="1">
    <format dxfId="10">
      <pivotArea outline="0" collapsedLevelsAreSubtotals="1" fieldPosition="0"/>
    </format>
  </formats>
  <chartFormats count="32">
    <chartFormat chart="15" format="19" series="1">
      <pivotArea type="data" outline="0" fieldPosition="0">
        <references count="1">
          <reference field="4294967294" count="1" selected="0">
            <x v="0"/>
          </reference>
        </references>
      </pivotArea>
    </chartFormat>
    <chartFormat chart="37" format="495" series="1">
      <pivotArea type="data" outline="0" fieldPosition="0">
        <references count="2">
          <reference field="4294967294" count="1" selected="0">
            <x v="0"/>
          </reference>
          <reference field="3" count="1" selected="0">
            <x v="0"/>
          </reference>
        </references>
      </pivotArea>
    </chartFormat>
    <chartFormat chart="37" format="496" series="1">
      <pivotArea type="data" outline="0" fieldPosition="0">
        <references count="2">
          <reference field="4294967294" count="1" selected="0">
            <x v="0"/>
          </reference>
          <reference field="3" count="1" selected="0">
            <x v="1"/>
          </reference>
        </references>
      </pivotArea>
    </chartFormat>
    <chartFormat chart="37" format="497" series="1">
      <pivotArea type="data" outline="0" fieldPosition="0">
        <references count="2">
          <reference field="4294967294" count="1" selected="0">
            <x v="0"/>
          </reference>
          <reference field="3" count="1" selected="0">
            <x v="2"/>
          </reference>
        </references>
      </pivotArea>
    </chartFormat>
    <chartFormat chart="37" format="498" series="1">
      <pivotArea type="data" outline="0" fieldPosition="0">
        <references count="2">
          <reference field="4294967294" count="1" selected="0">
            <x v="0"/>
          </reference>
          <reference field="3" count="1" selected="0">
            <x v="3"/>
          </reference>
        </references>
      </pivotArea>
    </chartFormat>
    <chartFormat chart="37" format="499" series="1">
      <pivotArea type="data" outline="0" fieldPosition="0">
        <references count="2">
          <reference field="4294967294" count="1" selected="0">
            <x v="0"/>
          </reference>
          <reference field="3" count="1" selected="0">
            <x v="4"/>
          </reference>
        </references>
      </pivotArea>
    </chartFormat>
    <chartFormat chart="37" format="500" series="1">
      <pivotArea type="data" outline="0" fieldPosition="0">
        <references count="2">
          <reference field="4294967294" count="1" selected="0">
            <x v="0"/>
          </reference>
          <reference field="3" count="1" selected="0">
            <x v="5"/>
          </reference>
        </references>
      </pivotArea>
    </chartFormat>
    <chartFormat chart="37" format="501" series="1">
      <pivotArea type="data" outline="0" fieldPosition="0">
        <references count="2">
          <reference field="4294967294" count="1" selected="0">
            <x v="0"/>
          </reference>
          <reference field="3" count="1" selected="0">
            <x v="6"/>
          </reference>
        </references>
      </pivotArea>
    </chartFormat>
    <chartFormat chart="37" format="502" series="1">
      <pivotArea type="data" outline="0" fieldPosition="0">
        <references count="2">
          <reference field="4294967294" count="1" selected="0">
            <x v="0"/>
          </reference>
          <reference field="3" count="1" selected="0">
            <x v="7"/>
          </reference>
        </references>
      </pivotArea>
    </chartFormat>
    <chartFormat chart="37" format="503" series="1">
      <pivotArea type="data" outline="0" fieldPosition="0">
        <references count="2">
          <reference field="4294967294" count="1" selected="0">
            <x v="0"/>
          </reference>
          <reference field="3" count="1" selected="0">
            <x v="8"/>
          </reference>
        </references>
      </pivotArea>
    </chartFormat>
    <chartFormat chart="37" format="504" series="1">
      <pivotArea type="data" outline="0" fieldPosition="0">
        <references count="2">
          <reference field="4294967294" count="1" selected="0">
            <x v="0"/>
          </reference>
          <reference field="3" count="1" selected="0">
            <x v="9"/>
          </reference>
        </references>
      </pivotArea>
    </chartFormat>
    <chartFormat chart="38" format="505" series="1">
      <pivotArea type="data" outline="0" fieldPosition="0">
        <references count="2">
          <reference field="4294967294" count="1" selected="0">
            <x v="0"/>
          </reference>
          <reference field="3" count="1" selected="0">
            <x v="0"/>
          </reference>
        </references>
      </pivotArea>
    </chartFormat>
    <chartFormat chart="38" format="506" series="1">
      <pivotArea type="data" outline="0" fieldPosition="0">
        <references count="2">
          <reference field="4294967294" count="1" selected="0">
            <x v="0"/>
          </reference>
          <reference field="3" count="1" selected="0">
            <x v="1"/>
          </reference>
        </references>
      </pivotArea>
    </chartFormat>
    <chartFormat chart="38" format="507" series="1">
      <pivotArea type="data" outline="0" fieldPosition="0">
        <references count="2">
          <reference field="4294967294" count="1" selected="0">
            <x v="0"/>
          </reference>
          <reference field="3" count="1" selected="0">
            <x v="2"/>
          </reference>
        </references>
      </pivotArea>
    </chartFormat>
    <chartFormat chart="38" format="508" series="1">
      <pivotArea type="data" outline="0" fieldPosition="0">
        <references count="2">
          <reference field="4294967294" count="1" selected="0">
            <x v="0"/>
          </reference>
          <reference field="3" count="1" selected="0">
            <x v="3"/>
          </reference>
        </references>
      </pivotArea>
    </chartFormat>
    <chartFormat chart="38" format="509" series="1">
      <pivotArea type="data" outline="0" fieldPosition="0">
        <references count="2">
          <reference field="4294967294" count="1" selected="0">
            <x v="0"/>
          </reference>
          <reference field="3" count="1" selected="0">
            <x v="4"/>
          </reference>
        </references>
      </pivotArea>
    </chartFormat>
    <chartFormat chart="38" format="510" series="1">
      <pivotArea type="data" outline="0" fieldPosition="0">
        <references count="2">
          <reference field="4294967294" count="1" selected="0">
            <x v="0"/>
          </reference>
          <reference field="3" count="1" selected="0">
            <x v="5"/>
          </reference>
        </references>
      </pivotArea>
    </chartFormat>
    <chartFormat chart="38" format="511" series="1">
      <pivotArea type="data" outline="0" fieldPosition="0">
        <references count="2">
          <reference field="4294967294" count="1" selected="0">
            <x v="0"/>
          </reference>
          <reference field="3" count="1" selected="0">
            <x v="6"/>
          </reference>
        </references>
      </pivotArea>
    </chartFormat>
    <chartFormat chart="38" format="512" series="1">
      <pivotArea type="data" outline="0" fieldPosition="0">
        <references count="2">
          <reference field="4294967294" count="1" selected="0">
            <x v="0"/>
          </reference>
          <reference field="3" count="1" selected="0">
            <x v="7"/>
          </reference>
        </references>
      </pivotArea>
    </chartFormat>
    <chartFormat chart="38" format="513" series="1">
      <pivotArea type="data" outline="0" fieldPosition="0">
        <references count="2">
          <reference field="4294967294" count="1" selected="0">
            <x v="0"/>
          </reference>
          <reference field="3" count="1" selected="0">
            <x v="8"/>
          </reference>
        </references>
      </pivotArea>
    </chartFormat>
    <chartFormat chart="38" format="514" series="1">
      <pivotArea type="data" outline="0" fieldPosition="0">
        <references count="2">
          <reference field="4294967294" count="1" selected="0">
            <x v="0"/>
          </reference>
          <reference field="3" count="1" selected="0">
            <x v="9"/>
          </reference>
        </references>
      </pivotArea>
    </chartFormat>
    <chartFormat chart="31" format="515" series="1">
      <pivotArea type="data" outline="0" fieldPosition="0">
        <references count="2">
          <reference field="4294967294" count="1" selected="0">
            <x v="0"/>
          </reference>
          <reference field="3" count="1" selected="0">
            <x v="0"/>
          </reference>
        </references>
      </pivotArea>
    </chartFormat>
    <chartFormat chart="31" format="516" series="1">
      <pivotArea type="data" outline="0" fieldPosition="0">
        <references count="2">
          <reference field="4294967294" count="1" selected="0">
            <x v="0"/>
          </reference>
          <reference field="3" count="1" selected="0">
            <x v="1"/>
          </reference>
        </references>
      </pivotArea>
    </chartFormat>
    <chartFormat chart="31" format="517" series="1">
      <pivotArea type="data" outline="0" fieldPosition="0">
        <references count="2">
          <reference field="4294967294" count="1" selected="0">
            <x v="0"/>
          </reference>
          <reference field="3" count="1" selected="0">
            <x v="2"/>
          </reference>
        </references>
      </pivotArea>
    </chartFormat>
    <chartFormat chart="31" format="518" series="1">
      <pivotArea type="data" outline="0" fieldPosition="0">
        <references count="2">
          <reference field="4294967294" count="1" selected="0">
            <x v="0"/>
          </reference>
          <reference field="3" count="1" selected="0">
            <x v="3"/>
          </reference>
        </references>
      </pivotArea>
    </chartFormat>
    <chartFormat chart="31" format="519" series="1">
      <pivotArea type="data" outline="0" fieldPosition="0">
        <references count="2">
          <reference field="4294967294" count="1" selected="0">
            <x v="0"/>
          </reference>
          <reference field="3" count="1" selected="0">
            <x v="4"/>
          </reference>
        </references>
      </pivotArea>
    </chartFormat>
    <chartFormat chart="31" format="520" series="1">
      <pivotArea type="data" outline="0" fieldPosition="0">
        <references count="2">
          <reference field="4294967294" count="1" selected="0">
            <x v="0"/>
          </reference>
          <reference field="3" count="1" selected="0">
            <x v="5"/>
          </reference>
        </references>
      </pivotArea>
    </chartFormat>
    <chartFormat chart="31" format="521" series="1">
      <pivotArea type="data" outline="0" fieldPosition="0">
        <references count="2">
          <reference field="4294967294" count="1" selected="0">
            <x v="0"/>
          </reference>
          <reference field="3" count="1" selected="0">
            <x v="6"/>
          </reference>
        </references>
      </pivotArea>
    </chartFormat>
    <chartFormat chart="31" format="522" series="1">
      <pivotArea type="data" outline="0" fieldPosition="0">
        <references count="2">
          <reference field="4294967294" count="1" selected="0">
            <x v="0"/>
          </reference>
          <reference field="3" count="1" selected="0">
            <x v="7"/>
          </reference>
        </references>
      </pivotArea>
    </chartFormat>
    <chartFormat chart="31" format="523" series="1">
      <pivotArea type="data" outline="0" fieldPosition="0">
        <references count="2">
          <reference field="4294967294" count="1" selected="0">
            <x v="0"/>
          </reference>
          <reference field="3" count="1" selected="0">
            <x v="8"/>
          </reference>
        </references>
      </pivotArea>
    </chartFormat>
    <chartFormat chart="31" format="524" series="1">
      <pivotArea type="data" outline="0" fieldPosition="0">
        <references count="2">
          <reference field="4294967294" count="1" selected="0">
            <x v="0"/>
          </reference>
          <reference field="3" count="1" selected="0">
            <x v="9"/>
          </reference>
        </references>
      </pivotArea>
    </chartFormat>
    <chartFormat chart="31" format="52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6210D08-7EE4-4A2B-8C0D-8412A3F65EC1}" name="PivotTable0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B7:C18" firstHeaderRow="1" firstDataRow="1" firstDataCol="1"/>
  <pivotFields count="12">
    <pivotField numFmtId="1" showAll="0"/>
    <pivotField numFmtId="14" showAll="0">
      <items count="10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t="default"/>
      </items>
    </pivotField>
    <pivotField showAll="0"/>
    <pivotField axis="axisRow" showAll="0" sortType="ascending">
      <items count="11">
        <item x="9"/>
        <item x="1"/>
        <item x="3"/>
        <item x="0"/>
        <item x="2"/>
        <item x="6"/>
        <item x="7"/>
        <item x="4"/>
        <item x="5"/>
        <item x="8"/>
        <item t="default"/>
      </items>
      <autoSortScope>
        <pivotArea dataOnly="0" outline="0" fieldPosition="0">
          <references count="1">
            <reference field="4294967294" count="1" selected="0">
              <x v="0"/>
            </reference>
          </references>
        </pivotArea>
      </autoSortScope>
    </pivotField>
    <pivotField showAll="0"/>
    <pivotField numFmtId="1" showAll="0"/>
    <pivotField numFmtId="1" showAll="0"/>
    <pivotField numFmtId="1" showAll="0"/>
    <pivotField dataField="1"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11">
    <i>
      <x/>
    </i>
    <i>
      <x v="9"/>
    </i>
    <i>
      <x v="5"/>
    </i>
    <i>
      <x v="7"/>
    </i>
    <i>
      <x v="6"/>
    </i>
    <i>
      <x v="2"/>
    </i>
    <i>
      <x v="4"/>
    </i>
    <i>
      <x v="8"/>
    </i>
    <i>
      <x v="1"/>
    </i>
    <i>
      <x v="3"/>
    </i>
    <i t="grand">
      <x/>
    </i>
  </rowItems>
  <colItems count="1">
    <i/>
  </colItems>
  <dataFields count="1">
    <dataField name="Sum of Total sales after 15% discount" fld="8" baseField="0" baseItem="0" numFmtId="1"/>
  </dataFields>
  <formats count="1">
    <format dxfId="11">
      <pivotArea outline="0" collapsedLevelsAreSubtotals="1" fieldPosition="0"/>
    </format>
  </formats>
  <chartFormats count="3">
    <chartFormat chart="21" format="6"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 chart="32"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51C6BF1-F405-4373-AE4B-749190A43575}" name="PivotTable0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4:B25" firstHeaderRow="1" firstDataRow="1" firstDataCol="0"/>
  <pivotFields count="12">
    <pivotField numFmtId="1" showAll="0"/>
    <pivotField numFmtId="14" showAll="0">
      <items count="10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t="default"/>
      </items>
    </pivotField>
    <pivotField showAll="0"/>
    <pivotField showAll="0"/>
    <pivotField showAll="0"/>
    <pivotField numFmtId="1" showAll="0"/>
    <pivotField dataField="1" numFmtId="1" showAll="0"/>
    <pivotField numFmtId="1" showAll="0"/>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Average of Item quantity" fld="6" subtotal="average" baseField="0" baseItem="0" numFmtId="1"/>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03C59DA-9ECB-4B33-8D66-1D351EBF1811}" name="PivotTable0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12">
    <pivotField numFmtId="1" showAll="0"/>
    <pivotField numFmtId="14" showAll="0">
      <items count="10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t="default"/>
      </items>
    </pivotField>
    <pivotField showAll="0"/>
    <pivotField showAll="0"/>
    <pivotField showAll="0"/>
    <pivotField numFmtId="1" showAll="0"/>
    <pivotField numFmtId="1" showAll="0"/>
    <pivotField numFmtId="1" showAll="0"/>
    <pivotField dataField="1"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Total sales after 15% discount" fld="8" baseField="0" baseItem="0" numFmtId="1"/>
  </dataField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5C36461-D618-4731-840E-54D1E1F1DDB8}" name="PivotTable0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E2:F5" firstHeaderRow="1" firstDataRow="1" firstDataCol="1"/>
  <pivotFields count="12">
    <pivotField numFmtId="1" showAll="0"/>
    <pivotField numFmtId="14" showAll="0">
      <items count="10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t="default"/>
      </items>
    </pivotField>
    <pivotField axis="axisRow" showAll="0">
      <items count="3">
        <item x="0"/>
        <item x="1"/>
        <item t="default"/>
      </items>
    </pivotField>
    <pivotField showAll="0"/>
    <pivotField showAll="0"/>
    <pivotField numFmtId="1" showAll="0"/>
    <pivotField numFmtId="1" showAll="0"/>
    <pivotField numFmtId="1" showAll="0"/>
    <pivotField dataField="1"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3">
    <i>
      <x/>
    </i>
    <i>
      <x v="1"/>
    </i>
    <i t="grand">
      <x/>
    </i>
  </rowItems>
  <colItems count="1">
    <i/>
  </colItems>
  <dataFields count="1">
    <dataField name="Sum of Total sales after 15% discount" fld="8" baseField="0" baseItem="0" numFmtId="1"/>
  </dataFields>
  <formats count="1">
    <format dxfId="14">
      <pivotArea outline="0" collapsedLevelsAreSubtotals="1" fieldPosition="0"/>
    </format>
  </formats>
  <chartFormats count="3">
    <chartFormat chart="20" format="16" series="1">
      <pivotArea type="data" outline="0" fieldPosition="0">
        <references count="1">
          <reference field="4294967294" count="1" selected="0">
            <x v="0"/>
          </reference>
        </references>
      </pivotArea>
    </chartFormat>
    <chartFormat chart="20" format="17">
      <pivotArea type="data" outline="0" fieldPosition="0">
        <references count="2">
          <reference field="4294967294" count="1" selected="0">
            <x v="0"/>
          </reference>
          <reference field="2" count="1" selected="0">
            <x v="0"/>
          </reference>
        </references>
      </pivotArea>
    </chartFormat>
    <chartFormat chart="20" format="18">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CDDA0B6-A50E-4DE9-B33B-89B4BC5657FE}"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E17:F30" firstHeaderRow="1" firstDataRow="1" firstDataCol="1"/>
  <pivotFields count="12">
    <pivotField numFmtId="1" showAll="0"/>
    <pivotField numFmtId="14" showAll="0">
      <items count="10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t="default"/>
      </items>
    </pivotField>
    <pivotField showAll="0"/>
    <pivotField showAll="0"/>
    <pivotField showAll="0"/>
    <pivotField numFmtId="1" showAll="0"/>
    <pivotField numFmtId="1" showAll="0"/>
    <pivotField numFmtId="1" showAll="0"/>
    <pivotField dataField="1" numFmtId="1" showAll="0"/>
    <pivotField axis="axisRow"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9"/>
  </rowFields>
  <rowItems count="13">
    <i>
      <x v="1"/>
    </i>
    <i>
      <x v="2"/>
    </i>
    <i>
      <x v="3"/>
    </i>
    <i>
      <x v="4"/>
    </i>
    <i>
      <x v="5"/>
    </i>
    <i>
      <x v="6"/>
    </i>
    <i>
      <x v="7"/>
    </i>
    <i>
      <x v="8"/>
    </i>
    <i>
      <x v="9"/>
    </i>
    <i>
      <x v="10"/>
    </i>
    <i>
      <x v="11"/>
    </i>
    <i>
      <x v="12"/>
    </i>
    <i t="grand">
      <x/>
    </i>
  </rowItems>
  <colItems count="1">
    <i/>
  </colItems>
  <dataFields count="1">
    <dataField name="Sum of Total sales after 15% discount" fld="8" baseField="0" baseItem="0" numFmtId="1"/>
  </dataFields>
  <formats count="1">
    <format dxfId="15">
      <pivotArea outline="0" collapsedLevelsAreSubtotals="1" fieldPosition="0"/>
    </format>
  </formats>
  <chartFormats count="1">
    <chartFormat chart="1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DEC248D-96E3-4304-BDC9-E78D65AC21D3}" name="PivotTable1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H23:I34" firstHeaderRow="1" firstDataRow="1" firstDataCol="1"/>
  <pivotFields count="12">
    <pivotField numFmtId="1" showAll="0"/>
    <pivotField numFmtId="14" showAll="0">
      <items count="10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t="default"/>
      </items>
    </pivotField>
    <pivotField showAll="0"/>
    <pivotField axis="axisRow" showAll="0">
      <items count="11">
        <item x="9"/>
        <item x="1"/>
        <item x="3"/>
        <item x="0"/>
        <item x="2"/>
        <item x="6"/>
        <item x="7"/>
        <item x="4"/>
        <item x="5"/>
        <item x="8"/>
        <item t="default"/>
      </items>
    </pivotField>
    <pivotField showAll="0">
      <items count="5">
        <item x="3"/>
        <item x="0"/>
        <item x="2"/>
        <item x="1"/>
        <item t="default"/>
      </items>
    </pivotField>
    <pivotField numFmtId="1" showAll="0"/>
    <pivotField numFmtId="1" showAll="0"/>
    <pivotField numFmtId="1" showAll="0"/>
    <pivotField dataField="1"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h="1" x="0"/>
        <item h="1" x="1"/>
        <item h="1" x="2"/>
        <item x="3"/>
        <item h="1" x="4"/>
        <item t="default"/>
      </items>
    </pivotField>
  </pivotFields>
  <rowFields count="1">
    <field x="3"/>
  </rowFields>
  <rowItems count="11">
    <i>
      <x/>
    </i>
    <i>
      <x v="1"/>
    </i>
    <i>
      <x v="2"/>
    </i>
    <i>
      <x v="3"/>
    </i>
    <i>
      <x v="4"/>
    </i>
    <i>
      <x v="5"/>
    </i>
    <i>
      <x v="6"/>
    </i>
    <i>
      <x v="7"/>
    </i>
    <i>
      <x v="8"/>
    </i>
    <i>
      <x v="9"/>
    </i>
    <i t="grand">
      <x/>
    </i>
  </rowItems>
  <colItems count="1">
    <i/>
  </colItems>
  <dataFields count="1">
    <dataField name="Sum of Total sales after 15% discount" fld="8" baseField="3" baseItem="0" numFmtId="1"/>
  </dataFields>
  <formats count="1">
    <format dxfId="16">
      <pivotArea outline="0" collapsedLevelsAreSubtotals="1" fieldPosition="0"/>
    </format>
  </formats>
  <chartFormats count="1">
    <chartFormat chart="1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CDFCE45-C70C-45A1-9B03-43356773A5FA}" name="PivotTable1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H18:I21" firstHeaderRow="1" firstDataRow="1" firstDataCol="1"/>
  <pivotFields count="12">
    <pivotField numFmtId="1" showAll="0"/>
    <pivotField numFmtId="14" showAll="0">
      <items count="10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t="default"/>
      </items>
    </pivotField>
    <pivotField showAll="0"/>
    <pivotField showAll="0"/>
    <pivotField axis="axisRow" showAll="0">
      <items count="5">
        <item h="1" x="3"/>
        <item x="0"/>
        <item h="1" x="2"/>
        <item x="1"/>
        <item t="default"/>
      </items>
    </pivotField>
    <pivotField numFmtId="1" showAll="0"/>
    <pivotField numFmtId="1" showAll="0"/>
    <pivotField numFmtId="1" showAll="0"/>
    <pivotField dataField="1"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h="1" x="0"/>
        <item h="1" x="1"/>
        <item h="1" x="2"/>
        <item x="3"/>
        <item h="1" x="4"/>
        <item t="default"/>
      </items>
    </pivotField>
  </pivotFields>
  <rowFields count="1">
    <field x="4"/>
  </rowFields>
  <rowItems count="3">
    <i>
      <x v="1"/>
    </i>
    <i>
      <x v="3"/>
    </i>
    <i t="grand">
      <x/>
    </i>
  </rowItems>
  <colItems count="1">
    <i/>
  </colItems>
  <dataFields count="1">
    <dataField name="Sum of Total sales after 15% discount" fld="8" subtotal="average" baseField="0" baseItem="0" numFmtId="1"/>
  </dataFields>
  <formats count="1">
    <format dxfId="17">
      <pivotArea outline="0" collapsedLevelsAreSubtotals="1" fieldPosition="0"/>
    </format>
  </formats>
  <chartFormats count="3">
    <chartFormat chart="24" format="42" series="1">
      <pivotArea type="data" outline="0" fieldPosition="0">
        <references count="1">
          <reference field="4294967294" count="1" selected="0">
            <x v="0"/>
          </reference>
        </references>
      </pivotArea>
    </chartFormat>
    <chartFormat chart="24" format="43">
      <pivotArea type="data" outline="0" fieldPosition="0">
        <references count="2">
          <reference field="4294967294" count="1" selected="0">
            <x v="0"/>
          </reference>
          <reference field="4" count="1" selected="0">
            <x v="1"/>
          </reference>
        </references>
      </pivotArea>
    </chartFormat>
    <chartFormat chart="24" format="4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BDEA7DC-16A3-4305-A31E-E386F63FC3CF}" name="PivotTable1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1">
  <location ref="K33:L36" firstHeaderRow="1" firstDataRow="1" firstDataCol="1"/>
  <pivotFields count="12">
    <pivotField numFmtId="1" showAll="0"/>
    <pivotField numFmtId="14" showAll="0">
      <items count="10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t="default"/>
      </items>
    </pivotField>
    <pivotField axis="axisRow" showAll="0">
      <items count="3">
        <item x="0"/>
        <item x="1"/>
        <item t="default"/>
      </items>
    </pivotField>
    <pivotField showAll="0"/>
    <pivotField showAll="0">
      <items count="5">
        <item x="3"/>
        <item x="0"/>
        <item x="2"/>
        <item x="1"/>
        <item t="default"/>
      </items>
    </pivotField>
    <pivotField numFmtId="1" showAll="0"/>
    <pivotField numFmtId="1" showAll="0"/>
    <pivotField numFmtId="1" showAll="0"/>
    <pivotField dataField="1"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3">
    <i>
      <x/>
    </i>
    <i>
      <x v="1"/>
    </i>
    <i t="grand">
      <x/>
    </i>
  </rowItems>
  <colItems count="1">
    <i/>
  </colItems>
  <dataFields count="1">
    <dataField name="Sum of Total sales after 15% discount" fld="8" baseField="0" baseItem="0" numFmtId="1"/>
  </dataFields>
  <formats count="1">
    <format dxfId="18">
      <pivotArea outline="0" collapsedLevelsAreSubtotals="1" fieldPosition="0"/>
    </format>
  </formats>
  <chartFormats count="7">
    <chartFormat chart="32" format="0" series="1">
      <pivotArea type="data" outline="0" fieldPosition="0">
        <references count="2">
          <reference field="4294967294" count="1" selected="0">
            <x v="0"/>
          </reference>
          <reference field="2" count="1" selected="0">
            <x v="0"/>
          </reference>
        </references>
      </pivotArea>
    </chartFormat>
    <chartFormat chart="32" format="1" series="1">
      <pivotArea type="data" outline="0" fieldPosition="0">
        <references count="2">
          <reference field="4294967294" count="1" selected="0">
            <x v="0"/>
          </reference>
          <reference field="2" count="1" selected="0">
            <x v="1"/>
          </reference>
        </references>
      </pivotArea>
    </chartFormat>
    <chartFormat chart="35" format="4" series="1">
      <pivotArea type="data" outline="0" fieldPosition="0">
        <references count="2">
          <reference field="4294967294" count="1" selected="0">
            <x v="0"/>
          </reference>
          <reference field="2" count="1" selected="0">
            <x v="0"/>
          </reference>
        </references>
      </pivotArea>
    </chartFormat>
    <chartFormat chart="35" format="5" series="1">
      <pivotArea type="data" outline="0" fieldPosition="0">
        <references count="2">
          <reference field="4294967294" count="1" selected="0">
            <x v="0"/>
          </reference>
          <reference field="2" count="1" selected="0">
            <x v="1"/>
          </reference>
        </references>
      </pivotArea>
    </chartFormat>
    <chartFormat chart="46" format="4" series="1">
      <pivotArea type="data" outline="0" fieldPosition="0">
        <references count="1">
          <reference field="4294967294" count="1" selected="0">
            <x v="0"/>
          </reference>
        </references>
      </pivotArea>
    </chartFormat>
    <chartFormat chart="46" format="5">
      <pivotArea type="data" outline="0" fieldPosition="0">
        <references count="2">
          <reference field="4294967294" count="1" selected="0">
            <x v="0"/>
          </reference>
          <reference field="2" count="1" selected="0">
            <x v="0"/>
          </reference>
        </references>
      </pivotArea>
    </chartFormat>
    <chartFormat chart="46" format="6">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565B68D3-5457-4B07-8F43-BA561210F936}" name="PivotTable1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location ref="K19:N31" firstHeaderRow="1" firstDataRow="2" firstDataCol="1"/>
  <pivotFields count="12">
    <pivotField numFmtId="1" showAll="0"/>
    <pivotField numFmtId="14" showAll="0">
      <items count="10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t="default"/>
      </items>
    </pivotField>
    <pivotField axis="axisCol" showAll="0">
      <items count="3">
        <item x="0"/>
        <item x="1"/>
        <item t="default"/>
      </items>
    </pivotField>
    <pivotField axis="axisRow" showAll="0">
      <items count="11">
        <item x="9"/>
        <item x="1"/>
        <item x="3"/>
        <item x="0"/>
        <item x="2"/>
        <item x="6"/>
        <item x="7"/>
        <item x="4"/>
        <item x="5"/>
        <item x="8"/>
        <item t="default"/>
      </items>
    </pivotField>
    <pivotField showAll="0">
      <items count="5">
        <item x="3"/>
        <item x="0"/>
        <item x="2"/>
        <item x="1"/>
        <item t="default"/>
      </items>
    </pivotField>
    <pivotField numFmtId="1" showAll="0"/>
    <pivotField numFmtId="1" showAll="0"/>
    <pivotField numFmtId="1" showAll="0"/>
    <pivotField dataField="1"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11">
    <i>
      <x/>
    </i>
    <i>
      <x v="1"/>
    </i>
    <i>
      <x v="2"/>
    </i>
    <i>
      <x v="3"/>
    </i>
    <i>
      <x v="4"/>
    </i>
    <i>
      <x v="5"/>
    </i>
    <i>
      <x v="6"/>
    </i>
    <i>
      <x v="7"/>
    </i>
    <i>
      <x v="8"/>
    </i>
    <i>
      <x v="9"/>
    </i>
    <i t="grand">
      <x/>
    </i>
  </rowItems>
  <colFields count="1">
    <field x="2"/>
  </colFields>
  <colItems count="3">
    <i>
      <x/>
    </i>
    <i>
      <x v="1"/>
    </i>
    <i t="grand">
      <x/>
    </i>
  </colItems>
  <dataFields count="1">
    <dataField name="Sum of Total sales after 15% discount" fld="8" baseField="0" baseItem="0" numFmtId="1"/>
  </dataFields>
  <formats count="1">
    <format dxfId="19">
      <pivotArea outline="0" collapsedLevelsAreSubtotals="1" fieldPosition="0"/>
    </format>
  </formats>
  <chartFormats count="3">
    <chartFormat chart="35" format="4" series="1">
      <pivotArea type="data" outline="0" fieldPosition="0">
        <references count="2">
          <reference field="4294967294" count="1" selected="0">
            <x v="0"/>
          </reference>
          <reference field="2" count="1" selected="0">
            <x v="0"/>
          </reference>
        </references>
      </pivotArea>
    </chartFormat>
    <chartFormat chart="35" format="5" series="1">
      <pivotArea type="data" outline="0" fieldPosition="0">
        <references count="2">
          <reference field="4294967294" count="1" selected="0">
            <x v="0"/>
          </reference>
          <reference field="2" count="1" selected="0">
            <x v="1"/>
          </reference>
        </references>
      </pivotArea>
    </chartFormat>
    <chartFormat chart="35"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ategory name">
  <location ref="A67:B80" firstHeaderRow="1" firstDataRow="1" firstDataCol="1"/>
  <pivotFields count="14">
    <pivotField showAll="0"/>
    <pivotField numFmtId="14" showAll="0">
      <items count="10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t="default"/>
      </items>
    </pivotField>
    <pivotField showAll="0"/>
    <pivotField showAll="0"/>
    <pivotField showAll="0"/>
    <pivotField showAll="0"/>
    <pivotField showAll="0"/>
    <pivotField dataField="1" showAll="0"/>
    <pivotField showAll="0"/>
    <pivotField showAll="0">
      <items count="4">
        <item x="0"/>
        <item x="1"/>
        <item x="2"/>
        <item t="default"/>
      </items>
    </pivotField>
    <pivotField showAll="0"/>
    <pivotField axis="axisRow"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1"/>
  </rowFields>
  <rowItems count="13">
    <i>
      <x v="1"/>
    </i>
    <i>
      <x v="2"/>
    </i>
    <i>
      <x v="3"/>
    </i>
    <i>
      <x v="4"/>
    </i>
    <i>
      <x v="5"/>
    </i>
    <i>
      <x v="6"/>
    </i>
    <i>
      <x v="7"/>
    </i>
    <i>
      <x v="8"/>
    </i>
    <i>
      <x v="9"/>
    </i>
    <i>
      <x v="10"/>
    </i>
    <i>
      <x v="11"/>
    </i>
    <i>
      <x v="12"/>
    </i>
    <i t="grand">
      <x/>
    </i>
  </rowItems>
  <colItems count="1">
    <i/>
  </colItems>
  <dataFields count="1">
    <dataField name="Sum of Total Sales" fld="7" baseField="0" baseItem="0" numFmtId="165"/>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name">
  <location ref="A50:E61" firstHeaderRow="0" firstDataRow="1" firstDataCol="1"/>
  <pivotFields count="14">
    <pivotField showAll="0"/>
    <pivotField numFmtId="14" showAll="0">
      <items count="10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t="default"/>
      </items>
    </pivotField>
    <pivotField showAll="0"/>
    <pivotField axis="axisRow" showAll="0">
      <items count="11">
        <item x="9"/>
        <item x="1"/>
        <item x="3"/>
        <item x="0"/>
        <item x="2"/>
        <item x="6"/>
        <item x="7"/>
        <item x="4"/>
        <item x="5"/>
        <item x="8"/>
        <item t="default"/>
      </items>
    </pivotField>
    <pivotField showAll="0"/>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11">
    <i>
      <x/>
    </i>
    <i>
      <x v="1"/>
    </i>
    <i>
      <x v="2"/>
    </i>
    <i>
      <x v="3"/>
    </i>
    <i>
      <x v="4"/>
    </i>
    <i>
      <x v="5"/>
    </i>
    <i>
      <x v="6"/>
    </i>
    <i>
      <x v="7"/>
    </i>
    <i>
      <x v="8"/>
    </i>
    <i>
      <x v="9"/>
    </i>
    <i t="grand">
      <x/>
    </i>
  </rowItems>
  <colFields count="1">
    <field x="-2"/>
  </colFields>
  <colItems count="4">
    <i>
      <x/>
    </i>
    <i i="1">
      <x v="1"/>
    </i>
    <i i="2">
      <x v="2"/>
    </i>
    <i i="3">
      <x v="3"/>
    </i>
  </colItems>
  <dataFields count="4">
    <dataField name="Sum of Total Sales" fld="8" baseField="0" baseItem="0"/>
    <dataField name="Average of Total Sales2" fld="8" subtotal="average" baseField="3" baseItem="0"/>
    <dataField name="Max of Total Sales2" fld="8" subtotal="max" baseField="3" baseItem="3"/>
    <dataField name="Min of Total Sales2" fld="8" subtotal="min" baseField="3"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name">
  <location ref="A32:B47" firstHeaderRow="1" firstDataRow="1" firstDataCol="1"/>
  <pivotFields count="14">
    <pivotField showAll="0"/>
    <pivotField numFmtId="14" showAll="0">
      <items count="10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t="default"/>
      </items>
    </pivotField>
    <pivotField showAll="0"/>
    <pivotField axis="axisRow" showAll="0">
      <items count="11">
        <item x="9"/>
        <item x="1"/>
        <item x="3"/>
        <item x="0"/>
        <item x="2"/>
        <item x="6"/>
        <item x="7"/>
        <item x="4"/>
        <item x="5"/>
        <item x="8"/>
        <item t="default"/>
      </items>
    </pivotField>
    <pivotField axis="axisRow" showAll="0">
      <items count="5">
        <item x="3"/>
        <item x="0"/>
        <item x="2"/>
        <item x="1"/>
        <item t="default"/>
      </items>
    </pivotField>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2">
    <field x="4"/>
    <field x="3"/>
  </rowFields>
  <rowItems count="15">
    <i>
      <x/>
    </i>
    <i r="1">
      <x/>
    </i>
    <i r="1">
      <x v="9"/>
    </i>
    <i>
      <x v="1"/>
    </i>
    <i r="1">
      <x v="1"/>
    </i>
    <i r="1">
      <x v="2"/>
    </i>
    <i r="1">
      <x v="3"/>
    </i>
    <i r="1">
      <x v="4"/>
    </i>
    <i>
      <x v="2"/>
    </i>
    <i r="1">
      <x v="5"/>
    </i>
    <i r="1">
      <x v="6"/>
    </i>
    <i>
      <x v="3"/>
    </i>
    <i r="1">
      <x v="7"/>
    </i>
    <i r="1">
      <x v="8"/>
    </i>
    <i t="grand">
      <x/>
    </i>
  </rowItems>
  <colItems count="1">
    <i/>
  </colItems>
  <dataFields count="1">
    <dataField name="Sum of Total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
  <location ref="A22:B26" firstHeaderRow="1" firstDataRow="1" firstDataCol="1"/>
  <pivotFields count="14">
    <pivotField showAll="0"/>
    <pivotField numFmtId="14" showAll="0">
      <items count="10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t="default"/>
      </items>
    </pivotField>
    <pivotField showAll="0"/>
    <pivotField showAll="0"/>
    <pivotField showAll="0"/>
    <pivotField showAll="0"/>
    <pivotField showAll="0"/>
    <pivotField showAll="0"/>
    <pivotField dataField="1" showAll="0"/>
    <pivotField axis="axisRow" showAll="0">
      <items count="4">
        <item x="0"/>
        <item x="1"/>
        <item x="2"/>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9"/>
  </rowFields>
  <rowItems count="4">
    <i>
      <x/>
    </i>
    <i>
      <x v="1"/>
    </i>
    <i>
      <x v="2"/>
    </i>
    <i t="grand">
      <x/>
    </i>
  </rowItems>
  <colItems count="1">
    <i/>
  </colItems>
  <dataFields count="1">
    <dataField name="Sum of Total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A19" firstHeaderRow="1" firstDataRow="1" firstDataCol="0"/>
  <pivotFields count="14">
    <pivotField showAll="0"/>
    <pivotField numFmtId="14" showAll="0">
      <items count="10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t="default"/>
      </items>
    </pivotField>
    <pivotField showAll="0"/>
    <pivotField showAll="0"/>
    <pivotField showAll="0"/>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Total Sales" fld="8"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item names">
  <location ref="A3:B14" firstHeaderRow="1" firstDataRow="1" firstDataCol="1"/>
  <pivotFields count="14">
    <pivotField showAll="0"/>
    <pivotField numFmtId="14" showAll="0">
      <items count="10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t="default"/>
      </items>
    </pivotField>
    <pivotField showAll="0"/>
    <pivotField axis="axisRow" dataField="1" showAll="0" sortType="descending">
      <items count="11">
        <item x="9"/>
        <item x="1"/>
        <item x="3"/>
        <item x="0"/>
        <item x="2"/>
        <item x="6"/>
        <item x="7"/>
        <item x="4"/>
        <item x="5"/>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11">
    <i>
      <x v="3"/>
    </i>
    <i>
      <x v="8"/>
    </i>
    <i>
      <x v="1"/>
    </i>
    <i>
      <x v="4"/>
    </i>
    <i>
      <x v="2"/>
    </i>
    <i>
      <x v="7"/>
    </i>
    <i>
      <x v="5"/>
    </i>
    <i>
      <x v="9"/>
    </i>
    <i>
      <x/>
    </i>
    <i>
      <x v="6"/>
    </i>
    <i t="grand">
      <x/>
    </i>
  </rowItems>
  <colItems count="1">
    <i/>
  </colItems>
  <dataFields count="1">
    <dataField name="Count of Item nam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00000000-0007-0000-0700-00000D000000}"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84:E85" firstHeaderRow="1" firstDataRow="1" firstDataCol="0"/>
  <pivotFields count="10">
    <pivotField showAll="0"/>
    <pivotField numFmtId="14" showAll="0"/>
    <pivotField showAll="0"/>
    <pivotField showAll="0">
      <items count="11">
        <item x="9"/>
        <item x="1"/>
        <item x="3"/>
        <item x="0"/>
        <item x="2"/>
        <item x="6"/>
        <item x="7"/>
        <item x="4"/>
        <item x="5"/>
        <item x="8"/>
        <item t="default"/>
      </items>
    </pivotField>
    <pivotField showAll="0">
      <items count="5">
        <item x="3"/>
        <item x="0"/>
        <item x="2"/>
        <item x="1"/>
        <item t="default"/>
      </items>
    </pivotField>
    <pivotField showAll="0"/>
    <pivotField showAll="0"/>
    <pivotField dataField="1" showAll="0"/>
    <pivotField showAll="0">
      <items count="13">
        <item x="0"/>
        <item x="1"/>
        <item x="2"/>
        <item x="3"/>
        <item x="4"/>
        <item x="5"/>
        <item x="6"/>
        <item x="7"/>
        <item x="8"/>
        <item x="9"/>
        <item x="10"/>
        <item x="11"/>
        <item t="default"/>
      </items>
    </pivotField>
    <pivotField showAll="0">
      <items count="4">
        <item x="0"/>
        <item x="1"/>
        <item x="2"/>
        <item t="default"/>
      </items>
    </pivotField>
  </pivotFields>
  <rowItems count="1">
    <i/>
  </rowItems>
  <colItems count="1">
    <i/>
  </colItems>
  <dataFields count="1">
    <dataField name="Average of Item amount" fld="7" subtotal="average" baseField="1" baseItem="0" numFmtId="165"/>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00000000-0007-0000-0700-00000C00000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5:B58" firstHeaderRow="1" firstDataRow="1" firstDataCol="1"/>
  <pivotFields count="10">
    <pivotField showAll="0"/>
    <pivotField numFmtId="14" showAll="0"/>
    <pivotField showAll="0"/>
    <pivotField showAll="0" sortType="descending">
      <items count="11">
        <item x="9"/>
        <item x="1"/>
        <item x="3"/>
        <item x="0"/>
        <item x="2"/>
        <item x="6"/>
        <item x="7"/>
        <item x="4"/>
        <item x="5"/>
        <item x="8"/>
        <item t="default"/>
      </items>
      <autoSortScope>
        <pivotArea dataOnly="0" outline="0" fieldPosition="0">
          <references count="1">
            <reference field="4294967294" count="1" selected="0">
              <x v="0"/>
            </reference>
          </references>
        </pivotArea>
      </autoSortScope>
    </pivotField>
    <pivotField showAll="0" sortType="descending">
      <autoSortScope>
        <pivotArea dataOnly="0" outline="0" fieldPosition="0">
          <references count="1">
            <reference field="4294967294" count="1" selected="0">
              <x v="0"/>
            </reference>
          </references>
        </pivotArea>
      </autoSortScope>
    </pivotField>
    <pivotField showAll="0"/>
    <pivotField showAll="0"/>
    <pivotField dataField="1" showAll="0"/>
    <pivotField axis="axisRow" showAll="0">
      <items count="13">
        <item x="0"/>
        <item x="1"/>
        <item x="2"/>
        <item x="3"/>
        <item x="4"/>
        <item x="5"/>
        <item x="6"/>
        <item x="7"/>
        <item x="8"/>
        <item x="9"/>
        <item x="10"/>
        <item x="11"/>
        <item t="default"/>
      </items>
    </pivotField>
    <pivotField showAll="0">
      <items count="4">
        <item x="0"/>
        <item x="1"/>
        <item x="2"/>
        <item t="default"/>
      </items>
    </pivotField>
  </pivotFields>
  <rowFields count="1">
    <field x="8"/>
  </rowFields>
  <rowItems count="13">
    <i>
      <x/>
    </i>
    <i>
      <x v="1"/>
    </i>
    <i>
      <x v="2"/>
    </i>
    <i>
      <x v="3"/>
    </i>
    <i>
      <x v="4"/>
    </i>
    <i>
      <x v="5"/>
    </i>
    <i>
      <x v="6"/>
    </i>
    <i>
      <x v="7"/>
    </i>
    <i>
      <x v="8"/>
    </i>
    <i>
      <x v="9"/>
    </i>
    <i>
      <x v="10"/>
    </i>
    <i>
      <x v="11"/>
    </i>
    <i t="grand">
      <x/>
    </i>
  </rowItems>
  <colItems count="1">
    <i/>
  </colItems>
  <dataFields count="1">
    <dataField name="Sum of Item amount" fld="7" baseField="0" baseItem="0" numFmtId="165"/>
  </dataFields>
  <chartFormats count="7">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8" count="1" selected="0">
            <x v="0"/>
          </reference>
        </references>
      </pivotArea>
    </chartFormat>
    <chartFormat chart="3" format="4">
      <pivotArea type="data" outline="0" fieldPosition="0">
        <references count="2">
          <reference field="4294967294" count="1" selected="0">
            <x v="0"/>
          </reference>
          <reference field="8" count="1" selected="0">
            <x v="1"/>
          </reference>
        </references>
      </pivotArea>
    </chartFormat>
    <chartFormat chart="3" format="5">
      <pivotArea type="data" outline="0" fieldPosition="0">
        <references count="2">
          <reference field="4294967294" count="1" selected="0">
            <x v="0"/>
          </reference>
          <reference field="8" count="1" selected="0">
            <x v="3"/>
          </reference>
        </references>
      </pivotArea>
    </chartFormat>
    <chartFormat chart="3" format="6">
      <pivotArea type="data" outline="0" fieldPosition="0">
        <references count="2">
          <reference field="4294967294" count="1" selected="0">
            <x v="0"/>
          </reference>
          <reference field="8" count="1" selected="0">
            <x v="4"/>
          </reference>
        </references>
      </pivotArea>
    </chartFormat>
    <chartFormat chart="3" format="7">
      <pivotArea type="data" outline="0" fieldPosition="0">
        <references count="2">
          <reference field="4294967294" count="1" selected="0">
            <x v="0"/>
          </reference>
          <reference field="8"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00000000-0007-0000-0700-00000600000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7:B40" firstHeaderRow="1" firstDataRow="1" firstDataCol="1"/>
  <pivotFields count="10">
    <pivotField showAll="0"/>
    <pivotField numFmtId="14" showAll="0"/>
    <pivotField axis="axisRow" showAll="0">
      <items count="3">
        <item x="0"/>
        <item x="1"/>
        <item t="default"/>
      </items>
    </pivotField>
    <pivotField showAll="0" sortType="descending">
      <autoSortScope>
        <pivotArea dataOnly="0" outline="0" fieldPosition="0">
          <references count="1">
            <reference field="4294967294" count="1" selected="0">
              <x v="0"/>
            </reference>
          </references>
        </pivotArea>
      </autoSortScope>
    </pivotField>
    <pivotField showAll="0" sortType="descending">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items count="4">
        <item x="0"/>
        <item x="1"/>
        <item x="2"/>
        <item t="default"/>
      </items>
    </pivotField>
  </pivotFields>
  <rowFields count="1">
    <field x="2"/>
  </rowFields>
  <rowItems count="3">
    <i>
      <x/>
    </i>
    <i>
      <x v="1"/>
    </i>
    <i t="grand">
      <x/>
    </i>
  </rowItems>
  <colItems count="1">
    <i/>
  </colItems>
  <dataFields count="1">
    <dataField name="Sum of Item amount" fld="7" baseField="0" baseItem="0" numFmtId="165"/>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00000000-0007-0000-0700-00000800000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0">
    <pivotField showAll="0"/>
    <pivotField numFmtId="14" showAll="0"/>
    <pivotField showAll="0"/>
    <pivotField showAll="0"/>
    <pivotField showAll="0"/>
    <pivotField showAll="0"/>
    <pivotField showAll="0"/>
    <pivotField dataField="1" showAll="0"/>
    <pivotField showAll="0"/>
    <pivotField showAll="0">
      <items count="4">
        <item x="0"/>
        <item x="1"/>
        <item x="2"/>
        <item t="default"/>
      </items>
    </pivotField>
  </pivotFields>
  <rowItems count="1">
    <i/>
  </rowItems>
  <colItems count="1">
    <i/>
  </colItems>
  <dataFields count="1">
    <dataField name="Sum of Item amount" fld="7"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00000000-0007-0000-0700-00000A00000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6:C31" firstHeaderRow="0" firstDataRow="1" firstDataCol="1"/>
  <pivotFields count="10">
    <pivotField showAll="0"/>
    <pivotField numFmtId="14" showAll="0"/>
    <pivotField showAll="0"/>
    <pivotField showAll="0" sortType="descending">
      <autoSortScope>
        <pivotArea dataOnly="0" outline="0" fieldPosition="0">
          <references count="1">
            <reference field="4294967294" count="1" selected="0">
              <x v="0"/>
            </reference>
          </references>
        </pivotArea>
      </autoSortScope>
    </pivotField>
    <pivotField axis="axisRow" showAll="0" sortType="descending">
      <items count="5">
        <item x="3"/>
        <item x="0"/>
        <item x="2"/>
        <item x="1"/>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items count="4">
        <item x="0"/>
        <item x="1"/>
        <item x="2"/>
        <item t="default"/>
      </items>
    </pivotField>
  </pivotFields>
  <rowFields count="1">
    <field x="4"/>
  </rowFields>
  <rowItems count="5">
    <i>
      <x v="1"/>
    </i>
    <i>
      <x v="3"/>
    </i>
    <i>
      <x v="2"/>
    </i>
    <i>
      <x/>
    </i>
    <i t="grand">
      <x/>
    </i>
  </rowItems>
  <colFields count="1">
    <field x="-2"/>
  </colFields>
  <colItems count="2">
    <i>
      <x/>
    </i>
    <i i="1">
      <x v="1"/>
    </i>
  </colItems>
  <dataFields count="2">
    <dataField name="Sum of Item amount" fld="7" baseField="0" baseItem="0" numFmtId="165"/>
    <dataField name="Sum of Item amount2" fld="7" showDataAs="percentOfTotal" baseField="4" baseItem="3" numFmtId="1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00000000-0007-0000-0700-00000B00000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8:B93" firstHeaderRow="1" firstDataRow="1" firstDataCol="1"/>
  <pivotFields count="10">
    <pivotField showAll="0"/>
    <pivotField numFmtId="14" showAll="0"/>
    <pivotField showAll="0"/>
    <pivotField axis="axisRow" showAll="0" sortType="descending">
      <items count="11">
        <item x="9"/>
        <item x="1"/>
        <item x="3"/>
        <item x="0"/>
        <item x="2"/>
        <item x="6"/>
        <item x="7"/>
        <item x="4"/>
        <item x="5"/>
        <item x="8"/>
        <item t="default"/>
      </items>
      <autoSortScope>
        <pivotArea dataOnly="0" outline="0" fieldPosition="0">
          <references count="1">
            <reference field="4294967294" count="1" selected="0">
              <x v="0"/>
            </reference>
          </references>
        </pivotArea>
      </autoSortScope>
    </pivotField>
    <pivotField axis="axisRow" showAll="0" sortType="descending">
      <items count="5">
        <item x="3"/>
        <item x="0"/>
        <item x="2"/>
        <item x="1"/>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13">
        <item x="0"/>
        <item x="1"/>
        <item x="2"/>
        <item x="3"/>
        <item x="4"/>
        <item x="5"/>
        <item x="6"/>
        <item x="7"/>
        <item x="8"/>
        <item x="9"/>
        <item x="10"/>
        <item x="11"/>
        <item t="default"/>
      </items>
    </pivotField>
    <pivotField showAll="0">
      <items count="4">
        <item x="0"/>
        <item x="1"/>
        <item x="2"/>
        <item t="default"/>
      </items>
    </pivotField>
  </pivotFields>
  <rowFields count="2">
    <field x="4"/>
    <field x="3"/>
  </rowFields>
  <rowItems count="15">
    <i>
      <x v="1"/>
    </i>
    <i r="1">
      <x v="3"/>
    </i>
    <i r="1">
      <x v="1"/>
    </i>
    <i r="1">
      <x v="2"/>
    </i>
    <i r="1">
      <x v="4"/>
    </i>
    <i>
      <x v="2"/>
    </i>
    <i r="1">
      <x v="6"/>
    </i>
    <i r="1">
      <x v="5"/>
    </i>
    <i>
      <x v="3"/>
    </i>
    <i r="1">
      <x v="7"/>
    </i>
    <i r="1">
      <x v="8"/>
    </i>
    <i>
      <x/>
    </i>
    <i r="1">
      <x v="9"/>
    </i>
    <i r="1">
      <x/>
    </i>
    <i t="grand">
      <x/>
    </i>
  </rowItems>
  <colItems count="1">
    <i/>
  </colItems>
  <dataFields count="1">
    <dataField name="Average of Item amount" fld="7" subtotal="average" baseField="3" baseItem="2"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00000000-0007-0000-0700-00000E000000}"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90:E101" firstHeaderRow="1" firstDataRow="1" firstDataCol="1"/>
  <pivotFields count="10">
    <pivotField showAll="0"/>
    <pivotField numFmtId="14" showAll="0"/>
    <pivotField showAll="0"/>
    <pivotField axis="axisRow" showAll="0">
      <items count="11">
        <item x="9"/>
        <item x="1"/>
        <item x="3"/>
        <item x="0"/>
        <item x="2"/>
        <item x="6"/>
        <item x="7"/>
        <item x="4"/>
        <item x="5"/>
        <item x="8"/>
        <item t="default"/>
      </items>
    </pivotField>
    <pivotField showAll="0">
      <items count="5">
        <item x="3"/>
        <item x="0"/>
        <item x="2"/>
        <item x="1"/>
        <item t="default"/>
      </items>
    </pivotField>
    <pivotField showAll="0"/>
    <pivotField showAll="0"/>
    <pivotField showAll="0"/>
    <pivotField showAll="0">
      <items count="13">
        <item x="0"/>
        <item x="1"/>
        <item x="2"/>
        <item x="3"/>
        <item x="4"/>
        <item x="5"/>
        <item x="6"/>
        <item x="7"/>
        <item x="8"/>
        <item x="9"/>
        <item x="10"/>
        <item x="11"/>
        <item t="default"/>
      </items>
    </pivotField>
    <pivotField showAll="0">
      <items count="4">
        <item x="0"/>
        <item x="1"/>
        <item x="2"/>
        <item t="default"/>
      </items>
    </pivotField>
  </pivotFields>
  <rowFields count="1">
    <field x="3"/>
  </rowFields>
  <rowItems count="11">
    <i>
      <x/>
    </i>
    <i>
      <x v="1"/>
    </i>
    <i>
      <x v="2"/>
    </i>
    <i>
      <x v="3"/>
    </i>
    <i>
      <x v="4"/>
    </i>
    <i>
      <x v="5"/>
    </i>
    <i>
      <x v="6"/>
    </i>
    <i>
      <x v="7"/>
    </i>
    <i>
      <x v="8"/>
    </i>
    <i>
      <x v="9"/>
    </i>
    <i t="grand">
      <x/>
    </i>
  </rowItems>
  <colItems count="1">
    <i/>
  </colItem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00000000-0007-0000-0700-00000700000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0:C21" firstHeaderRow="0" firstDataRow="1" firstDataCol="1"/>
  <pivotFields count="10">
    <pivotField showAll="0"/>
    <pivotField numFmtId="14" showAll="0"/>
    <pivotField showAll="0"/>
    <pivotField axis="axisRow" showAll="0" sortType="descending">
      <items count="11">
        <item x="9"/>
        <item x="1"/>
        <item x="3"/>
        <item x="0"/>
        <item x="2"/>
        <item x="6"/>
        <item x="7"/>
        <item x="4"/>
        <item x="5"/>
        <item x="8"/>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dataField="1" showAll="0"/>
    <pivotField showAll="0"/>
    <pivotField showAll="0">
      <items count="4">
        <item x="0"/>
        <item x="1"/>
        <item x="2"/>
        <item t="default"/>
      </items>
    </pivotField>
  </pivotFields>
  <rowFields count="1">
    <field x="3"/>
  </rowFields>
  <rowItems count="11">
    <i>
      <x v="3"/>
    </i>
    <i>
      <x v="1"/>
    </i>
    <i>
      <x v="8"/>
    </i>
    <i>
      <x v="4"/>
    </i>
    <i>
      <x v="2"/>
    </i>
    <i>
      <x v="6"/>
    </i>
    <i>
      <x v="7"/>
    </i>
    <i>
      <x v="5"/>
    </i>
    <i>
      <x v="9"/>
    </i>
    <i>
      <x/>
    </i>
    <i t="grand">
      <x/>
    </i>
  </rowItems>
  <colFields count="1">
    <field x="-2"/>
  </colFields>
  <colItems count="2">
    <i>
      <x/>
    </i>
    <i i="1">
      <x v="1"/>
    </i>
  </colItems>
  <dataFields count="2">
    <dataField name="Sum of Item amount" fld="7" baseField="0" baseItem="0" numFmtId="165"/>
    <dataField name="Sum of Item quantity" fld="6" baseField="0" baseItem="0"/>
  </dataField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00000000-0007-0000-0700-00000900000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4:C70" firstHeaderRow="0" firstDataRow="1" firstDataCol="1"/>
  <pivotFields count="10">
    <pivotField showAll="0"/>
    <pivotField numFmtId="14" showAll="0"/>
    <pivotField showAll="0"/>
    <pivotField axis="axisRow" showAll="0" measureFilter="1" sortType="descending">
      <items count="11">
        <item x="9"/>
        <item x="1"/>
        <item x="3"/>
        <item x="0"/>
        <item x="2"/>
        <item x="6"/>
        <item x="7"/>
        <item x="4"/>
        <item x="5"/>
        <item x="8"/>
        <item t="default"/>
      </items>
      <autoSortScope>
        <pivotArea dataOnly="0" outline="0" fieldPosition="0">
          <references count="1">
            <reference field="4294967294" count="1" selected="0">
              <x v="0"/>
            </reference>
          </references>
        </pivotArea>
      </autoSortScope>
    </pivotField>
    <pivotField showAll="0" sortType="descending">
      <autoSortScope>
        <pivotArea dataOnly="0" outline="0" fieldPosition="0">
          <references count="1">
            <reference field="4294967294" count="1" selected="0">
              <x v="0"/>
            </reference>
          </references>
        </pivotArea>
      </autoSortScope>
    </pivotField>
    <pivotField showAll="0"/>
    <pivotField dataField="1" showAll="0"/>
    <pivotField dataField="1" showAll="0"/>
    <pivotField showAll="0">
      <items count="13">
        <item x="0"/>
        <item x="1"/>
        <item x="2"/>
        <item x="3"/>
        <item x="4"/>
        <item x="5"/>
        <item x="6"/>
        <item x="7"/>
        <item x="8"/>
        <item x="9"/>
        <item x="10"/>
        <item x="11"/>
        <item t="default"/>
      </items>
    </pivotField>
    <pivotField showAll="0">
      <items count="4">
        <item x="0"/>
        <item x="1"/>
        <item x="2"/>
        <item t="default"/>
      </items>
    </pivotField>
  </pivotFields>
  <rowFields count="1">
    <field x="3"/>
  </rowFields>
  <rowItems count="6">
    <i>
      <x v="3"/>
    </i>
    <i>
      <x v="1"/>
    </i>
    <i>
      <x v="8"/>
    </i>
    <i>
      <x v="4"/>
    </i>
    <i>
      <x v="2"/>
    </i>
    <i t="grand">
      <x/>
    </i>
  </rowItems>
  <colFields count="1">
    <field x="-2"/>
  </colFields>
  <colItems count="2">
    <i>
      <x/>
    </i>
    <i i="1">
      <x v="1"/>
    </i>
  </colItems>
  <dataFields count="2">
    <dataField name="Sum of Item amount" fld="7" baseField="0" baseItem="0" numFmtId="165"/>
    <dataField name="Sum of Item quantity" fld="6" baseField="0" baseItem="0"/>
  </dataField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00000000-0007-0000-0700-00000F00000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0:B103" firstHeaderRow="1" firstDataRow="1" firstDataCol="1"/>
  <pivotFields count="10">
    <pivotField showAll="0"/>
    <pivotField numFmtId="14" showAll="0"/>
    <pivotField showAll="0"/>
    <pivotField showAll="0" sortType="descending">
      <items count="11">
        <item x="9"/>
        <item x="1"/>
        <item x="3"/>
        <item x="0"/>
        <item x="2"/>
        <item x="6"/>
        <item x="7"/>
        <item x="4"/>
        <item x="5"/>
        <item x="8"/>
        <item t="default"/>
      </items>
      <autoSortScope>
        <pivotArea dataOnly="0" outline="0" fieldPosition="0">
          <references count="1">
            <reference field="4294967294" count="1" selected="0">
              <x v="0"/>
            </reference>
          </references>
        </pivotArea>
      </autoSortScope>
    </pivotField>
    <pivotField axis="axisRow" showAll="0" sortType="descending">
      <items count="5">
        <item h="1" x="3"/>
        <item x="0"/>
        <item h="1" x="2"/>
        <item x="1"/>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13">
        <item x="0"/>
        <item x="1"/>
        <item x="2"/>
        <item x="3"/>
        <item x="4"/>
        <item x="5"/>
        <item x="6"/>
        <item x="7"/>
        <item x="8"/>
        <item x="9"/>
        <item x="10"/>
        <item x="11"/>
        <item t="default"/>
      </items>
    </pivotField>
    <pivotField showAll="0">
      <items count="4">
        <item x="0"/>
        <item x="1"/>
        <item x="2"/>
        <item t="default"/>
      </items>
    </pivotField>
  </pivotFields>
  <rowFields count="1">
    <field x="4"/>
  </rowFields>
  <rowItems count="3">
    <i>
      <x v="1"/>
    </i>
    <i>
      <x v="3"/>
    </i>
    <i t="grand">
      <x/>
    </i>
  </rowItems>
  <colItems count="1">
    <i/>
  </colItems>
  <dataFields count="1">
    <dataField name="Sum of Item amount" fld="7" baseField="4" baseItem="1"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00000000-0007-0000-0700-000010000000}"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77:E78" firstHeaderRow="1" firstDataRow="1" firstDataCol="0"/>
  <pivotFields count="10">
    <pivotField dataField="1" showAll="0"/>
    <pivotField numFmtId="14" showAll="0"/>
    <pivotField showAll="0"/>
    <pivotField showAll="0">
      <items count="11">
        <item x="9"/>
        <item x="1"/>
        <item x="3"/>
        <item x="0"/>
        <item x="2"/>
        <item x="6"/>
        <item x="7"/>
        <item x="4"/>
        <item x="5"/>
        <item x="8"/>
        <item t="default"/>
      </items>
    </pivotField>
    <pivotField showAll="0">
      <items count="5">
        <item x="3"/>
        <item x="0"/>
        <item x="2"/>
        <item x="1"/>
        <item t="default"/>
      </items>
    </pivotField>
    <pivotField showAll="0"/>
    <pivotField showAll="0"/>
    <pivotField showAll="0"/>
    <pivotField showAll="0">
      <items count="13">
        <item x="0"/>
        <item x="1"/>
        <item x="2"/>
        <item x="3"/>
        <item x="4"/>
        <item x="5"/>
        <item x="6"/>
        <item x="7"/>
        <item x="8"/>
        <item x="9"/>
        <item x="10"/>
        <item x="11"/>
        <item t="default"/>
      </items>
    </pivotField>
    <pivotField showAll="0">
      <items count="4">
        <item x="0"/>
        <item x="1"/>
        <item x="2"/>
        <item t="default"/>
      </items>
    </pivotField>
  </pivotFields>
  <rowItems count="1">
    <i/>
  </rowItems>
  <colItems count="1">
    <i/>
  </colItems>
  <dataFields count="1">
    <dataField name="Count of Reciept no " fld="0" subtotal="count" baseField="1" baseItem="28529229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0000000-0013-0000-FFFF-FFFF01000000}" sourceName="Year">
  <pivotTables>
    <pivotTable tabId="7" name="PivotTable5"/>
    <pivotTable tabId="7" name="PivotTable6"/>
    <pivotTable tabId="7" name="PivotTable7"/>
    <pivotTable tabId="7" name="PivotTable8"/>
    <pivotTable tabId="7" name="PivotTable10"/>
    <pivotTable tabId="7" name="PivotTable11"/>
    <pivotTable tabId="7" name="PivotTable12"/>
    <pivotTable tabId="7" name="PivotTable1"/>
    <pivotTable tabId="7" name="PivotTable4"/>
    <pivotTable tabId="7" name="PivotTable2"/>
    <pivotTable tabId="7" name="PivotTable3"/>
  </pivotTables>
  <data>
    <tabular pivotCacheId="1030548728">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00000000-0013-0000-FFFF-FFFF02000000}" sourceName="year">
  <pivotTables>
    <pivotTable tabId="14" name="PivotTable7"/>
  </pivotTables>
  <data>
    <tabular pivotCacheId="2119621697">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1" xr10:uid="{40ADC3ED-3F7B-44A2-A423-9386C661D903}" sourceName="Years (Order date )">
  <pivotTables>
    <pivotTable tabId="21" name="PivotTable15"/>
    <pivotTable tabId="21" name="PivotTable16"/>
    <pivotTable tabId="21" name="PivotTable17"/>
  </pivotTables>
  <data>
    <tabular pivotCacheId="781503961">
      <items count="5">
        <i x="1" s="1"/>
        <i x="2" s="1"/>
        <i x="3" s="1"/>
        <i x="0" s="1" nd="1"/>
        <i x="4"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_name1" xr10:uid="{468BDB55-E12D-40A7-9182-8BA4C69AECF1}" sourceName="Category name">
  <pivotTables>
    <pivotTable tabId="21" name="PivotTable15"/>
    <pivotTable tabId="21" name="PivotTable16"/>
    <pivotTable tabId="21" name="PivotTable17"/>
  </pivotTables>
  <data>
    <tabular pivotCacheId="781503961">
      <items count="4">
        <i x="3"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date ) 4" xr10:uid="{B9D309C9-9B1D-4FB2-982E-7E2809959B44}" cache="Slicer_Years__Order_date1" caption="Years" rowHeight="360000"/>
  <slicer name="Category name 3" xr10:uid="{BD7EB88C-0B9D-48EE-ADFE-5BB21FD5D53A}" cache="Slicer_Category_name1" caption="Category" columnCount="2" rowHeight="504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00000000-0014-0000-FFFF-FFFF01000000}" cache="Slicer_year1" caption="year"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0000000-0014-0000-FFFF-FFFF02000000}" cache="Slicer_Year" caption="Year"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00000000-0014-0000-FFFF-FFFF03000000}" cache="Slicer_Year" caption="Year" columnCoun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3478840-B3FB-4F87-87AD-239C2176E734}" name="TownTeam1" displayName="TownTeam1" ref="B4:J1040" totalsRowShown="0" headerRowDxfId="31" dataDxfId="30" tableBorderDxfId="29">
  <autoFilter ref="B4:J1040" xr:uid="{B3478840-B3FB-4F87-87AD-239C2176E734}"/>
  <tableColumns count="9">
    <tableColumn id="1" xr3:uid="{F6965293-56BE-461B-8EA7-A5D35C4B040F}" name="Reciept no " dataDxfId="28"/>
    <tableColumn id="2" xr3:uid="{4642CD76-67C4-4911-9598-3695F78E82B8}" name="Order date " dataDxfId="27"/>
    <tableColumn id="3" xr3:uid="{44ACCF10-AD4B-4A16-AD80-4AB9DD8408F3}" name="Ordertype name" dataDxfId="26"/>
    <tableColumn id="4" xr3:uid="{5FC66DC9-7A24-45C7-A78D-9CEF5B717F47}" name="Item name" dataDxfId="25"/>
    <tableColumn id="5" xr3:uid="{30BC1E23-56DE-4635-807B-8769A0E87ECB}" name="Category name" dataDxfId="24"/>
    <tableColumn id="6" xr3:uid="{4F1BCFFC-0C5A-465F-BDA7-3B659BE89CFA}" name="Selling price" dataDxfId="23"/>
    <tableColumn id="7" xr3:uid="{CC5A6EF9-E168-40B2-8E57-3289B9656ED1}" name="Item quantity" dataDxfId="22"/>
    <tableColumn id="8" xr3:uid="{3D718787-B244-4FAC-81E9-CA1D98D32B85}" name="Total sales" dataDxfId="21">
      <calculatedColumnFormula>TownTeam1[[#This Row],[Selling price]]*TownTeam1[[#This Row],[Item quantity]]</calculatedColumnFormula>
    </tableColumn>
    <tableColumn id="9" xr3:uid="{132B054A-A04A-4351-8E4D-C08AD7EB8235}" name="Total sales after 15% discount" dataDxfId="20">
      <calculatedColumnFormula>IF(TownTeam1[[#This Row],[Item name]]=" Jeans - Denim",TownTeam1[[#This Row],[Total sales]]*0.85,TownTeam1[[#This Row],[Total sales]])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20.xml"/><Relationship Id="rId7" Type="http://schemas.openxmlformats.org/officeDocument/2006/relationships/drawing" Target="../drawings/drawing2.xml"/><Relationship Id="rId2" Type="http://schemas.openxmlformats.org/officeDocument/2006/relationships/pivotTable" Target="../pivotTables/pivotTable19.xml"/><Relationship Id="rId1" Type="http://schemas.openxmlformats.org/officeDocument/2006/relationships/pivotTable" Target="../pivotTables/pivotTable18.xml"/><Relationship Id="rId6" Type="http://schemas.openxmlformats.org/officeDocument/2006/relationships/pivotTable" Target="../pivotTables/pivotTable23.xml"/><Relationship Id="rId5" Type="http://schemas.openxmlformats.org/officeDocument/2006/relationships/pivotTable" Target="../pivotTables/pivotTable22.xml"/><Relationship Id="rId4" Type="http://schemas.openxmlformats.org/officeDocument/2006/relationships/pivotTable" Target="../pivotTables/pivotTable2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8" Type="http://schemas.openxmlformats.org/officeDocument/2006/relationships/pivotTable" Target="../pivotTables/pivotTable31.xml"/><Relationship Id="rId13" Type="http://schemas.microsoft.com/office/2007/relationships/slicer" Target="../slicers/slicer3.xml"/><Relationship Id="rId3" Type="http://schemas.openxmlformats.org/officeDocument/2006/relationships/pivotTable" Target="../pivotTables/pivotTable26.xml"/><Relationship Id="rId7" Type="http://schemas.openxmlformats.org/officeDocument/2006/relationships/pivotTable" Target="../pivotTables/pivotTable30.xml"/><Relationship Id="rId12" Type="http://schemas.openxmlformats.org/officeDocument/2006/relationships/drawing" Target="../drawings/drawing5.xml"/><Relationship Id="rId2" Type="http://schemas.openxmlformats.org/officeDocument/2006/relationships/pivotTable" Target="../pivotTables/pivotTable25.xml"/><Relationship Id="rId1" Type="http://schemas.openxmlformats.org/officeDocument/2006/relationships/pivotTable" Target="../pivotTables/pivotTable24.xml"/><Relationship Id="rId6" Type="http://schemas.openxmlformats.org/officeDocument/2006/relationships/pivotTable" Target="../pivotTables/pivotTable29.xml"/><Relationship Id="rId11" Type="http://schemas.openxmlformats.org/officeDocument/2006/relationships/pivotTable" Target="../pivotTables/pivotTable34.xml"/><Relationship Id="rId5" Type="http://schemas.openxmlformats.org/officeDocument/2006/relationships/pivotTable" Target="../pivotTables/pivotTable28.xml"/><Relationship Id="rId10" Type="http://schemas.openxmlformats.org/officeDocument/2006/relationships/pivotTable" Target="../pivotTables/pivotTable33.xml"/><Relationship Id="rId4" Type="http://schemas.openxmlformats.org/officeDocument/2006/relationships/pivotTable" Target="../pivotTables/pivotTable27.xml"/><Relationship Id="rId9" Type="http://schemas.openxmlformats.org/officeDocument/2006/relationships/pivotTable" Target="../pivotTables/pivotTable32.xml"/></Relationships>
</file>

<file path=xl/worksheets/_rels/sheet11.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BA84C-8002-4E4C-932C-8A2A705CE2C6}">
  <dimension ref="B48:BG127"/>
  <sheetViews>
    <sheetView showGridLines="0" showRowColHeaders="0" topLeftCell="A47" zoomScale="39" zoomScaleNormal="50" workbookViewId="0">
      <selection activeCell="AM61" sqref="AM61"/>
    </sheetView>
  </sheetViews>
  <sheetFormatPr defaultRowHeight="13.8" x14ac:dyDescent="0.25"/>
  <sheetData>
    <row r="48" spans="2:59" x14ac:dyDescent="0.25">
      <c r="B48" s="2"/>
      <c r="C48" s="2"/>
      <c r="D48" s="36"/>
      <c r="E48" s="36"/>
      <c r="F48" s="36"/>
      <c r="G48" s="36"/>
      <c r="H48" s="36"/>
      <c r="I48" s="36"/>
      <c r="J48" s="36"/>
      <c r="K48" s="36"/>
      <c r="L48" s="36"/>
      <c r="M48" s="36"/>
      <c r="N48" s="36"/>
      <c r="O48" s="36"/>
      <c r="P48" s="36"/>
      <c r="Q48" s="36"/>
      <c r="R48" s="36"/>
      <c r="S48" s="36"/>
      <c r="T48" s="36"/>
      <c r="U48" s="36"/>
      <c r="V48" s="36"/>
      <c r="W48" s="36"/>
      <c r="X48" s="36"/>
      <c r="Y48" s="36"/>
      <c r="Z48" s="36"/>
      <c r="AA48" s="36"/>
      <c r="AB48" s="36"/>
      <c r="AC48" s="36"/>
      <c r="AD48" s="36"/>
      <c r="AE48" s="36"/>
      <c r="AF48" s="36"/>
      <c r="AG48" s="36"/>
      <c r="AH48" s="36"/>
      <c r="AI48" s="2"/>
      <c r="AJ48" s="2"/>
      <c r="AK48" s="2"/>
      <c r="AL48" s="2"/>
      <c r="AM48" s="2"/>
      <c r="AN48" s="2"/>
      <c r="AO48" s="2"/>
      <c r="AP48" s="2"/>
      <c r="AQ48" s="2"/>
      <c r="AR48" s="2"/>
      <c r="AS48" s="2"/>
      <c r="AT48" s="2"/>
      <c r="AU48" s="2"/>
      <c r="AV48" s="2"/>
      <c r="AW48" s="2"/>
      <c r="AX48" s="2"/>
      <c r="AY48" s="2"/>
      <c r="AZ48" s="2"/>
      <c r="BA48" s="2"/>
      <c r="BB48" s="2"/>
      <c r="BC48" s="2"/>
      <c r="BD48" s="2"/>
      <c r="BE48" s="2"/>
      <c r="BF48" s="2"/>
      <c r="BG48" s="2"/>
    </row>
    <row r="49" spans="2:59" x14ac:dyDescent="0.25">
      <c r="B49" s="2"/>
      <c r="C49" s="2"/>
      <c r="D49" s="36"/>
      <c r="E49" s="36"/>
      <c r="F49" s="36"/>
      <c r="G49" s="36"/>
      <c r="H49" s="36"/>
      <c r="I49" s="36"/>
      <c r="J49" s="36"/>
      <c r="K49" s="36"/>
      <c r="L49" s="36"/>
      <c r="M49" s="36"/>
      <c r="N49" s="36"/>
      <c r="O49" s="36"/>
      <c r="P49" s="36"/>
      <c r="Q49" s="36"/>
      <c r="R49" s="36"/>
      <c r="S49" s="36"/>
      <c r="T49" s="36"/>
      <c r="U49" s="36"/>
      <c r="V49" s="36"/>
      <c r="W49" s="36"/>
      <c r="X49" s="36"/>
      <c r="Y49" s="36"/>
      <c r="Z49" s="36"/>
      <c r="AA49" s="36"/>
      <c r="AB49" s="36"/>
      <c r="AC49" s="36"/>
      <c r="AD49" s="36"/>
      <c r="AE49" s="36"/>
      <c r="AF49" s="36"/>
      <c r="AG49" s="36"/>
      <c r="AH49" s="36"/>
      <c r="AI49" s="2"/>
      <c r="AJ49" s="2"/>
      <c r="AK49" s="2"/>
      <c r="AL49" s="2"/>
      <c r="AM49" s="2"/>
      <c r="AN49" s="2"/>
      <c r="AO49" s="2"/>
      <c r="AP49" s="2"/>
      <c r="AQ49" s="2"/>
      <c r="AR49" s="2"/>
      <c r="AS49" s="2"/>
      <c r="AT49" s="2"/>
      <c r="AU49" s="2"/>
      <c r="AV49" s="2"/>
      <c r="AW49" s="2"/>
      <c r="AX49" s="2"/>
      <c r="AY49" s="2"/>
      <c r="AZ49" s="2"/>
      <c r="BA49" s="2"/>
      <c r="BB49" s="2"/>
      <c r="BC49" s="2"/>
      <c r="BD49" s="2"/>
      <c r="BE49" s="2"/>
      <c r="BF49" s="2"/>
      <c r="BG49" s="2"/>
    </row>
    <row r="50" spans="2:59" x14ac:dyDescent="0.25">
      <c r="B50" s="2"/>
      <c r="C50" s="2"/>
      <c r="D50" s="36"/>
      <c r="E50" s="36"/>
      <c r="F50" s="36"/>
      <c r="G50" s="36"/>
      <c r="H50" s="36"/>
      <c r="I50" s="36"/>
      <c r="J50" s="36"/>
      <c r="K50" s="36"/>
      <c r="L50" s="36"/>
      <c r="M50" s="36"/>
      <c r="N50" s="36"/>
      <c r="O50" s="36"/>
      <c r="P50" s="36"/>
      <c r="Q50" s="36"/>
      <c r="R50" s="36"/>
      <c r="S50" s="36"/>
      <c r="T50" s="36"/>
      <c r="U50" s="36"/>
      <c r="V50" s="36"/>
      <c r="W50" s="36"/>
      <c r="X50" s="36"/>
      <c r="Y50" s="36"/>
      <c r="Z50" s="36"/>
      <c r="AA50" s="36"/>
      <c r="AB50" s="36"/>
      <c r="AC50" s="36"/>
      <c r="AD50" s="36"/>
      <c r="AE50" s="36"/>
      <c r="AF50" s="36"/>
      <c r="AG50" s="36"/>
      <c r="AH50" s="36"/>
      <c r="AI50" s="2"/>
      <c r="AJ50" s="2"/>
      <c r="AK50" s="2"/>
      <c r="AL50" s="2"/>
      <c r="AM50" s="2"/>
      <c r="AN50" s="2"/>
      <c r="AO50" s="2"/>
      <c r="AP50" s="2"/>
      <c r="AQ50" s="2"/>
      <c r="AR50" s="2"/>
      <c r="AS50" s="2"/>
      <c r="AT50" s="2"/>
      <c r="AU50" s="2"/>
      <c r="AV50" s="2"/>
      <c r="AW50" s="2"/>
      <c r="AX50" s="2"/>
      <c r="AY50" s="2"/>
      <c r="AZ50" s="2"/>
      <c r="BA50" s="2"/>
      <c r="BB50" s="2"/>
      <c r="BC50" s="2"/>
      <c r="BD50" s="2"/>
      <c r="BE50" s="2"/>
      <c r="BF50" s="2"/>
      <c r="BG50" s="2"/>
    </row>
    <row r="51" spans="2:59" x14ac:dyDescent="0.25">
      <c r="B51" s="2"/>
      <c r="C51" s="2"/>
      <c r="D51" s="36"/>
      <c r="E51" s="36"/>
      <c r="F51" s="36"/>
      <c r="G51" s="36"/>
      <c r="H51" s="36"/>
      <c r="I51" s="36"/>
      <c r="J51" s="36"/>
      <c r="K51" s="36"/>
      <c r="L51" s="36"/>
      <c r="M51" s="36"/>
      <c r="N51" s="36"/>
      <c r="O51" s="36"/>
      <c r="P51" s="36"/>
      <c r="Q51" s="36"/>
      <c r="R51" s="36"/>
      <c r="S51" s="36"/>
      <c r="T51" s="36"/>
      <c r="U51" s="36"/>
      <c r="V51" s="36"/>
      <c r="W51" s="36"/>
      <c r="X51" s="36"/>
      <c r="Y51" s="36"/>
      <c r="Z51" s="36"/>
      <c r="AA51" s="36"/>
      <c r="AB51" s="36"/>
      <c r="AC51" s="36"/>
      <c r="AD51" s="36"/>
      <c r="AE51" s="36"/>
      <c r="AF51" s="36"/>
      <c r="AG51" s="36"/>
      <c r="AH51" s="36"/>
      <c r="AI51" s="2"/>
      <c r="AJ51" s="2"/>
      <c r="AK51" s="2"/>
      <c r="AL51" s="2"/>
      <c r="AM51" s="2"/>
      <c r="AN51" s="2"/>
      <c r="AO51" s="2"/>
      <c r="AP51" s="2"/>
      <c r="AQ51" s="2"/>
      <c r="AR51" s="2"/>
      <c r="AS51" s="2"/>
      <c r="AT51" s="2"/>
      <c r="AU51" s="2"/>
      <c r="AV51" s="2"/>
      <c r="AW51" s="2"/>
      <c r="AX51" s="2"/>
      <c r="AY51" s="2"/>
      <c r="AZ51" s="2"/>
      <c r="BA51" s="2"/>
      <c r="BB51" s="2"/>
      <c r="BC51" s="2"/>
      <c r="BD51" s="2"/>
      <c r="BE51" s="2"/>
      <c r="BF51" s="2"/>
      <c r="BG51" s="2"/>
    </row>
    <row r="52" spans="2:59" x14ac:dyDescent="0.25">
      <c r="B52" s="2"/>
      <c r="C52" s="2"/>
      <c r="D52" s="36"/>
      <c r="E52" s="36"/>
      <c r="F52" s="36"/>
      <c r="G52" s="36"/>
      <c r="H52" s="36"/>
      <c r="I52" s="36"/>
      <c r="J52" s="36"/>
      <c r="K52" s="36"/>
      <c r="L52" s="36"/>
      <c r="M52" s="36"/>
      <c r="N52" s="36"/>
      <c r="O52" s="36"/>
      <c r="P52" s="36"/>
      <c r="Q52" s="36"/>
      <c r="R52" s="36"/>
      <c r="S52" s="36"/>
      <c r="T52" s="36"/>
      <c r="U52" s="36"/>
      <c r="V52" s="36"/>
      <c r="W52" s="36"/>
      <c r="X52" s="36"/>
      <c r="Y52" s="36"/>
      <c r="Z52" s="36"/>
      <c r="AA52" s="36"/>
      <c r="AB52" s="36"/>
      <c r="AC52" s="36"/>
      <c r="AD52" s="36"/>
      <c r="AE52" s="36"/>
      <c r="AF52" s="36"/>
      <c r="AG52" s="36"/>
      <c r="AH52" s="36"/>
      <c r="AI52" s="2"/>
      <c r="AJ52" s="2"/>
      <c r="AK52" s="2"/>
      <c r="AL52" s="2"/>
      <c r="AM52" s="2"/>
      <c r="AN52" s="2"/>
      <c r="AO52" s="2"/>
      <c r="AP52" s="2"/>
      <c r="AQ52" s="2"/>
      <c r="AR52" s="2"/>
      <c r="AS52" s="2"/>
      <c r="AT52" s="2"/>
      <c r="AU52" s="2"/>
      <c r="AV52" s="2"/>
      <c r="AW52" s="2"/>
      <c r="AX52" s="2"/>
      <c r="AY52" s="2"/>
      <c r="AZ52" s="2"/>
      <c r="BA52" s="2"/>
      <c r="BB52" s="2"/>
      <c r="BC52" s="2"/>
      <c r="BD52" s="2"/>
      <c r="BE52" s="2"/>
      <c r="BF52" s="2"/>
      <c r="BG52" s="2"/>
    </row>
    <row r="53" spans="2:59" x14ac:dyDescent="0.25">
      <c r="B53" s="2"/>
      <c r="C53" s="2"/>
      <c r="D53" s="36"/>
      <c r="E53" s="36"/>
      <c r="F53" s="36"/>
      <c r="G53" s="36"/>
      <c r="H53" s="36"/>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36"/>
      <c r="AH53" s="36"/>
      <c r="AI53" s="2"/>
      <c r="AJ53" s="2"/>
      <c r="AK53" s="2"/>
      <c r="AL53" s="2"/>
      <c r="AM53" s="2"/>
      <c r="AN53" s="2"/>
      <c r="AO53" s="2"/>
      <c r="AP53" s="2"/>
      <c r="AQ53" s="2"/>
      <c r="AR53" s="2"/>
      <c r="AS53" s="2"/>
      <c r="AT53" s="2"/>
      <c r="AU53" s="2"/>
      <c r="AV53" s="2"/>
      <c r="AW53" s="2"/>
      <c r="AX53" s="2"/>
      <c r="AY53" s="2"/>
      <c r="AZ53" s="2"/>
      <c r="BA53" s="2"/>
      <c r="BB53" s="2"/>
      <c r="BC53" s="2"/>
      <c r="BD53" s="2"/>
      <c r="BE53" s="2"/>
      <c r="BF53" s="2"/>
      <c r="BG53" s="2"/>
    </row>
    <row r="54" spans="2:59" x14ac:dyDescent="0.25">
      <c r="B54" s="2"/>
      <c r="C54" s="2"/>
      <c r="D54" s="36"/>
      <c r="E54" s="36"/>
      <c r="F54" s="36"/>
      <c r="G54" s="36"/>
      <c r="H54" s="36"/>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36"/>
      <c r="AH54" s="36"/>
      <c r="AI54" s="2"/>
      <c r="AJ54" s="2"/>
      <c r="AK54" s="2"/>
      <c r="AL54" s="2"/>
      <c r="AM54" s="2"/>
      <c r="AN54" s="2"/>
      <c r="AO54" s="2"/>
      <c r="AP54" s="2"/>
      <c r="AQ54" s="2"/>
      <c r="AR54" s="2"/>
      <c r="AS54" s="2"/>
      <c r="AT54" s="2"/>
      <c r="AU54" s="2"/>
      <c r="AV54" s="2"/>
      <c r="AW54" s="2"/>
      <c r="AX54" s="2"/>
      <c r="AY54" s="2"/>
      <c r="AZ54" s="2"/>
      <c r="BA54" s="2"/>
      <c r="BB54" s="2"/>
      <c r="BC54" s="2"/>
      <c r="BD54" s="2"/>
      <c r="BE54" s="2"/>
      <c r="BF54" s="2"/>
      <c r="BG54" s="2"/>
    </row>
    <row r="55" spans="2:59" x14ac:dyDescent="0.25">
      <c r="B55" s="2"/>
      <c r="C55" s="2"/>
      <c r="D55" s="36"/>
      <c r="E55" s="36"/>
      <c r="F55" s="36"/>
      <c r="G55" s="36"/>
      <c r="H55" s="36"/>
      <c r="I55" s="36"/>
      <c r="J55" s="36"/>
      <c r="K55" s="36"/>
      <c r="L55" s="36"/>
      <c r="M55" s="36"/>
      <c r="N55" s="36"/>
      <c r="O55" s="36"/>
      <c r="P55" s="36"/>
      <c r="Q55" s="36"/>
      <c r="R55" s="36"/>
      <c r="S55" s="36"/>
      <c r="T55" s="36"/>
      <c r="U55" s="36"/>
      <c r="V55" s="36"/>
      <c r="W55" s="36"/>
      <c r="X55" s="36"/>
      <c r="Y55" s="36"/>
      <c r="Z55" s="36"/>
      <c r="AA55" s="36"/>
      <c r="AB55" s="36"/>
      <c r="AC55" s="36"/>
      <c r="AD55" s="36"/>
      <c r="AE55" s="36"/>
      <c r="AF55" s="36"/>
      <c r="AG55" s="36"/>
      <c r="AH55" s="36"/>
      <c r="AI55" s="2"/>
      <c r="AJ55" s="2"/>
      <c r="AK55" s="2"/>
      <c r="AL55" s="2"/>
      <c r="AM55" s="2"/>
      <c r="AN55" s="2"/>
      <c r="AO55" s="2"/>
      <c r="AP55" s="2"/>
      <c r="AQ55" s="2"/>
      <c r="AR55" s="2"/>
      <c r="AS55" s="2"/>
      <c r="AT55" s="2"/>
      <c r="AU55" s="2"/>
      <c r="AV55" s="2"/>
      <c r="AW55" s="2"/>
      <c r="AX55" s="2"/>
      <c r="AY55" s="2"/>
      <c r="AZ55" s="2"/>
      <c r="BA55" s="2"/>
      <c r="BB55" s="2"/>
      <c r="BC55" s="2"/>
      <c r="BD55" s="2"/>
      <c r="BE55" s="2"/>
      <c r="BF55" s="2"/>
      <c r="BG55" s="2"/>
    </row>
    <row r="56" spans="2:59" x14ac:dyDescent="0.25">
      <c r="B56" s="2"/>
      <c r="C56" s="2"/>
      <c r="D56" s="36"/>
      <c r="E56" s="36"/>
      <c r="F56" s="36"/>
      <c r="G56" s="36"/>
      <c r="H56" s="36"/>
      <c r="I56" s="36"/>
      <c r="J56" s="36"/>
      <c r="K56" s="36"/>
      <c r="L56" s="36"/>
      <c r="M56" s="36"/>
      <c r="N56" s="36"/>
      <c r="O56" s="36"/>
      <c r="P56" s="36"/>
      <c r="Q56" s="36"/>
      <c r="R56" s="36"/>
      <c r="S56" s="36"/>
      <c r="T56" s="36"/>
      <c r="U56" s="36"/>
      <c r="V56" s="36"/>
      <c r="W56" s="36"/>
      <c r="X56" s="36"/>
      <c r="Y56" s="36"/>
      <c r="Z56" s="36"/>
      <c r="AA56" s="36"/>
      <c r="AB56" s="36"/>
      <c r="AC56" s="36"/>
      <c r="AD56" s="36"/>
      <c r="AE56" s="36"/>
      <c r="AF56" s="36"/>
      <c r="AG56" s="36"/>
      <c r="AH56" s="36"/>
      <c r="AI56" s="2"/>
      <c r="AJ56" s="2"/>
      <c r="AK56" s="2"/>
      <c r="AL56" s="2"/>
      <c r="AM56" s="2"/>
      <c r="AN56" s="2"/>
      <c r="AO56" s="2"/>
      <c r="AP56" s="2"/>
      <c r="AQ56" s="2"/>
      <c r="AR56" s="2"/>
      <c r="AS56" s="2"/>
      <c r="AT56" s="2"/>
      <c r="AU56" s="2"/>
      <c r="AV56" s="2"/>
      <c r="AW56" s="2"/>
      <c r="AX56" s="2"/>
      <c r="AY56" s="2"/>
      <c r="AZ56" s="2"/>
      <c r="BA56" s="2"/>
      <c r="BB56" s="2"/>
      <c r="BC56" s="2"/>
      <c r="BD56" s="2"/>
      <c r="BE56" s="2"/>
      <c r="BF56" s="2"/>
      <c r="BG56" s="2"/>
    </row>
    <row r="57" spans="2:59" x14ac:dyDescent="0.25">
      <c r="B57" s="2"/>
      <c r="C57" s="2"/>
      <c r="D57" s="36"/>
      <c r="E57" s="36"/>
      <c r="F57" s="36"/>
      <c r="G57" s="36"/>
      <c r="H57" s="36"/>
      <c r="I57" s="36"/>
      <c r="J57" s="36"/>
      <c r="K57" s="36"/>
      <c r="L57" s="36"/>
      <c r="M57" s="36"/>
      <c r="N57" s="36"/>
      <c r="O57" s="36"/>
      <c r="P57" s="36"/>
      <c r="Q57" s="36"/>
      <c r="R57" s="36"/>
      <c r="S57" s="36"/>
      <c r="T57" s="36"/>
      <c r="U57" s="36"/>
      <c r="V57" s="36"/>
      <c r="W57" s="36"/>
      <c r="X57" s="36"/>
      <c r="Y57" s="36"/>
      <c r="Z57" s="36"/>
      <c r="AA57" s="36"/>
      <c r="AB57" s="36"/>
      <c r="AC57" s="36"/>
      <c r="AD57" s="36"/>
      <c r="AE57" s="36"/>
      <c r="AF57" s="36"/>
      <c r="AG57" s="36"/>
      <c r="AH57" s="36"/>
      <c r="AI57" s="2"/>
      <c r="AJ57" s="2"/>
      <c r="AK57" s="2"/>
      <c r="AL57" s="2"/>
      <c r="AM57" s="2"/>
      <c r="AN57" s="2"/>
      <c r="AO57" s="2"/>
      <c r="AP57" s="2"/>
      <c r="AQ57" s="2"/>
      <c r="AR57" s="2"/>
      <c r="AS57" s="2"/>
      <c r="AT57" s="2"/>
      <c r="AU57" s="2"/>
      <c r="AV57" s="2"/>
      <c r="AW57" s="2"/>
      <c r="AX57" s="2"/>
      <c r="AY57" s="2"/>
      <c r="AZ57" s="2"/>
      <c r="BA57" s="2"/>
      <c r="BB57" s="2"/>
      <c r="BC57" s="2"/>
      <c r="BD57" s="2"/>
      <c r="BE57" s="2"/>
      <c r="BF57" s="2"/>
      <c r="BG57" s="2"/>
    </row>
    <row r="58" spans="2:59" x14ac:dyDescent="0.25">
      <c r="B58" s="2"/>
      <c r="C58" s="2"/>
      <c r="D58" s="36"/>
      <c r="E58" s="36"/>
      <c r="F58" s="36"/>
      <c r="G58" s="36"/>
      <c r="H58" s="36"/>
      <c r="I58" s="36"/>
      <c r="J58" s="36"/>
      <c r="K58" s="36"/>
      <c r="L58" s="36"/>
      <c r="M58" s="36"/>
      <c r="N58" s="36"/>
      <c r="O58" s="36"/>
      <c r="P58" s="36"/>
      <c r="Q58" s="36"/>
      <c r="R58" s="36"/>
      <c r="S58" s="36"/>
      <c r="T58" s="36"/>
      <c r="U58" s="36"/>
      <c r="V58" s="36"/>
      <c r="W58" s="36"/>
      <c r="X58" s="36"/>
      <c r="Y58" s="36"/>
      <c r="Z58" s="36"/>
      <c r="AA58" s="36"/>
      <c r="AB58" s="36"/>
      <c r="AC58" s="36"/>
      <c r="AD58" s="36"/>
      <c r="AE58" s="36"/>
      <c r="AF58" s="36"/>
      <c r="AG58" s="36"/>
      <c r="AH58" s="36"/>
      <c r="AI58" s="2"/>
      <c r="AJ58" s="2"/>
      <c r="AK58" s="2"/>
      <c r="AL58" s="2"/>
      <c r="AM58" s="2"/>
      <c r="AN58" s="2"/>
      <c r="AO58" s="2"/>
      <c r="AP58" s="2"/>
      <c r="AQ58" s="2"/>
      <c r="AR58" s="2"/>
      <c r="AS58" s="2"/>
      <c r="AT58" s="2"/>
      <c r="AU58" s="2"/>
      <c r="AV58" s="2"/>
      <c r="AW58" s="2"/>
      <c r="AX58" s="2"/>
      <c r="AY58" s="2"/>
      <c r="AZ58" s="2"/>
      <c r="BA58" s="2"/>
      <c r="BB58" s="2"/>
      <c r="BC58" s="2"/>
      <c r="BD58" s="2"/>
      <c r="BE58" s="2"/>
      <c r="BF58" s="2"/>
      <c r="BG58" s="2"/>
    </row>
    <row r="59" spans="2:59" x14ac:dyDescent="0.25">
      <c r="B59" s="2"/>
      <c r="C59" s="2"/>
      <c r="D59" s="36"/>
      <c r="E59" s="36"/>
      <c r="F59" s="36"/>
      <c r="G59" s="36"/>
      <c r="H59" s="36"/>
      <c r="I59" s="36"/>
      <c r="J59" s="36"/>
      <c r="K59" s="36"/>
      <c r="L59" s="36"/>
      <c r="M59" s="36"/>
      <c r="N59" s="36"/>
      <c r="O59" s="36"/>
      <c r="P59" s="36"/>
      <c r="Q59" s="36"/>
      <c r="R59" s="36"/>
      <c r="S59" s="36"/>
      <c r="T59" s="36"/>
      <c r="U59" s="36"/>
      <c r="V59" s="36"/>
      <c r="W59" s="36"/>
      <c r="X59" s="36"/>
      <c r="Y59" s="36"/>
      <c r="Z59" s="36"/>
      <c r="AA59" s="36"/>
      <c r="AB59" s="36"/>
      <c r="AC59" s="36"/>
      <c r="AD59" s="36"/>
      <c r="AE59" s="36"/>
      <c r="AF59" s="36"/>
      <c r="AG59" s="36"/>
      <c r="AH59" s="36"/>
      <c r="AI59" s="2"/>
      <c r="AJ59" s="2"/>
      <c r="AK59" s="2"/>
      <c r="AL59" s="2"/>
      <c r="AM59" s="2"/>
      <c r="AN59" s="2"/>
      <c r="AO59" s="2"/>
      <c r="AP59" s="2"/>
      <c r="AQ59" s="2"/>
      <c r="AR59" s="2"/>
      <c r="AS59" s="2"/>
      <c r="AT59" s="2"/>
      <c r="AU59" s="2"/>
      <c r="AV59" s="2"/>
      <c r="AW59" s="2"/>
      <c r="AX59" s="2"/>
      <c r="AY59" s="2"/>
      <c r="AZ59" s="2"/>
      <c r="BA59" s="2"/>
      <c r="BB59" s="2"/>
      <c r="BC59" s="2"/>
      <c r="BD59" s="2"/>
      <c r="BE59" s="2"/>
      <c r="BF59" s="2"/>
      <c r="BG59" s="2"/>
    </row>
    <row r="60" spans="2:59" x14ac:dyDescent="0.25">
      <c r="B60" s="2"/>
      <c r="C60" s="2"/>
      <c r="D60" s="36"/>
      <c r="E60" s="36"/>
      <c r="F60" s="36"/>
      <c r="G60" s="36"/>
      <c r="H60" s="36"/>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2"/>
      <c r="AJ60" s="2"/>
      <c r="AK60" s="2"/>
      <c r="AL60" s="2"/>
      <c r="AM60" s="2"/>
      <c r="AN60" s="2"/>
      <c r="AO60" s="2"/>
      <c r="AP60" s="2"/>
      <c r="AQ60" s="2"/>
      <c r="AR60" s="2"/>
      <c r="AS60" s="2"/>
      <c r="AT60" s="2"/>
      <c r="AU60" s="2"/>
      <c r="AV60" s="2"/>
      <c r="AW60" s="2"/>
      <c r="AX60" s="2"/>
      <c r="AY60" s="2"/>
      <c r="AZ60" s="2"/>
      <c r="BA60" s="2"/>
      <c r="BB60" s="2"/>
      <c r="BC60" s="2"/>
      <c r="BD60" s="2"/>
      <c r="BE60" s="2"/>
      <c r="BF60" s="2"/>
      <c r="BG60" s="2"/>
    </row>
    <row r="61" spans="2:59" x14ac:dyDescent="0.25">
      <c r="B61" s="2"/>
      <c r="C61" s="2"/>
      <c r="D61" s="36"/>
      <c r="E61" s="36"/>
      <c r="F61" s="36"/>
      <c r="G61" s="36"/>
      <c r="H61" s="36"/>
      <c r="I61" s="36"/>
      <c r="J61" s="36"/>
      <c r="K61" s="36"/>
      <c r="L61" s="36"/>
      <c r="M61" s="36"/>
      <c r="N61" s="36"/>
      <c r="O61" s="36"/>
      <c r="P61" s="36"/>
      <c r="Q61" s="36"/>
      <c r="R61" s="36"/>
      <c r="S61" s="36"/>
      <c r="T61" s="36"/>
      <c r="U61" s="36"/>
      <c r="V61" s="36"/>
      <c r="W61" s="36"/>
      <c r="X61" s="36"/>
      <c r="Y61" s="36"/>
      <c r="Z61" s="36"/>
      <c r="AA61" s="36"/>
      <c r="AB61" s="36"/>
      <c r="AC61" s="36"/>
      <c r="AD61" s="36"/>
      <c r="AE61" s="36"/>
      <c r="AF61" s="36"/>
      <c r="AG61" s="36"/>
      <c r="AH61" s="36"/>
      <c r="AI61" s="2"/>
      <c r="AJ61" s="2"/>
      <c r="AK61" s="2"/>
      <c r="AL61" s="2"/>
      <c r="AM61" s="2"/>
      <c r="AN61" s="2"/>
      <c r="AO61" s="2"/>
      <c r="AP61" s="2"/>
      <c r="AQ61" s="2"/>
      <c r="AR61" s="2"/>
      <c r="AS61" s="2"/>
      <c r="AT61" s="2"/>
      <c r="AU61" s="2"/>
      <c r="AV61" s="2"/>
      <c r="AW61" s="2"/>
      <c r="AX61" s="2"/>
      <c r="AY61" s="2"/>
      <c r="AZ61" s="2"/>
      <c r="BA61" s="2"/>
      <c r="BB61" s="2"/>
      <c r="BC61" s="2"/>
      <c r="BD61" s="2"/>
      <c r="BE61" s="2"/>
      <c r="BF61" s="2"/>
      <c r="BG61" s="2"/>
    </row>
    <row r="62" spans="2:59" x14ac:dyDescent="0.25">
      <c r="B62" s="2"/>
      <c r="C62" s="2"/>
      <c r="D62" s="36"/>
      <c r="E62" s="36"/>
      <c r="F62" s="36"/>
      <c r="G62" s="36"/>
      <c r="H62" s="36"/>
      <c r="I62" s="36"/>
      <c r="J62" s="36"/>
      <c r="K62" s="36"/>
      <c r="L62" s="36"/>
      <c r="M62" s="36"/>
      <c r="N62" s="36"/>
      <c r="O62" s="36"/>
      <c r="P62" s="36"/>
      <c r="Q62" s="36"/>
      <c r="R62" s="36"/>
      <c r="S62" s="36"/>
      <c r="T62" s="36"/>
      <c r="U62" s="36"/>
      <c r="V62" s="36"/>
      <c r="W62" s="36"/>
      <c r="X62" s="36"/>
      <c r="Y62" s="36"/>
      <c r="Z62" s="36"/>
      <c r="AA62" s="36"/>
      <c r="AB62" s="36"/>
      <c r="AC62" s="36"/>
      <c r="AD62" s="36"/>
      <c r="AE62" s="36"/>
      <c r="AF62" s="36"/>
      <c r="AG62" s="36"/>
      <c r="AH62" s="36"/>
      <c r="AI62" s="2"/>
      <c r="AJ62" s="2"/>
      <c r="AK62" s="2"/>
      <c r="AL62" s="2"/>
      <c r="AM62" s="2"/>
      <c r="AN62" s="2"/>
      <c r="AO62" s="2"/>
      <c r="AP62" s="2"/>
      <c r="AQ62" s="2"/>
      <c r="AR62" s="2"/>
      <c r="AS62" s="2"/>
      <c r="AT62" s="2"/>
      <c r="AU62" s="2"/>
      <c r="AV62" s="2"/>
      <c r="AW62" s="2"/>
      <c r="AX62" s="2"/>
      <c r="AY62" s="2"/>
      <c r="AZ62" s="2"/>
      <c r="BA62" s="2"/>
      <c r="BB62" s="2"/>
      <c r="BC62" s="2"/>
      <c r="BD62" s="2"/>
      <c r="BE62" s="2"/>
      <c r="BF62" s="2"/>
      <c r="BG62" s="2"/>
    </row>
    <row r="63" spans="2:59" x14ac:dyDescent="0.25">
      <c r="B63" s="2"/>
      <c r="C63" s="2"/>
      <c r="D63" s="36"/>
      <c r="E63" s="36"/>
      <c r="F63" s="36"/>
      <c r="G63" s="36"/>
      <c r="H63" s="36"/>
      <c r="I63" s="36"/>
      <c r="J63" s="36"/>
      <c r="K63" s="36"/>
      <c r="L63" s="36"/>
      <c r="M63" s="36"/>
      <c r="N63" s="36"/>
      <c r="O63" s="36"/>
      <c r="P63" s="36"/>
      <c r="Q63" s="36"/>
      <c r="R63" s="36"/>
      <c r="S63" s="36"/>
      <c r="T63" s="36"/>
      <c r="U63" s="36"/>
      <c r="V63" s="36"/>
      <c r="W63" s="36"/>
      <c r="X63" s="36"/>
      <c r="Y63" s="36"/>
      <c r="Z63" s="36"/>
      <c r="AA63" s="36"/>
      <c r="AB63" s="36"/>
      <c r="AC63" s="36"/>
      <c r="AD63" s="36"/>
      <c r="AE63" s="36"/>
      <c r="AF63" s="36"/>
      <c r="AG63" s="36"/>
      <c r="AH63" s="36"/>
      <c r="AI63" s="2"/>
      <c r="AJ63" s="2"/>
      <c r="AK63" s="2"/>
      <c r="AL63" s="2"/>
      <c r="AM63" s="2"/>
      <c r="AN63" s="2"/>
      <c r="AO63" s="2"/>
      <c r="AP63" s="2"/>
      <c r="AQ63" s="2"/>
      <c r="AR63" s="2"/>
      <c r="AS63" s="2"/>
      <c r="AT63" s="2"/>
      <c r="AU63" s="2"/>
      <c r="AV63" s="2"/>
      <c r="AW63" s="2"/>
      <c r="AX63" s="2"/>
      <c r="AY63" s="2"/>
      <c r="AZ63" s="2"/>
      <c r="BA63" s="2"/>
      <c r="BB63" s="2"/>
      <c r="BC63" s="2"/>
      <c r="BD63" s="2"/>
      <c r="BE63" s="2"/>
      <c r="BF63" s="2"/>
      <c r="BG63" s="2"/>
    </row>
    <row r="64" spans="2:59" x14ac:dyDescent="0.25">
      <c r="B64" s="2"/>
      <c r="C64" s="2"/>
      <c r="D64" s="36"/>
      <c r="E64" s="36"/>
      <c r="F64" s="36"/>
      <c r="G64" s="36"/>
      <c r="H64" s="36"/>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36"/>
      <c r="AH64" s="36"/>
      <c r="AI64" s="2"/>
      <c r="AJ64" s="2"/>
      <c r="AK64" s="2"/>
      <c r="AL64" s="2"/>
      <c r="AM64" s="2"/>
      <c r="AN64" s="2"/>
      <c r="AO64" s="2"/>
      <c r="AP64" s="2"/>
      <c r="AQ64" s="2"/>
      <c r="AR64" s="2"/>
      <c r="AS64" s="2"/>
      <c r="AT64" s="2"/>
      <c r="AU64" s="2"/>
      <c r="AV64" s="2"/>
      <c r="AW64" s="2"/>
      <c r="AX64" s="2"/>
      <c r="AY64" s="2"/>
      <c r="AZ64" s="2"/>
      <c r="BA64" s="2"/>
      <c r="BB64" s="2"/>
      <c r="BC64" s="2"/>
      <c r="BD64" s="2"/>
      <c r="BE64" s="2"/>
      <c r="BF64" s="2"/>
      <c r="BG64" s="2"/>
    </row>
    <row r="65" spans="2:59" x14ac:dyDescent="0.25">
      <c r="B65" s="2"/>
      <c r="C65" s="2"/>
      <c r="D65" s="36"/>
      <c r="E65" s="36"/>
      <c r="F65" s="36"/>
      <c r="G65" s="36"/>
      <c r="H65" s="36"/>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36"/>
      <c r="AH65" s="36"/>
      <c r="AI65" s="2"/>
      <c r="AJ65" s="2"/>
      <c r="AK65" s="2"/>
      <c r="AL65" s="2"/>
      <c r="AM65" s="2"/>
      <c r="AN65" s="2"/>
      <c r="AO65" s="2"/>
      <c r="AP65" s="2"/>
      <c r="AQ65" s="2"/>
      <c r="AR65" s="2"/>
      <c r="AS65" s="2"/>
      <c r="AT65" s="2"/>
      <c r="AU65" s="2"/>
      <c r="AV65" s="2"/>
      <c r="AW65" s="2"/>
      <c r="AX65" s="2"/>
      <c r="AY65" s="2"/>
      <c r="AZ65" s="2"/>
      <c r="BA65" s="2"/>
      <c r="BB65" s="2"/>
      <c r="BC65" s="2"/>
      <c r="BD65" s="2"/>
      <c r="BE65" s="2"/>
      <c r="BF65" s="2"/>
      <c r="BG65" s="2"/>
    </row>
    <row r="66" spans="2:59" x14ac:dyDescent="0.25">
      <c r="B66" s="2"/>
      <c r="C66" s="2"/>
      <c r="D66" s="36"/>
      <c r="E66" s="36"/>
      <c r="F66" s="36"/>
      <c r="G66" s="36"/>
      <c r="H66" s="36"/>
      <c r="I66" s="36"/>
      <c r="J66" s="36"/>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2"/>
      <c r="AJ66" s="2"/>
      <c r="AK66" s="2"/>
      <c r="AL66" s="2"/>
      <c r="AM66" s="2"/>
      <c r="AN66" s="2"/>
      <c r="AO66" s="2"/>
      <c r="AP66" s="2"/>
      <c r="AQ66" s="2"/>
      <c r="AR66" s="2"/>
      <c r="AS66" s="2"/>
      <c r="AT66" s="2"/>
      <c r="AU66" s="2"/>
      <c r="AV66" s="2"/>
      <c r="AW66" s="2"/>
      <c r="AX66" s="2"/>
      <c r="AY66" s="2"/>
      <c r="AZ66" s="2"/>
      <c r="BA66" s="2"/>
      <c r="BB66" s="2"/>
      <c r="BC66" s="2"/>
      <c r="BD66" s="2"/>
      <c r="BE66" s="2"/>
      <c r="BF66" s="2"/>
      <c r="BG66" s="2"/>
    </row>
    <row r="67" spans="2:59" x14ac:dyDescent="0.25">
      <c r="B67" s="2"/>
      <c r="C67" s="2"/>
      <c r="D67" s="36"/>
      <c r="E67" s="36"/>
      <c r="F67" s="36"/>
      <c r="G67" s="36"/>
      <c r="H67" s="36"/>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2"/>
      <c r="AJ67" s="2"/>
      <c r="AK67" s="2"/>
      <c r="AL67" s="2"/>
      <c r="AM67" s="2"/>
      <c r="AN67" s="2"/>
      <c r="AO67" s="2"/>
      <c r="AP67" s="2"/>
      <c r="AQ67" s="2"/>
      <c r="AR67" s="2"/>
      <c r="AS67" s="2"/>
      <c r="AT67" s="2"/>
      <c r="AU67" s="2"/>
      <c r="AV67" s="2"/>
      <c r="AW67" s="2"/>
      <c r="AX67" s="2"/>
      <c r="AY67" s="2"/>
      <c r="AZ67" s="2"/>
      <c r="BA67" s="2"/>
      <c r="BB67" s="2"/>
      <c r="BC67" s="2"/>
      <c r="BD67" s="2"/>
      <c r="BE67" s="2"/>
      <c r="BF67" s="2"/>
      <c r="BG67" s="2"/>
    </row>
    <row r="68" spans="2:59" x14ac:dyDescent="0.25">
      <c r="B68" s="2"/>
      <c r="C68" s="2"/>
      <c r="D68" s="36"/>
      <c r="E68" s="36"/>
      <c r="F68" s="36"/>
      <c r="G68" s="36"/>
      <c r="H68" s="36"/>
      <c r="I68" s="36"/>
      <c r="J68" s="36"/>
      <c r="K68" s="36"/>
      <c r="L68" s="36"/>
      <c r="M68" s="36"/>
      <c r="N68" s="36"/>
      <c r="O68" s="36"/>
      <c r="P68" s="36"/>
      <c r="Q68" s="36"/>
      <c r="R68" s="36"/>
      <c r="S68" s="36"/>
      <c r="T68" s="36"/>
      <c r="U68" s="36"/>
      <c r="V68" s="36"/>
      <c r="W68" s="36"/>
      <c r="X68" s="36"/>
      <c r="Y68" s="36"/>
      <c r="Z68" s="36"/>
      <c r="AA68" s="36"/>
      <c r="AB68" s="36"/>
      <c r="AC68" s="36"/>
      <c r="AD68" s="36"/>
      <c r="AE68" s="36"/>
      <c r="AF68" s="36"/>
      <c r="AG68" s="36"/>
      <c r="AH68" s="36"/>
      <c r="AI68" s="2"/>
      <c r="AJ68" s="2"/>
      <c r="AK68" s="2"/>
      <c r="AL68" s="2"/>
      <c r="AM68" s="2"/>
      <c r="AN68" s="2"/>
      <c r="AO68" s="2"/>
      <c r="AP68" s="2"/>
      <c r="AQ68" s="2"/>
      <c r="AR68" s="2"/>
      <c r="AS68" s="2"/>
      <c r="AT68" s="2"/>
      <c r="AU68" s="2"/>
      <c r="AV68" s="2"/>
      <c r="AW68" s="2"/>
      <c r="AX68" s="2"/>
      <c r="AY68" s="2"/>
      <c r="AZ68" s="2"/>
      <c r="BA68" s="2"/>
      <c r="BB68" s="2"/>
      <c r="BC68" s="2"/>
      <c r="BD68" s="2"/>
      <c r="BE68" s="2"/>
      <c r="BF68" s="2"/>
      <c r="BG68" s="2"/>
    </row>
    <row r="69" spans="2:59" x14ac:dyDescent="0.25">
      <c r="B69" s="2"/>
      <c r="C69" s="2"/>
      <c r="D69" s="36"/>
      <c r="E69" s="36"/>
      <c r="F69" s="36"/>
      <c r="G69" s="36"/>
      <c r="H69" s="36"/>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6"/>
      <c r="AH69" s="36"/>
      <c r="AI69" s="2"/>
      <c r="AJ69" s="2"/>
      <c r="AK69" s="2"/>
      <c r="AL69" s="2"/>
      <c r="AM69" s="2"/>
      <c r="AN69" s="2"/>
      <c r="AO69" s="2"/>
      <c r="AP69" s="2"/>
      <c r="AQ69" s="2"/>
      <c r="AR69" s="2"/>
      <c r="AS69" s="2"/>
      <c r="AT69" s="2"/>
      <c r="AU69" s="2"/>
      <c r="AV69" s="2"/>
      <c r="AW69" s="2"/>
      <c r="AX69" s="2"/>
      <c r="AY69" s="2"/>
      <c r="AZ69" s="2"/>
      <c r="BA69" s="2"/>
      <c r="BB69" s="2"/>
      <c r="BC69" s="2"/>
      <c r="BD69" s="2"/>
      <c r="BE69" s="2"/>
      <c r="BF69" s="2"/>
      <c r="BG69" s="2"/>
    </row>
    <row r="70" spans="2:59" x14ac:dyDescent="0.25">
      <c r="B70" s="2"/>
      <c r="C70" s="2"/>
      <c r="D70" s="36"/>
      <c r="E70" s="36"/>
      <c r="F70" s="36"/>
      <c r="G70" s="36"/>
      <c r="H70" s="36"/>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2"/>
      <c r="AJ70" s="2"/>
      <c r="AK70" s="2"/>
      <c r="AL70" s="2"/>
      <c r="AM70" s="2"/>
      <c r="AN70" s="2"/>
      <c r="AO70" s="2"/>
      <c r="AP70" s="2"/>
      <c r="AQ70" s="2"/>
      <c r="AR70" s="2"/>
      <c r="AS70" s="2"/>
      <c r="AT70" s="2"/>
      <c r="AU70" s="2"/>
      <c r="AV70" s="2"/>
      <c r="AW70" s="2"/>
      <c r="AX70" s="2"/>
      <c r="AY70" s="2"/>
      <c r="AZ70" s="2"/>
      <c r="BA70" s="2"/>
      <c r="BB70" s="2"/>
      <c r="BC70" s="2"/>
      <c r="BD70" s="2"/>
      <c r="BE70" s="2"/>
      <c r="BF70" s="2"/>
      <c r="BG70" s="2"/>
    </row>
    <row r="71" spans="2:59" x14ac:dyDescent="0.25">
      <c r="B71" s="2"/>
      <c r="C71" s="2"/>
      <c r="D71" s="36"/>
      <c r="E71" s="36"/>
      <c r="F71" s="36"/>
      <c r="G71" s="36"/>
      <c r="H71" s="36"/>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6"/>
      <c r="AH71" s="36"/>
      <c r="AI71" s="2"/>
      <c r="AJ71" s="2"/>
      <c r="AK71" s="2"/>
      <c r="AL71" s="2"/>
      <c r="AM71" s="2"/>
      <c r="AN71" s="2"/>
      <c r="AO71" s="2"/>
      <c r="AP71" s="2"/>
      <c r="AQ71" s="2"/>
      <c r="AR71" s="2"/>
      <c r="AS71" s="2"/>
      <c r="AT71" s="2"/>
      <c r="AU71" s="2"/>
      <c r="AV71" s="2"/>
      <c r="AW71" s="2"/>
      <c r="AX71" s="2"/>
      <c r="AY71" s="2"/>
      <c r="AZ71" s="2"/>
      <c r="BA71" s="2"/>
      <c r="BB71" s="2"/>
      <c r="BC71" s="2"/>
      <c r="BD71" s="2"/>
      <c r="BE71" s="2"/>
      <c r="BF71" s="2"/>
      <c r="BG71" s="2"/>
    </row>
    <row r="72" spans="2:59" x14ac:dyDescent="0.25">
      <c r="B72" s="2"/>
      <c r="C72" s="2"/>
      <c r="D72" s="36"/>
      <c r="E72" s="36"/>
      <c r="F72" s="36"/>
      <c r="G72" s="36"/>
      <c r="H72" s="36"/>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2"/>
      <c r="AJ72" s="2"/>
      <c r="AK72" s="2"/>
      <c r="AL72" s="2"/>
      <c r="AM72" s="2"/>
      <c r="AN72" s="2"/>
      <c r="AO72" s="2"/>
      <c r="AP72" s="2"/>
      <c r="AQ72" s="2"/>
      <c r="AR72" s="2"/>
      <c r="AS72" s="2"/>
      <c r="AT72" s="2"/>
      <c r="AU72" s="2"/>
      <c r="AV72" s="2"/>
      <c r="AW72" s="2"/>
      <c r="AX72" s="2"/>
      <c r="AY72" s="2"/>
      <c r="AZ72" s="2"/>
      <c r="BA72" s="2"/>
      <c r="BB72" s="2"/>
      <c r="BC72" s="2"/>
      <c r="BD72" s="2"/>
      <c r="BE72" s="2"/>
      <c r="BF72" s="2"/>
      <c r="BG72" s="2"/>
    </row>
    <row r="73" spans="2:59" x14ac:dyDescent="0.25">
      <c r="B73" s="2"/>
      <c r="C73" s="2"/>
      <c r="D73" s="36"/>
      <c r="E73" s="36"/>
      <c r="F73" s="36"/>
      <c r="G73" s="36"/>
      <c r="H73" s="36"/>
      <c r="I73" s="36"/>
      <c r="J73" s="36"/>
      <c r="K73" s="36"/>
      <c r="L73" s="36"/>
      <c r="M73" s="36"/>
      <c r="N73" s="36"/>
      <c r="O73" s="36"/>
      <c r="P73" s="36"/>
      <c r="Q73" s="36"/>
      <c r="R73" s="36"/>
      <c r="S73" s="36"/>
      <c r="T73" s="36"/>
      <c r="U73" s="36"/>
      <c r="V73" s="36"/>
      <c r="W73" s="36"/>
      <c r="X73" s="36"/>
      <c r="Y73" s="36"/>
      <c r="Z73" s="36"/>
      <c r="AA73" s="36"/>
      <c r="AB73" s="36"/>
      <c r="AC73" s="36"/>
      <c r="AD73" s="36"/>
      <c r="AE73" s="36"/>
      <c r="AF73" s="36"/>
      <c r="AG73" s="36"/>
      <c r="AH73" s="36"/>
      <c r="AI73" s="2"/>
      <c r="AJ73" s="2"/>
      <c r="AK73" s="2"/>
      <c r="AL73" s="2"/>
      <c r="AM73" s="2"/>
      <c r="AN73" s="2"/>
      <c r="AO73" s="2"/>
      <c r="AP73" s="2"/>
      <c r="AQ73" s="2"/>
      <c r="AR73" s="2"/>
      <c r="AS73" s="2"/>
      <c r="AT73" s="2"/>
      <c r="AU73" s="2"/>
      <c r="AV73" s="2"/>
      <c r="AW73" s="2"/>
      <c r="AX73" s="2"/>
      <c r="AY73" s="2"/>
      <c r="AZ73" s="2"/>
      <c r="BA73" s="2"/>
      <c r="BB73" s="2"/>
      <c r="BC73" s="2"/>
      <c r="BD73" s="2"/>
      <c r="BE73" s="2"/>
      <c r="BF73" s="2"/>
      <c r="BG73" s="2"/>
    </row>
    <row r="74" spans="2:59" x14ac:dyDescent="0.25">
      <c r="B74" s="2"/>
      <c r="C74" s="2"/>
      <c r="D74" s="36"/>
      <c r="E74" s="36"/>
      <c r="F74" s="36"/>
      <c r="G74" s="36"/>
      <c r="H74" s="36"/>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2"/>
      <c r="AJ74" s="2"/>
      <c r="AK74" s="2"/>
      <c r="AL74" s="2"/>
      <c r="AM74" s="2"/>
      <c r="AN74" s="2"/>
      <c r="AO74" s="2"/>
      <c r="AP74" s="2"/>
      <c r="AQ74" s="2"/>
      <c r="AR74" s="2"/>
      <c r="AS74" s="2"/>
      <c r="AT74" s="2"/>
      <c r="AU74" s="2"/>
      <c r="AV74" s="2"/>
      <c r="AW74" s="2"/>
      <c r="AX74" s="2"/>
      <c r="AY74" s="2"/>
      <c r="AZ74" s="2"/>
      <c r="BA74" s="2"/>
      <c r="BB74" s="2"/>
      <c r="BC74" s="2"/>
      <c r="BD74" s="2"/>
      <c r="BE74" s="2"/>
      <c r="BF74" s="2"/>
      <c r="BG74" s="2"/>
    </row>
    <row r="75" spans="2:59" x14ac:dyDescent="0.25">
      <c r="B75" s="2"/>
      <c r="C75" s="2"/>
      <c r="D75" s="36"/>
      <c r="E75" s="36"/>
      <c r="F75" s="36"/>
      <c r="G75" s="36"/>
      <c r="H75" s="36"/>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c r="AH75" s="36"/>
      <c r="AI75" s="2"/>
      <c r="AJ75" s="2"/>
      <c r="AK75" s="2"/>
      <c r="AL75" s="2"/>
      <c r="AM75" s="2"/>
      <c r="AN75" s="2"/>
      <c r="AO75" s="2"/>
      <c r="AP75" s="2"/>
      <c r="AQ75" s="2"/>
      <c r="AR75" s="2"/>
      <c r="AS75" s="2"/>
      <c r="AT75" s="2"/>
      <c r="AU75" s="2"/>
      <c r="AV75" s="2"/>
      <c r="AW75" s="2"/>
      <c r="AX75" s="2"/>
      <c r="AY75" s="2"/>
      <c r="AZ75" s="2"/>
      <c r="BA75" s="2"/>
      <c r="BB75" s="2"/>
      <c r="BC75" s="2"/>
      <c r="BD75" s="2"/>
      <c r="BE75" s="2"/>
      <c r="BF75" s="2"/>
      <c r="BG75" s="2"/>
    </row>
    <row r="76" spans="2:59" x14ac:dyDescent="0.25">
      <c r="B76" s="2"/>
      <c r="C76" s="2"/>
      <c r="D76" s="36"/>
      <c r="E76" s="36"/>
      <c r="F76" s="36"/>
      <c r="G76" s="36"/>
      <c r="H76" s="36"/>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2"/>
      <c r="AJ76" s="2"/>
      <c r="AK76" s="2"/>
      <c r="AL76" s="2"/>
      <c r="AM76" s="2"/>
      <c r="AN76" s="2"/>
      <c r="AO76" s="2"/>
      <c r="AP76" s="2"/>
      <c r="AQ76" s="2"/>
      <c r="AR76" s="2"/>
      <c r="AS76" s="2"/>
      <c r="AT76" s="2"/>
      <c r="AU76" s="2"/>
      <c r="AV76" s="2"/>
      <c r="AW76" s="2"/>
      <c r="AX76" s="2"/>
      <c r="AY76" s="2"/>
      <c r="AZ76" s="2"/>
      <c r="BA76" s="2"/>
      <c r="BB76" s="2"/>
      <c r="BC76" s="2"/>
      <c r="BD76" s="2"/>
      <c r="BE76" s="2"/>
      <c r="BF76" s="2"/>
      <c r="BG76" s="2"/>
    </row>
    <row r="77" spans="2:59" x14ac:dyDescent="0.25">
      <c r="B77" s="2"/>
      <c r="C77" s="2"/>
      <c r="D77" s="36"/>
      <c r="E77" s="36"/>
      <c r="F77" s="36"/>
      <c r="G77" s="36"/>
      <c r="H77" s="36"/>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2"/>
      <c r="AJ77" s="2"/>
      <c r="AK77" s="2"/>
      <c r="AL77" s="2"/>
      <c r="AM77" s="2"/>
      <c r="AN77" s="2"/>
      <c r="AO77" s="2"/>
      <c r="AP77" s="2"/>
      <c r="AQ77" s="2"/>
      <c r="AR77" s="2"/>
      <c r="AS77" s="2"/>
      <c r="AT77" s="2"/>
      <c r="AU77" s="2"/>
      <c r="AV77" s="2"/>
      <c r="AW77" s="2"/>
      <c r="AX77" s="2"/>
      <c r="AY77" s="2"/>
      <c r="AZ77" s="2"/>
      <c r="BA77" s="2"/>
      <c r="BB77" s="2"/>
      <c r="BC77" s="2"/>
      <c r="BD77" s="2"/>
      <c r="BE77" s="2"/>
      <c r="BF77" s="2"/>
      <c r="BG77" s="2"/>
    </row>
    <row r="78" spans="2:59" x14ac:dyDescent="0.25">
      <c r="B78" s="2"/>
      <c r="C78" s="2"/>
      <c r="D78" s="36"/>
      <c r="E78" s="36"/>
      <c r="F78" s="36"/>
      <c r="G78" s="36"/>
      <c r="H78" s="36"/>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2"/>
      <c r="AJ78" s="2"/>
      <c r="AK78" s="2"/>
      <c r="AL78" s="2"/>
      <c r="AM78" s="2"/>
      <c r="AN78" s="2"/>
      <c r="AO78" s="2"/>
      <c r="AP78" s="2"/>
      <c r="AQ78" s="2"/>
      <c r="AR78" s="2"/>
      <c r="AS78" s="2"/>
      <c r="AT78" s="2"/>
      <c r="AU78" s="2"/>
      <c r="AV78" s="2"/>
      <c r="AW78" s="2"/>
      <c r="AX78" s="2"/>
      <c r="AY78" s="2"/>
      <c r="AZ78" s="2"/>
      <c r="BA78" s="2"/>
      <c r="BB78" s="2"/>
      <c r="BC78" s="2"/>
      <c r="BD78" s="2"/>
      <c r="BE78" s="2"/>
      <c r="BF78" s="2"/>
      <c r="BG78" s="2"/>
    </row>
    <row r="79" spans="2:59" x14ac:dyDescent="0.25">
      <c r="B79" s="2"/>
      <c r="C79" s="2"/>
      <c r="D79" s="36"/>
      <c r="E79" s="36"/>
      <c r="F79" s="36"/>
      <c r="G79" s="36"/>
      <c r="H79" s="36"/>
      <c r="I79" s="36"/>
      <c r="J79" s="36"/>
      <c r="K79" s="36"/>
      <c r="L79" s="36"/>
      <c r="M79" s="36"/>
      <c r="N79" s="36"/>
      <c r="O79" s="36"/>
      <c r="P79" s="36"/>
      <c r="Q79" s="36"/>
      <c r="R79" s="36"/>
      <c r="S79" s="36"/>
      <c r="T79" s="36"/>
      <c r="U79" s="36"/>
      <c r="V79" s="36"/>
      <c r="W79" s="36"/>
      <c r="X79" s="36"/>
      <c r="Y79" s="36"/>
      <c r="Z79" s="36"/>
      <c r="AA79" s="36"/>
      <c r="AB79" s="36"/>
      <c r="AC79" s="36"/>
      <c r="AD79" s="36"/>
      <c r="AE79" s="36"/>
      <c r="AF79" s="36"/>
      <c r="AG79" s="36"/>
      <c r="AH79" s="36"/>
      <c r="AI79" s="2"/>
      <c r="AJ79" s="2"/>
      <c r="AK79" s="2"/>
      <c r="AL79" s="2"/>
      <c r="AM79" s="2"/>
      <c r="AN79" s="2"/>
      <c r="AO79" s="2"/>
      <c r="AP79" s="2"/>
      <c r="AQ79" s="2"/>
      <c r="AR79" s="2"/>
      <c r="AS79" s="2"/>
      <c r="AT79" s="2"/>
      <c r="AU79" s="2"/>
      <c r="AV79" s="2"/>
      <c r="AW79" s="2"/>
      <c r="AX79" s="2"/>
      <c r="AY79" s="2"/>
      <c r="AZ79" s="2"/>
      <c r="BA79" s="2"/>
      <c r="BB79" s="2"/>
      <c r="BC79" s="2"/>
      <c r="BD79" s="2"/>
      <c r="BE79" s="2"/>
      <c r="BF79" s="2"/>
      <c r="BG79" s="2"/>
    </row>
    <row r="80" spans="2:59" x14ac:dyDescent="0.25">
      <c r="B80" s="2"/>
      <c r="C80" s="2"/>
      <c r="D80" s="36"/>
      <c r="E80" s="36"/>
      <c r="F80" s="36"/>
      <c r="G80" s="36"/>
      <c r="H80" s="36"/>
      <c r="I80" s="36"/>
      <c r="J80" s="36"/>
      <c r="K80" s="36"/>
      <c r="L80" s="36"/>
      <c r="M80" s="36"/>
      <c r="N80" s="36"/>
      <c r="O80" s="36"/>
      <c r="P80" s="36"/>
      <c r="Q80" s="36"/>
      <c r="R80" s="36"/>
      <c r="S80" s="36"/>
      <c r="T80" s="36"/>
      <c r="U80" s="36"/>
      <c r="V80" s="36"/>
      <c r="W80" s="36"/>
      <c r="X80" s="36"/>
      <c r="Y80" s="36"/>
      <c r="Z80" s="36"/>
      <c r="AA80" s="36"/>
      <c r="AB80" s="36"/>
      <c r="AC80" s="36"/>
      <c r="AD80" s="36"/>
      <c r="AE80" s="36"/>
      <c r="AF80" s="36"/>
      <c r="AG80" s="36"/>
      <c r="AH80" s="36"/>
      <c r="AI80" s="2"/>
      <c r="AJ80" s="2"/>
      <c r="AK80" s="2"/>
      <c r="AL80" s="2"/>
      <c r="AM80" s="2"/>
      <c r="AN80" s="2"/>
      <c r="AO80" s="2"/>
      <c r="AP80" s="2"/>
      <c r="AQ80" s="2"/>
      <c r="AR80" s="2"/>
      <c r="AS80" s="2"/>
      <c r="AT80" s="2"/>
      <c r="AU80" s="2"/>
      <c r="AV80" s="2"/>
      <c r="AW80" s="2"/>
      <c r="AX80" s="2"/>
      <c r="AY80" s="2"/>
      <c r="AZ80" s="2"/>
      <c r="BA80" s="2"/>
      <c r="BB80" s="2"/>
      <c r="BC80" s="2"/>
      <c r="BD80" s="2"/>
      <c r="BE80" s="2"/>
      <c r="BF80" s="2"/>
      <c r="BG80" s="2"/>
    </row>
    <row r="81" spans="2:59" x14ac:dyDescent="0.25">
      <c r="B81" s="2"/>
      <c r="C81" s="2"/>
      <c r="D81" s="36"/>
      <c r="E81" s="36"/>
      <c r="F81" s="36"/>
      <c r="G81" s="36"/>
      <c r="H81" s="36"/>
      <c r="I81" s="36"/>
      <c r="J81" s="36"/>
      <c r="K81" s="36"/>
      <c r="L81" s="36"/>
      <c r="M81" s="36"/>
      <c r="N81" s="36"/>
      <c r="O81" s="36"/>
      <c r="P81" s="36"/>
      <c r="Q81" s="36"/>
      <c r="R81" s="36"/>
      <c r="S81" s="36"/>
      <c r="T81" s="36"/>
      <c r="U81" s="36"/>
      <c r="V81" s="36"/>
      <c r="W81" s="36"/>
      <c r="X81" s="36"/>
      <c r="Y81" s="36"/>
      <c r="Z81" s="36"/>
      <c r="AA81" s="36"/>
      <c r="AB81" s="36"/>
      <c r="AC81" s="36"/>
      <c r="AD81" s="36"/>
      <c r="AE81" s="36"/>
      <c r="AF81" s="36"/>
      <c r="AG81" s="36"/>
      <c r="AH81" s="36"/>
      <c r="AI81" s="2"/>
      <c r="AJ81" s="2"/>
      <c r="AK81" s="2"/>
      <c r="AL81" s="2"/>
      <c r="AM81" s="2"/>
      <c r="AN81" s="2"/>
      <c r="AO81" s="2"/>
      <c r="AP81" s="2"/>
      <c r="AQ81" s="2"/>
      <c r="AR81" s="2"/>
      <c r="AS81" s="2"/>
      <c r="AT81" s="2"/>
      <c r="AU81" s="2"/>
      <c r="AV81" s="2"/>
      <c r="AW81" s="2"/>
      <c r="AX81" s="2"/>
      <c r="AY81" s="2"/>
      <c r="AZ81" s="2"/>
      <c r="BA81" s="2"/>
      <c r="BB81" s="2"/>
      <c r="BC81" s="2"/>
      <c r="BD81" s="2"/>
      <c r="BE81" s="2"/>
      <c r="BF81" s="2"/>
      <c r="BG81" s="2"/>
    </row>
    <row r="82" spans="2:59" x14ac:dyDescent="0.25">
      <c r="B82" s="2"/>
      <c r="C82" s="2"/>
      <c r="D82" s="36"/>
      <c r="E82" s="36"/>
      <c r="F82" s="36"/>
      <c r="G82" s="36"/>
      <c r="H82" s="36"/>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c r="AH82" s="36"/>
      <c r="AI82" s="2"/>
      <c r="AJ82" s="2"/>
      <c r="AK82" s="2"/>
      <c r="AL82" s="2"/>
      <c r="AM82" s="2"/>
      <c r="AN82" s="2"/>
      <c r="AO82" s="2"/>
      <c r="AP82" s="2"/>
      <c r="AQ82" s="2"/>
      <c r="AR82" s="2"/>
      <c r="AS82" s="2"/>
      <c r="AT82" s="2"/>
      <c r="AU82" s="2"/>
      <c r="AV82" s="2"/>
      <c r="AW82" s="2"/>
      <c r="AX82" s="2"/>
      <c r="AY82" s="2"/>
      <c r="AZ82" s="2"/>
      <c r="BA82" s="2"/>
      <c r="BB82" s="2"/>
      <c r="BC82" s="2"/>
      <c r="BD82" s="2"/>
      <c r="BE82" s="2"/>
      <c r="BF82" s="2"/>
      <c r="BG82" s="2"/>
    </row>
    <row r="83" spans="2:59" x14ac:dyDescent="0.25">
      <c r="B83" s="2"/>
      <c r="C83" s="2"/>
      <c r="D83" s="36"/>
      <c r="E83" s="36"/>
      <c r="F83" s="36"/>
      <c r="G83" s="36"/>
      <c r="H83" s="36"/>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36"/>
      <c r="AH83" s="36"/>
      <c r="AI83" s="2"/>
      <c r="AJ83" s="2"/>
      <c r="AK83" s="2"/>
      <c r="AL83" s="2"/>
      <c r="AM83" s="2"/>
      <c r="AN83" s="2"/>
      <c r="AO83" s="2"/>
      <c r="AP83" s="2"/>
      <c r="AQ83" s="2"/>
      <c r="AR83" s="2"/>
      <c r="AS83" s="2"/>
      <c r="AT83" s="2"/>
      <c r="AU83" s="2"/>
      <c r="AV83" s="2"/>
      <c r="AW83" s="2"/>
      <c r="AX83" s="2"/>
      <c r="AY83" s="2"/>
      <c r="AZ83" s="2"/>
      <c r="BA83" s="2"/>
      <c r="BB83" s="2"/>
      <c r="BC83" s="2"/>
      <c r="BD83" s="2"/>
      <c r="BE83" s="2"/>
      <c r="BF83" s="2"/>
      <c r="BG83" s="2"/>
    </row>
    <row r="84" spans="2:59" x14ac:dyDescent="0.25">
      <c r="B84" s="2"/>
      <c r="C84" s="2"/>
      <c r="D84" s="36"/>
      <c r="E84" s="36"/>
      <c r="F84" s="36"/>
      <c r="G84" s="36"/>
      <c r="H84" s="36"/>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36"/>
      <c r="AH84" s="36"/>
      <c r="AI84" s="2"/>
      <c r="AJ84" s="2"/>
      <c r="AK84" s="2"/>
      <c r="AL84" s="2"/>
      <c r="AM84" s="2"/>
      <c r="AN84" s="2"/>
      <c r="AO84" s="2"/>
      <c r="AP84" s="2"/>
      <c r="AQ84" s="2"/>
      <c r="AR84" s="2"/>
      <c r="AS84" s="2"/>
      <c r="AT84" s="2"/>
      <c r="AU84" s="2"/>
      <c r="AV84" s="2"/>
      <c r="AW84" s="2"/>
      <c r="AX84" s="2"/>
      <c r="AY84" s="2"/>
      <c r="AZ84" s="2"/>
      <c r="BA84" s="2"/>
      <c r="BB84" s="2"/>
      <c r="BC84" s="2"/>
      <c r="BD84" s="2"/>
      <c r="BE84" s="2"/>
      <c r="BF84" s="2"/>
      <c r="BG84" s="2"/>
    </row>
    <row r="85" spans="2:59" x14ac:dyDescent="0.25">
      <c r="B85" s="2"/>
      <c r="C85" s="2"/>
      <c r="D85" s="36"/>
      <c r="E85" s="36"/>
      <c r="F85" s="36"/>
      <c r="G85" s="36"/>
      <c r="H85" s="36"/>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2"/>
      <c r="AJ85" s="2"/>
      <c r="AK85" s="2"/>
      <c r="AL85" s="2"/>
      <c r="AM85" s="2"/>
      <c r="AN85" s="2"/>
      <c r="AO85" s="2"/>
      <c r="AP85" s="2"/>
      <c r="AQ85" s="2"/>
      <c r="AR85" s="2"/>
      <c r="AS85" s="2"/>
      <c r="AT85" s="2"/>
      <c r="AU85" s="2"/>
      <c r="AV85" s="2"/>
      <c r="AW85" s="2"/>
      <c r="AX85" s="2"/>
      <c r="AY85" s="2"/>
      <c r="AZ85" s="2"/>
      <c r="BA85" s="2"/>
      <c r="BB85" s="2"/>
      <c r="BC85" s="2"/>
      <c r="BD85" s="2"/>
      <c r="BE85" s="2"/>
      <c r="BF85" s="2"/>
      <c r="BG85" s="2"/>
    </row>
    <row r="86" spans="2:59" x14ac:dyDescent="0.25">
      <c r="B86" s="2"/>
      <c r="C86" s="2"/>
      <c r="D86" s="36"/>
      <c r="E86" s="36"/>
      <c r="F86" s="36"/>
      <c r="G86" s="36"/>
      <c r="H86" s="36"/>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2"/>
      <c r="AJ86" s="2"/>
      <c r="AK86" s="2"/>
      <c r="AL86" s="2"/>
      <c r="AM86" s="2"/>
      <c r="AN86" s="2"/>
      <c r="AO86" s="2"/>
      <c r="AP86" s="2"/>
      <c r="AQ86" s="2"/>
      <c r="AR86" s="2"/>
      <c r="AS86" s="2"/>
      <c r="AT86" s="2"/>
      <c r="AU86" s="2"/>
      <c r="AV86" s="2"/>
      <c r="AW86" s="2"/>
      <c r="AX86" s="2"/>
      <c r="AY86" s="2"/>
      <c r="AZ86" s="2"/>
      <c r="BA86" s="2"/>
      <c r="BB86" s="2"/>
      <c r="BC86" s="2"/>
      <c r="BD86" s="2"/>
      <c r="BE86" s="2"/>
      <c r="BF86" s="2"/>
      <c r="BG86" s="2"/>
    </row>
    <row r="87" spans="2:59" x14ac:dyDescent="0.25">
      <c r="B87" s="2"/>
      <c r="C87" s="2"/>
      <c r="D87" s="36"/>
      <c r="E87" s="36"/>
      <c r="F87" s="36"/>
      <c r="G87" s="36"/>
      <c r="H87" s="36"/>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2"/>
      <c r="AJ87" s="2"/>
      <c r="AK87" s="2"/>
      <c r="AL87" s="2"/>
      <c r="AM87" s="2"/>
      <c r="AN87" s="2"/>
      <c r="AO87" s="2"/>
      <c r="AP87" s="2"/>
      <c r="AQ87" s="2"/>
      <c r="AR87" s="2"/>
      <c r="AS87" s="2"/>
      <c r="AT87" s="2"/>
      <c r="AU87" s="2"/>
      <c r="AV87" s="2"/>
      <c r="AW87" s="2"/>
      <c r="AX87" s="2"/>
      <c r="AY87" s="2"/>
      <c r="AZ87" s="2"/>
      <c r="BA87" s="2"/>
      <c r="BB87" s="2"/>
      <c r="BC87" s="2"/>
      <c r="BD87" s="2"/>
      <c r="BE87" s="2"/>
      <c r="BF87" s="2"/>
      <c r="BG87" s="2"/>
    </row>
    <row r="88" spans="2:59" x14ac:dyDescent="0.25">
      <c r="B88" s="2"/>
      <c r="C88" s="2"/>
      <c r="D88" s="36"/>
      <c r="E88" s="36"/>
      <c r="F88" s="36"/>
      <c r="G88" s="36"/>
      <c r="H88" s="36"/>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2"/>
      <c r="AJ88" s="2"/>
      <c r="AK88" s="2"/>
      <c r="AL88" s="2"/>
      <c r="AM88" s="2"/>
      <c r="AN88" s="2"/>
      <c r="AO88" s="2"/>
      <c r="AP88" s="2"/>
      <c r="AQ88" s="2"/>
      <c r="AR88" s="2"/>
      <c r="AS88" s="2"/>
      <c r="AT88" s="2"/>
      <c r="AU88" s="2"/>
      <c r="AV88" s="2"/>
      <c r="AW88" s="2"/>
      <c r="AX88" s="2"/>
      <c r="AY88" s="2"/>
      <c r="AZ88" s="2"/>
      <c r="BA88" s="2"/>
      <c r="BB88" s="2"/>
      <c r="BC88" s="2"/>
      <c r="BD88" s="2"/>
      <c r="BE88" s="2"/>
      <c r="BF88" s="2"/>
      <c r="BG88" s="2"/>
    </row>
    <row r="89" spans="2:59" x14ac:dyDescent="0.25">
      <c r="B89" s="2"/>
      <c r="C89" s="2"/>
      <c r="D89" s="36"/>
      <c r="E89" s="36"/>
      <c r="F89" s="36"/>
      <c r="G89" s="36"/>
      <c r="H89" s="36"/>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2"/>
      <c r="AJ89" s="2"/>
      <c r="AK89" s="2"/>
      <c r="AL89" s="2"/>
      <c r="AM89" s="2"/>
      <c r="AN89" s="2"/>
      <c r="AO89" s="2"/>
      <c r="AP89" s="2"/>
      <c r="AQ89" s="2"/>
      <c r="AR89" s="2"/>
      <c r="AS89" s="2"/>
      <c r="AT89" s="2"/>
      <c r="AU89" s="2"/>
      <c r="AV89" s="2"/>
      <c r="AW89" s="2"/>
      <c r="AX89" s="2"/>
      <c r="AY89" s="2"/>
      <c r="AZ89" s="2"/>
      <c r="BA89" s="2"/>
      <c r="BB89" s="2"/>
      <c r="BC89" s="2"/>
      <c r="BD89" s="2"/>
      <c r="BE89" s="2"/>
      <c r="BF89" s="2"/>
      <c r="BG89" s="2"/>
    </row>
    <row r="90" spans="2:59" x14ac:dyDescent="0.25">
      <c r="B90" s="2"/>
      <c r="C90" s="2"/>
      <c r="D90" s="36"/>
      <c r="E90" s="36"/>
      <c r="F90" s="36"/>
      <c r="G90" s="36"/>
      <c r="H90" s="36"/>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36"/>
      <c r="AH90" s="36"/>
      <c r="AI90" s="2"/>
      <c r="AJ90" s="2"/>
      <c r="AK90" s="2"/>
      <c r="AL90" s="2"/>
      <c r="AM90" s="2"/>
      <c r="AN90" s="2"/>
      <c r="AO90" s="2"/>
      <c r="AP90" s="2"/>
      <c r="AQ90" s="2"/>
      <c r="AR90" s="2"/>
      <c r="AS90" s="2"/>
      <c r="AT90" s="2"/>
      <c r="AU90" s="2"/>
      <c r="AV90" s="2"/>
      <c r="AW90" s="2"/>
      <c r="AX90" s="2"/>
      <c r="AY90" s="2"/>
      <c r="AZ90" s="2"/>
      <c r="BA90" s="2"/>
      <c r="BB90" s="2"/>
      <c r="BC90" s="2"/>
      <c r="BD90" s="2"/>
      <c r="BE90" s="2"/>
      <c r="BF90" s="2"/>
      <c r="BG90" s="2"/>
    </row>
    <row r="91" spans="2:59" x14ac:dyDescent="0.25">
      <c r="B91" s="2"/>
      <c r="C91" s="2"/>
      <c r="D91" s="36"/>
      <c r="E91" s="36"/>
      <c r="F91" s="36"/>
      <c r="G91" s="36"/>
      <c r="H91" s="36"/>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2"/>
      <c r="AJ91" s="2"/>
      <c r="AK91" s="2"/>
      <c r="AL91" s="2"/>
      <c r="AM91" s="2"/>
      <c r="AN91" s="2"/>
      <c r="AO91" s="2"/>
      <c r="AP91" s="2"/>
      <c r="AQ91" s="2"/>
      <c r="AR91" s="2"/>
      <c r="AS91" s="2"/>
      <c r="AT91" s="2"/>
      <c r="AU91" s="2"/>
      <c r="AV91" s="2"/>
      <c r="AW91" s="2"/>
      <c r="AX91" s="2"/>
      <c r="AY91" s="2"/>
      <c r="AZ91" s="2"/>
      <c r="BA91" s="2"/>
      <c r="BB91" s="2"/>
      <c r="BC91" s="2"/>
      <c r="BD91" s="2"/>
      <c r="BE91" s="2"/>
      <c r="BF91" s="2"/>
      <c r="BG91" s="2"/>
    </row>
    <row r="92" spans="2:59" x14ac:dyDescent="0.25">
      <c r="B92" s="2"/>
      <c r="C92" s="2"/>
      <c r="D92" s="36"/>
      <c r="E92" s="36"/>
      <c r="F92" s="36"/>
      <c r="G92" s="36"/>
      <c r="H92" s="36"/>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2"/>
      <c r="AJ92" s="2"/>
      <c r="AK92" s="2"/>
      <c r="AL92" s="2"/>
      <c r="AM92" s="2"/>
      <c r="AN92" s="2"/>
      <c r="AO92" s="2"/>
      <c r="AP92" s="2"/>
      <c r="AQ92" s="2"/>
      <c r="AR92" s="2"/>
      <c r="AS92" s="2"/>
      <c r="AT92" s="2"/>
      <c r="AU92" s="2"/>
      <c r="AV92" s="2"/>
      <c r="AW92" s="2"/>
      <c r="AX92" s="2"/>
      <c r="AY92" s="2"/>
      <c r="AZ92" s="2"/>
      <c r="BA92" s="2"/>
      <c r="BB92" s="2"/>
      <c r="BC92" s="2"/>
      <c r="BD92" s="2"/>
      <c r="BE92" s="2"/>
      <c r="BF92" s="2"/>
      <c r="BG92" s="2"/>
    </row>
    <row r="93" spans="2:59" x14ac:dyDescent="0.25">
      <c r="B93" s="2"/>
      <c r="C93" s="2"/>
      <c r="D93" s="36"/>
      <c r="E93" s="36"/>
      <c r="F93" s="36"/>
      <c r="G93" s="36"/>
      <c r="H93" s="36"/>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2"/>
      <c r="AJ93" s="2"/>
      <c r="AK93" s="2"/>
      <c r="AL93" s="2"/>
      <c r="AM93" s="2"/>
      <c r="AN93" s="2"/>
      <c r="AO93" s="2"/>
      <c r="AP93" s="2"/>
      <c r="AQ93" s="2"/>
      <c r="AR93" s="2"/>
      <c r="AS93" s="2"/>
      <c r="AT93" s="2"/>
      <c r="AU93" s="2"/>
      <c r="AV93" s="2"/>
      <c r="AW93" s="2"/>
      <c r="AX93" s="2"/>
      <c r="AY93" s="2"/>
      <c r="AZ93" s="2"/>
      <c r="BA93" s="2"/>
      <c r="BB93" s="2"/>
      <c r="BC93" s="2"/>
      <c r="BD93" s="2"/>
      <c r="BE93" s="2"/>
      <c r="BF93" s="2"/>
      <c r="BG93" s="2"/>
    </row>
    <row r="94" spans="2:59" x14ac:dyDescent="0.25">
      <c r="B94" s="2"/>
      <c r="C94" s="2"/>
      <c r="D94" s="36"/>
      <c r="E94" s="36"/>
      <c r="F94" s="36"/>
      <c r="G94" s="36"/>
      <c r="H94" s="36"/>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2"/>
      <c r="AJ94" s="2"/>
      <c r="AK94" s="2"/>
      <c r="AL94" s="2"/>
      <c r="AM94" s="2"/>
      <c r="AN94" s="2"/>
      <c r="AO94" s="2"/>
      <c r="AP94" s="2"/>
      <c r="AQ94" s="2"/>
      <c r="AR94" s="2"/>
      <c r="AS94" s="2"/>
      <c r="AT94" s="2"/>
      <c r="AU94" s="2"/>
      <c r="AV94" s="2"/>
      <c r="AW94" s="2"/>
      <c r="AX94" s="2"/>
      <c r="AY94" s="2"/>
      <c r="AZ94" s="2"/>
      <c r="BA94" s="2"/>
      <c r="BB94" s="2"/>
      <c r="BC94" s="2"/>
      <c r="BD94" s="2"/>
      <c r="BE94" s="2"/>
      <c r="BF94" s="2"/>
      <c r="BG94" s="2"/>
    </row>
    <row r="95" spans="2:59" x14ac:dyDescent="0.25">
      <c r="B95" s="2"/>
      <c r="C95" s="2"/>
      <c r="D95" s="36"/>
      <c r="E95" s="36"/>
      <c r="F95" s="36"/>
      <c r="G95" s="36"/>
      <c r="H95" s="36"/>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2"/>
      <c r="AJ95" s="2"/>
      <c r="AK95" s="2"/>
      <c r="AL95" s="2"/>
      <c r="AM95" s="2"/>
      <c r="AN95" s="2"/>
      <c r="AO95" s="2"/>
      <c r="AP95" s="2"/>
      <c r="AQ95" s="2"/>
      <c r="AR95" s="2"/>
      <c r="AS95" s="2"/>
      <c r="AT95" s="2"/>
      <c r="AU95" s="2"/>
      <c r="AV95" s="2"/>
      <c r="AW95" s="2"/>
      <c r="AX95" s="2"/>
      <c r="AY95" s="2"/>
      <c r="AZ95" s="2"/>
      <c r="BA95" s="2"/>
      <c r="BB95" s="2"/>
      <c r="BC95" s="2"/>
      <c r="BD95" s="2"/>
      <c r="BE95" s="2"/>
      <c r="BF95" s="2"/>
      <c r="BG95" s="2"/>
    </row>
    <row r="96" spans="2:59" x14ac:dyDescent="0.25">
      <c r="B96" s="2"/>
      <c r="C96" s="2"/>
      <c r="D96" s="36"/>
      <c r="E96" s="36"/>
      <c r="F96" s="36"/>
      <c r="G96" s="36"/>
      <c r="H96" s="36"/>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2"/>
      <c r="AJ96" s="2"/>
      <c r="AK96" s="2"/>
      <c r="AL96" s="2"/>
      <c r="AM96" s="2"/>
      <c r="AN96" s="2"/>
      <c r="AO96" s="2"/>
      <c r="AP96" s="2"/>
      <c r="AQ96" s="2"/>
      <c r="AR96" s="2"/>
      <c r="AS96" s="2"/>
      <c r="AT96" s="2"/>
      <c r="AU96" s="2"/>
      <c r="AV96" s="2"/>
      <c r="AW96" s="2"/>
      <c r="AX96" s="2"/>
      <c r="AY96" s="2"/>
      <c r="AZ96" s="2"/>
      <c r="BA96" s="2"/>
      <c r="BB96" s="2"/>
      <c r="BC96" s="2"/>
      <c r="BD96" s="2"/>
      <c r="BE96" s="2"/>
      <c r="BF96" s="2"/>
      <c r="BG96" s="2"/>
    </row>
    <row r="97" spans="2:59" x14ac:dyDescent="0.25">
      <c r="B97" s="2"/>
      <c r="C97" s="2"/>
      <c r="D97" s="36"/>
      <c r="E97" s="36"/>
      <c r="F97" s="36"/>
      <c r="G97" s="36"/>
      <c r="H97" s="36"/>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2"/>
      <c r="AJ97" s="2"/>
      <c r="AK97" s="2"/>
      <c r="AL97" s="2"/>
      <c r="AM97" s="2"/>
      <c r="AN97" s="2"/>
      <c r="AO97" s="2"/>
      <c r="AP97" s="2"/>
      <c r="AQ97" s="2"/>
      <c r="AR97" s="2"/>
      <c r="AS97" s="2"/>
      <c r="AT97" s="2"/>
      <c r="AU97" s="2"/>
      <c r="AV97" s="2"/>
      <c r="AW97" s="2"/>
      <c r="AX97" s="2"/>
      <c r="AY97" s="2"/>
      <c r="AZ97" s="2"/>
      <c r="BA97" s="2"/>
      <c r="BB97" s="2"/>
      <c r="BC97" s="2"/>
      <c r="BD97" s="2"/>
      <c r="BE97" s="2"/>
      <c r="BF97" s="2"/>
      <c r="BG97" s="2"/>
    </row>
    <row r="98" spans="2:59" x14ac:dyDescent="0.25">
      <c r="B98" s="2"/>
      <c r="C98" s="2"/>
      <c r="D98" s="36"/>
      <c r="E98" s="36"/>
      <c r="F98" s="36"/>
      <c r="G98" s="36"/>
      <c r="H98" s="36"/>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2"/>
      <c r="AJ98" s="2"/>
      <c r="AK98" s="2"/>
      <c r="AL98" s="2"/>
      <c r="AM98" s="2"/>
      <c r="AN98" s="2"/>
      <c r="AO98" s="2"/>
      <c r="AP98" s="2"/>
      <c r="AQ98" s="2"/>
      <c r="AR98" s="2"/>
      <c r="AS98" s="2"/>
      <c r="AT98" s="2"/>
      <c r="AU98" s="2"/>
      <c r="AV98" s="2"/>
      <c r="AW98" s="2"/>
      <c r="AX98" s="2"/>
      <c r="AY98" s="2"/>
      <c r="AZ98" s="2"/>
      <c r="BA98" s="2"/>
      <c r="BB98" s="2"/>
      <c r="BC98" s="2"/>
      <c r="BD98" s="2"/>
      <c r="BE98" s="2"/>
      <c r="BF98" s="2"/>
      <c r="BG98" s="2"/>
    </row>
    <row r="99" spans="2:59" x14ac:dyDescent="0.25">
      <c r="B99" s="2"/>
      <c r="C99" s="2"/>
      <c r="D99" s="36"/>
      <c r="E99" s="36"/>
      <c r="F99" s="36"/>
      <c r="G99" s="36"/>
      <c r="H99" s="36"/>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2"/>
      <c r="AJ99" s="2"/>
      <c r="AK99" s="2"/>
      <c r="AL99" s="2"/>
      <c r="AM99" s="2"/>
      <c r="AN99" s="2"/>
      <c r="AO99" s="2"/>
      <c r="AP99" s="2"/>
      <c r="AQ99" s="2"/>
      <c r="AR99" s="2"/>
      <c r="AS99" s="2"/>
      <c r="AT99" s="2"/>
      <c r="AU99" s="2"/>
      <c r="AV99" s="2"/>
      <c r="AW99" s="2"/>
      <c r="AX99" s="2"/>
      <c r="AY99" s="2"/>
      <c r="AZ99" s="2"/>
      <c r="BA99" s="2"/>
      <c r="BB99" s="2"/>
      <c r="BC99" s="2"/>
      <c r="BD99" s="2"/>
      <c r="BE99" s="2"/>
      <c r="BF99" s="2"/>
      <c r="BG99" s="2"/>
    </row>
    <row r="100" spans="2:59" x14ac:dyDescent="0.25">
      <c r="B100" s="2"/>
      <c r="C100" s="2"/>
      <c r="D100" s="36"/>
      <c r="E100" s="36"/>
      <c r="F100" s="36"/>
      <c r="G100" s="36"/>
      <c r="H100" s="36"/>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36"/>
      <c r="AH100" s="36"/>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row>
    <row r="101" spans="2:59" x14ac:dyDescent="0.25">
      <c r="B101" s="2"/>
      <c r="C101" s="2"/>
      <c r="D101" s="36"/>
      <c r="E101" s="36"/>
      <c r="F101" s="36"/>
      <c r="G101" s="36"/>
      <c r="H101" s="36"/>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36"/>
      <c r="AH101" s="36"/>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row>
    <row r="102" spans="2:59" x14ac:dyDescent="0.25">
      <c r="B102" s="2"/>
      <c r="C102" s="2"/>
      <c r="D102" s="36"/>
      <c r="E102" s="36"/>
      <c r="F102" s="36"/>
      <c r="G102" s="36"/>
      <c r="H102" s="36"/>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c r="AF102" s="36"/>
      <c r="AG102" s="36"/>
      <c r="AH102" s="36"/>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row>
    <row r="103" spans="2:59" x14ac:dyDescent="0.25">
      <c r="B103" s="2"/>
      <c r="C103" s="2"/>
      <c r="D103" s="36"/>
      <c r="E103" s="36"/>
      <c r="F103" s="36"/>
      <c r="G103" s="36"/>
      <c r="H103" s="36"/>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row>
    <row r="104" spans="2:59" x14ac:dyDescent="0.25">
      <c r="B104" s="2"/>
      <c r="C104" s="2"/>
      <c r="D104" s="36"/>
      <c r="E104" s="36"/>
      <c r="F104" s="36"/>
      <c r="G104" s="36"/>
      <c r="H104" s="36"/>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c r="AF104" s="36"/>
      <c r="AG104" s="36"/>
      <c r="AH104" s="36"/>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row>
    <row r="105" spans="2:59" x14ac:dyDescent="0.25">
      <c r="B105" s="2"/>
      <c r="C105" s="2"/>
      <c r="D105" s="36"/>
      <c r="E105" s="36"/>
      <c r="F105" s="36"/>
      <c r="G105" s="36"/>
      <c r="H105" s="36"/>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c r="AF105" s="36"/>
      <c r="AG105" s="36"/>
      <c r="AH105" s="36"/>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row>
    <row r="106" spans="2:59" x14ac:dyDescent="0.25">
      <c r="B106" s="2"/>
      <c r="C106" s="2"/>
      <c r="D106" s="36"/>
      <c r="E106" s="36"/>
      <c r="F106" s="36"/>
      <c r="G106" s="36"/>
      <c r="H106" s="36"/>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c r="AF106" s="36"/>
      <c r="AG106" s="36"/>
      <c r="AH106" s="36"/>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row>
    <row r="107" spans="2:59" x14ac:dyDescent="0.25">
      <c r="B107" s="2"/>
      <c r="C107" s="2"/>
      <c r="D107" s="36"/>
      <c r="E107" s="36"/>
      <c r="F107" s="36"/>
      <c r="G107" s="36"/>
      <c r="H107" s="36"/>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c r="AF107" s="36"/>
      <c r="AG107" s="36"/>
      <c r="AH107" s="36"/>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row>
    <row r="108" spans="2:59" x14ac:dyDescent="0.25">
      <c r="B108" s="2"/>
      <c r="C108" s="2"/>
      <c r="D108" s="36"/>
      <c r="E108" s="36"/>
      <c r="F108" s="36"/>
      <c r="G108" s="36"/>
      <c r="H108" s="36"/>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c r="AF108" s="36"/>
      <c r="AG108" s="36"/>
      <c r="AH108" s="36"/>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row>
    <row r="109" spans="2:59" x14ac:dyDescent="0.25">
      <c r="B109" s="2"/>
      <c r="C109" s="2"/>
      <c r="D109" s="36"/>
      <c r="E109" s="36"/>
      <c r="F109" s="36"/>
      <c r="G109" s="36"/>
      <c r="H109" s="36"/>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c r="AF109" s="36"/>
      <c r="AG109" s="36"/>
      <c r="AH109" s="36"/>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row>
    <row r="110" spans="2:59" x14ac:dyDescent="0.25">
      <c r="B110" s="2"/>
      <c r="C110" s="2"/>
      <c r="D110" s="36"/>
      <c r="E110" s="36"/>
      <c r="F110" s="36"/>
      <c r="G110" s="36"/>
      <c r="H110" s="36"/>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c r="AF110" s="36"/>
      <c r="AG110" s="36"/>
      <c r="AH110" s="36"/>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row>
    <row r="111" spans="2:59" x14ac:dyDescent="0.25">
      <c r="B111" s="2"/>
      <c r="C111" s="2"/>
      <c r="D111" s="36"/>
      <c r="E111" s="36"/>
      <c r="F111" s="36"/>
      <c r="G111" s="36"/>
      <c r="H111" s="36"/>
      <c r="I111" s="36"/>
      <c r="J111" s="36"/>
      <c r="K111" s="36"/>
      <c r="L111" s="36"/>
      <c r="M111" s="36"/>
      <c r="N111" s="36"/>
      <c r="O111" s="36"/>
      <c r="P111" s="36"/>
      <c r="Q111" s="36"/>
      <c r="R111" s="36"/>
      <c r="S111" s="36"/>
      <c r="T111" s="36"/>
      <c r="U111" s="36"/>
      <c r="V111" s="36"/>
      <c r="W111" s="36"/>
      <c r="X111" s="36"/>
      <c r="Y111" s="36"/>
      <c r="Z111" s="36"/>
      <c r="AA111" s="36"/>
      <c r="AB111" s="36"/>
      <c r="AC111" s="36"/>
      <c r="AD111" s="36"/>
      <c r="AE111" s="36"/>
      <c r="AF111" s="36"/>
      <c r="AG111" s="36"/>
      <c r="AH111" s="36"/>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row>
    <row r="112" spans="2:59" x14ac:dyDescent="0.25">
      <c r="B112" s="2"/>
      <c r="C112" s="2"/>
      <c r="D112" s="36"/>
      <c r="E112" s="36"/>
      <c r="F112" s="36"/>
      <c r="G112" s="36"/>
      <c r="H112" s="36"/>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c r="AF112" s="36"/>
      <c r="AG112" s="36"/>
      <c r="AH112" s="36"/>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row>
    <row r="113" spans="2:59" x14ac:dyDescent="0.25">
      <c r="B113" s="2"/>
      <c r="C113" s="2"/>
      <c r="D113" s="36"/>
      <c r="E113" s="36"/>
      <c r="F113" s="36"/>
      <c r="G113" s="36"/>
      <c r="H113" s="36"/>
      <c r="I113" s="36"/>
      <c r="J113" s="36"/>
      <c r="K113" s="36"/>
      <c r="L113" s="36"/>
      <c r="M113" s="36"/>
      <c r="N113" s="36"/>
      <c r="O113" s="36"/>
      <c r="P113" s="36"/>
      <c r="Q113" s="36"/>
      <c r="R113" s="36"/>
      <c r="S113" s="36"/>
      <c r="T113" s="36"/>
      <c r="U113" s="36"/>
      <c r="V113" s="36"/>
      <c r="W113" s="36"/>
      <c r="X113" s="36"/>
      <c r="Y113" s="36"/>
      <c r="Z113" s="36"/>
      <c r="AA113" s="36"/>
      <c r="AB113" s="36"/>
      <c r="AC113" s="36"/>
      <c r="AD113" s="36"/>
      <c r="AE113" s="36"/>
      <c r="AF113" s="36"/>
      <c r="AG113" s="36"/>
      <c r="AH113" s="36"/>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row>
    <row r="114" spans="2:59" x14ac:dyDescent="0.25">
      <c r="B114" s="2"/>
      <c r="C114" s="2"/>
      <c r="D114" s="36"/>
      <c r="E114" s="36"/>
      <c r="F114" s="36"/>
      <c r="G114" s="36"/>
      <c r="H114" s="36"/>
      <c r="I114" s="36"/>
      <c r="J114" s="36"/>
      <c r="K114" s="36"/>
      <c r="L114" s="36"/>
      <c r="M114" s="36"/>
      <c r="N114" s="36"/>
      <c r="O114" s="36"/>
      <c r="P114" s="36"/>
      <c r="Q114" s="36"/>
      <c r="R114" s="36"/>
      <c r="S114" s="36"/>
      <c r="T114" s="36"/>
      <c r="U114" s="36"/>
      <c r="V114" s="36"/>
      <c r="W114" s="36"/>
      <c r="X114" s="36"/>
      <c r="Y114" s="36"/>
      <c r="Z114" s="36"/>
      <c r="AA114" s="36"/>
      <c r="AB114" s="36"/>
      <c r="AC114" s="36"/>
      <c r="AD114" s="36"/>
      <c r="AE114" s="36"/>
      <c r="AF114" s="36"/>
      <c r="AG114" s="36"/>
      <c r="AH114" s="36"/>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row>
    <row r="115" spans="2:59" x14ac:dyDescent="0.25">
      <c r="B115" s="2"/>
      <c r="C115" s="2"/>
      <c r="D115" s="36"/>
      <c r="E115" s="36"/>
      <c r="F115" s="36"/>
      <c r="G115" s="36"/>
      <c r="H115" s="36"/>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c r="AF115" s="36"/>
      <c r="AG115" s="36"/>
      <c r="AH115" s="36"/>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row>
    <row r="116" spans="2:59" x14ac:dyDescent="0.25">
      <c r="B116" s="2"/>
      <c r="C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row>
    <row r="117" spans="2:59" x14ac:dyDescent="0.25">
      <c r="B117" s="2"/>
      <c r="C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row>
    <row r="118" spans="2:59" x14ac:dyDescent="0.25">
      <c r="B118" s="2"/>
      <c r="C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row>
    <row r="119" spans="2:59" x14ac:dyDescent="0.25">
      <c r="B119" s="2"/>
      <c r="C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row>
    <row r="120" spans="2:59" x14ac:dyDescent="0.25">
      <c r="B120" s="2"/>
      <c r="C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row>
    <row r="121" spans="2:59" x14ac:dyDescent="0.25">
      <c r="B121" s="2"/>
      <c r="C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row>
    <row r="122" spans="2:59" x14ac:dyDescent="0.25">
      <c r="B122" s="2"/>
      <c r="C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row>
    <row r="123" spans="2:59" x14ac:dyDescent="0.25">
      <c r="B123" s="2"/>
      <c r="C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row>
    <row r="124" spans="2:59" x14ac:dyDescent="0.25">
      <c r="B124" s="2"/>
      <c r="C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row>
    <row r="125" spans="2:59" x14ac:dyDescent="0.25">
      <c r="B125" s="2"/>
      <c r="C125" s="2"/>
    </row>
    <row r="126" spans="2:59" x14ac:dyDescent="0.25">
      <c r="B126" s="2"/>
      <c r="C126" s="2"/>
    </row>
    <row r="127" spans="2:59" x14ac:dyDescent="0.25">
      <c r="B127" s="2"/>
      <c r="C127" s="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92A97-BE15-41C5-BFFE-B8E15C267EEB}">
  <dimension ref="B2:V36"/>
  <sheetViews>
    <sheetView zoomScale="70" zoomScaleNormal="70" workbookViewId="0">
      <selection activeCell="D21" sqref="D21"/>
    </sheetView>
  </sheetViews>
  <sheetFormatPr defaultRowHeight="13.8" x14ac:dyDescent="0.25"/>
  <cols>
    <col min="1" max="1" width="8.8984375" customWidth="1"/>
    <col min="2" max="3" width="35.3984375" bestFit="1" customWidth="1"/>
    <col min="4" max="4" width="8.8984375" customWidth="1"/>
    <col min="5" max="5" width="14.3984375" bestFit="1" customWidth="1"/>
    <col min="6" max="6" width="35.3984375" bestFit="1" customWidth="1"/>
    <col min="7" max="7" width="9" customWidth="1"/>
    <col min="8" max="8" width="14.3984375" bestFit="1" customWidth="1"/>
    <col min="9" max="9" width="35.3984375" bestFit="1" customWidth="1"/>
    <col min="10" max="10" width="11.796875" bestFit="1" customWidth="1"/>
    <col min="11" max="11" width="35" bestFit="1" customWidth="1"/>
    <col min="12" max="12" width="16.796875" bestFit="1" customWidth="1"/>
    <col min="13" max="13" width="14.19921875" bestFit="1" customWidth="1"/>
    <col min="14" max="14" width="12.796875" bestFit="1" customWidth="1"/>
    <col min="15" max="15" width="13.09765625" bestFit="1" customWidth="1"/>
    <col min="16" max="16" width="12.19921875" bestFit="1" customWidth="1"/>
    <col min="17" max="17" width="7.8984375" bestFit="1" customWidth="1"/>
    <col min="18" max="18" width="12.5" bestFit="1" customWidth="1"/>
    <col min="19" max="19" width="9.796875" bestFit="1" customWidth="1"/>
    <col min="20" max="20" width="8.8984375" bestFit="1" customWidth="1"/>
    <col min="21" max="21" width="7.8984375" bestFit="1" customWidth="1"/>
    <col min="22" max="22" width="11.3984375" bestFit="1" customWidth="1"/>
    <col min="23" max="23" width="11.59765625" bestFit="1" customWidth="1"/>
    <col min="24" max="24" width="6.8984375" bestFit="1" customWidth="1"/>
    <col min="25" max="25" width="12.8984375" bestFit="1" customWidth="1"/>
    <col min="26" max="26" width="9.59765625" bestFit="1" customWidth="1"/>
    <col min="27" max="27" width="7.09765625" bestFit="1" customWidth="1"/>
    <col min="28" max="28" width="9" bestFit="1" customWidth="1"/>
    <col min="29" max="29" width="13.59765625" bestFit="1" customWidth="1"/>
    <col min="30" max="30" width="12" bestFit="1" customWidth="1"/>
    <col min="31" max="31" width="11.59765625" bestFit="1" customWidth="1"/>
    <col min="32" max="32" width="12.8984375" bestFit="1" customWidth="1"/>
    <col min="33" max="33" width="9.59765625" bestFit="1" customWidth="1"/>
    <col min="34" max="34" width="7.09765625" bestFit="1" customWidth="1"/>
    <col min="35" max="35" width="7.19921875" bestFit="1" customWidth="1"/>
    <col min="36" max="36" width="9.59765625" bestFit="1" customWidth="1"/>
    <col min="37" max="37" width="13.59765625" bestFit="1" customWidth="1"/>
    <col min="38" max="38" width="11.796875" bestFit="1" customWidth="1"/>
    <col min="39" max="39" width="12" bestFit="1" customWidth="1"/>
    <col min="40" max="40" width="11.59765625" bestFit="1" customWidth="1"/>
    <col min="41" max="41" width="5.3984375" bestFit="1" customWidth="1"/>
    <col min="42" max="42" width="12.8984375" bestFit="1" customWidth="1"/>
    <col min="43" max="43" width="9.59765625" bestFit="1" customWidth="1"/>
    <col min="44" max="44" width="7.09765625" bestFit="1" customWidth="1"/>
    <col min="45" max="45" width="7.19921875" bestFit="1" customWidth="1"/>
    <col min="46" max="46" width="9.09765625" bestFit="1" customWidth="1"/>
    <col min="47" max="47" width="6.8984375" bestFit="1" customWidth="1"/>
    <col min="48" max="48" width="13.59765625" bestFit="1" customWidth="1"/>
    <col min="49" max="49" width="11.796875" bestFit="1" customWidth="1"/>
    <col min="50" max="50" width="12" bestFit="1" customWidth="1"/>
    <col min="51" max="51" width="11.59765625" bestFit="1" customWidth="1"/>
    <col min="52" max="52" width="6.8984375" bestFit="1" customWidth="1"/>
    <col min="53" max="53" width="12.8984375" bestFit="1" customWidth="1"/>
    <col min="54" max="54" width="9.59765625" bestFit="1" customWidth="1"/>
    <col min="55" max="55" width="7.09765625" bestFit="1" customWidth="1"/>
    <col min="56" max="56" width="7.19921875" bestFit="1" customWidth="1"/>
    <col min="57" max="57" width="9.796875" bestFit="1" customWidth="1"/>
    <col min="58" max="58" width="6.8984375" bestFit="1" customWidth="1"/>
    <col min="59" max="59" width="13.59765625" bestFit="1" customWidth="1"/>
    <col min="60" max="60" width="11.796875" bestFit="1" customWidth="1"/>
    <col min="61" max="61" width="12" bestFit="1" customWidth="1"/>
    <col min="62" max="62" width="11.59765625" bestFit="1" customWidth="1"/>
    <col min="63" max="63" width="7.09765625" bestFit="1" customWidth="1"/>
    <col min="64" max="64" width="8.8984375" bestFit="1" customWidth="1"/>
    <col min="65" max="65" width="6.8984375" bestFit="1" customWidth="1"/>
    <col min="66" max="66" width="13.59765625" bestFit="1" customWidth="1"/>
    <col min="67" max="67" width="11.796875" bestFit="1" customWidth="1"/>
    <col min="68" max="68" width="12" bestFit="1" customWidth="1"/>
    <col min="69" max="69" width="11.59765625" bestFit="1" customWidth="1"/>
    <col min="70" max="70" width="6.8984375" bestFit="1" customWidth="1"/>
    <col min="71" max="71" width="12.8984375" bestFit="1" customWidth="1"/>
    <col min="72" max="72" width="9.59765625" bestFit="1" customWidth="1"/>
    <col min="73" max="73" width="7.09765625" bestFit="1" customWidth="1"/>
    <col min="74" max="74" width="7.19921875" bestFit="1" customWidth="1"/>
    <col min="75" max="75" width="8.19921875" bestFit="1" customWidth="1"/>
    <col min="76" max="76" width="6.8984375" bestFit="1" customWidth="1"/>
    <col min="77" max="77" width="13.59765625" bestFit="1" customWidth="1"/>
    <col min="78" max="78" width="11.796875" bestFit="1" customWidth="1"/>
    <col min="79" max="79" width="12" bestFit="1" customWidth="1"/>
    <col min="80" max="80" width="11.59765625" bestFit="1" customWidth="1"/>
    <col min="81" max="81" width="6.8984375" bestFit="1" customWidth="1"/>
    <col min="82" max="82" width="9.59765625" bestFit="1" customWidth="1"/>
    <col min="83" max="83" width="7.09765625" bestFit="1" customWidth="1"/>
    <col min="84" max="84" width="7.19921875" bestFit="1" customWidth="1"/>
    <col min="85" max="85" width="9.3984375" bestFit="1" customWidth="1"/>
    <col min="86" max="86" width="6.8984375" bestFit="1" customWidth="1"/>
    <col min="87" max="87" width="13.59765625" bestFit="1" customWidth="1"/>
    <col min="88" max="88" width="11.796875" bestFit="1" customWidth="1"/>
    <col min="89" max="89" width="12" bestFit="1" customWidth="1"/>
    <col min="90" max="90" width="11.59765625" bestFit="1" customWidth="1"/>
    <col min="91" max="91" width="5.3984375" bestFit="1" customWidth="1"/>
    <col min="92" max="92" width="12.8984375" bestFit="1" customWidth="1"/>
    <col min="93" max="93" width="9.59765625" bestFit="1" customWidth="1"/>
    <col min="94" max="94" width="7.09765625" bestFit="1" customWidth="1"/>
    <col min="95" max="95" width="9.09765625" bestFit="1" customWidth="1"/>
    <col min="96" max="96" width="6.8984375" bestFit="1" customWidth="1"/>
    <col min="97" max="97" width="13.59765625" bestFit="1" customWidth="1"/>
    <col min="98" max="98" width="11.796875" bestFit="1" customWidth="1"/>
    <col min="99" max="99" width="12" bestFit="1" customWidth="1"/>
    <col min="100" max="100" width="11.59765625" bestFit="1" customWidth="1"/>
    <col min="101" max="101" width="6.8984375" bestFit="1" customWidth="1"/>
    <col min="102" max="102" width="12.8984375" bestFit="1" customWidth="1"/>
    <col min="103" max="103" width="9.59765625" bestFit="1" customWidth="1"/>
    <col min="104" max="104" width="7.09765625" bestFit="1" customWidth="1"/>
    <col min="105" max="105" width="7.19921875" bestFit="1" customWidth="1"/>
    <col min="106" max="106" width="9" bestFit="1" customWidth="1"/>
    <col min="107" max="107" width="7.09765625" bestFit="1" customWidth="1"/>
    <col min="108" max="108" width="9.59765625" bestFit="1" customWidth="1"/>
    <col min="109" max="109" width="11.296875" bestFit="1" customWidth="1"/>
    <col min="110" max="113" width="6.8984375" bestFit="1" customWidth="1"/>
    <col min="114" max="114" width="14.69921875" bestFit="1" customWidth="1"/>
    <col min="115" max="115" width="8.796875" bestFit="1" customWidth="1"/>
    <col min="116" max="116" width="6.8984375" bestFit="1" customWidth="1"/>
    <col min="117" max="118" width="7.8984375" bestFit="1" customWidth="1"/>
    <col min="119" max="121" width="6.8984375" bestFit="1" customWidth="1"/>
    <col min="122" max="123" width="7.8984375" bestFit="1" customWidth="1"/>
    <col min="124" max="126" width="6.8984375" bestFit="1" customWidth="1"/>
    <col min="127" max="127" width="12.09765625" bestFit="1" customWidth="1"/>
    <col min="128" max="128" width="8.796875" bestFit="1" customWidth="1"/>
    <col min="129" max="138" width="6.8984375" bestFit="1" customWidth="1"/>
    <col min="139" max="139" width="12.19921875" bestFit="1" customWidth="1"/>
    <col min="140" max="140" width="11.296875" bestFit="1" customWidth="1"/>
    <col min="141" max="141" width="9.09765625" bestFit="1" customWidth="1"/>
    <col min="142" max="142" width="13.69921875" bestFit="1" customWidth="1"/>
    <col min="143" max="143" width="13.8984375" bestFit="1" customWidth="1"/>
    <col min="144" max="144" width="11.296875" bestFit="1" customWidth="1"/>
    <col min="145" max="145" width="16.09765625" bestFit="1" customWidth="1"/>
    <col min="146" max="146" width="12.796875" bestFit="1" customWidth="1"/>
    <col min="147" max="147" width="16.09765625" bestFit="1" customWidth="1"/>
    <col min="148" max="148" width="12.796875" bestFit="1" customWidth="1"/>
    <col min="149" max="149" width="16.09765625" bestFit="1" customWidth="1"/>
    <col min="150" max="150" width="12.796875" bestFit="1" customWidth="1"/>
    <col min="151" max="151" width="16.09765625" bestFit="1" customWidth="1"/>
    <col min="152" max="152" width="12.796875" bestFit="1" customWidth="1"/>
    <col min="153" max="153" width="16.09765625" bestFit="1" customWidth="1"/>
    <col min="154" max="154" width="12.796875" bestFit="1" customWidth="1"/>
    <col min="155" max="155" width="16.09765625" bestFit="1" customWidth="1"/>
    <col min="156" max="156" width="12.796875" bestFit="1" customWidth="1"/>
    <col min="157" max="157" width="16.09765625" bestFit="1" customWidth="1"/>
    <col min="158" max="158" width="12.796875" bestFit="1" customWidth="1"/>
    <col min="159" max="159" width="16.09765625" bestFit="1" customWidth="1"/>
    <col min="160" max="160" width="12.796875" bestFit="1" customWidth="1"/>
    <col min="161" max="161" width="16.09765625" bestFit="1" customWidth="1"/>
    <col min="162" max="162" width="12.796875" bestFit="1" customWidth="1"/>
    <col min="163" max="163" width="16.09765625" bestFit="1" customWidth="1"/>
    <col min="164" max="164" width="12.796875" bestFit="1" customWidth="1"/>
    <col min="165" max="165" width="16.09765625" bestFit="1" customWidth="1"/>
    <col min="166" max="166" width="12.796875" bestFit="1" customWidth="1"/>
    <col min="167" max="167" width="16.09765625" bestFit="1" customWidth="1"/>
    <col min="168" max="168" width="12.796875" bestFit="1" customWidth="1"/>
    <col min="169" max="169" width="16.09765625" bestFit="1" customWidth="1"/>
    <col min="170" max="170" width="12.796875" bestFit="1" customWidth="1"/>
    <col min="171" max="171" width="16.09765625" bestFit="1" customWidth="1"/>
    <col min="172" max="172" width="12.796875" bestFit="1" customWidth="1"/>
    <col min="173" max="173" width="16.09765625" bestFit="1" customWidth="1"/>
    <col min="174" max="174" width="12.796875" bestFit="1" customWidth="1"/>
    <col min="175" max="175" width="16.09765625" bestFit="1" customWidth="1"/>
    <col min="176" max="176" width="12.796875" bestFit="1" customWidth="1"/>
    <col min="177" max="177" width="16.09765625" bestFit="1" customWidth="1"/>
    <col min="178" max="178" width="12.796875" bestFit="1" customWidth="1"/>
    <col min="179" max="179" width="16.09765625" bestFit="1" customWidth="1"/>
    <col min="180" max="180" width="12.796875" bestFit="1" customWidth="1"/>
    <col min="181" max="181" width="16.09765625" bestFit="1" customWidth="1"/>
    <col min="182" max="182" width="12.796875" bestFit="1" customWidth="1"/>
    <col min="183" max="183" width="16.09765625" bestFit="1" customWidth="1"/>
    <col min="184" max="184" width="12.796875" bestFit="1" customWidth="1"/>
    <col min="185" max="185" width="16.09765625" bestFit="1" customWidth="1"/>
    <col min="186" max="186" width="12.796875" bestFit="1" customWidth="1"/>
    <col min="187" max="187" width="16.09765625" bestFit="1" customWidth="1"/>
    <col min="188" max="188" width="12.796875" bestFit="1" customWidth="1"/>
    <col min="189" max="189" width="16.09765625" bestFit="1" customWidth="1"/>
    <col min="190" max="190" width="12.796875" bestFit="1" customWidth="1"/>
    <col min="191" max="191" width="16.09765625" bestFit="1" customWidth="1"/>
    <col min="192" max="192" width="12.796875" bestFit="1" customWidth="1"/>
    <col min="193" max="193" width="16.09765625" bestFit="1" customWidth="1"/>
    <col min="194" max="194" width="12.796875" bestFit="1" customWidth="1"/>
    <col min="195" max="195" width="16.09765625" bestFit="1" customWidth="1"/>
    <col min="196" max="196" width="12.796875" bestFit="1" customWidth="1"/>
    <col min="197" max="197" width="16.09765625" bestFit="1" customWidth="1"/>
    <col min="198" max="198" width="12.796875" bestFit="1" customWidth="1"/>
    <col min="199" max="199" width="16.09765625" bestFit="1" customWidth="1"/>
    <col min="200" max="200" width="12.796875" bestFit="1" customWidth="1"/>
    <col min="201" max="201" width="16.09765625" bestFit="1" customWidth="1"/>
    <col min="202" max="202" width="12.796875" bestFit="1" customWidth="1"/>
    <col min="203" max="203" width="16.09765625" bestFit="1" customWidth="1"/>
    <col min="204" max="204" width="12.796875" bestFit="1" customWidth="1"/>
    <col min="205" max="205" width="16.09765625" bestFit="1" customWidth="1"/>
    <col min="206" max="206" width="12.796875" bestFit="1" customWidth="1"/>
    <col min="207" max="207" width="16.09765625" bestFit="1" customWidth="1"/>
    <col min="208" max="208" width="12.796875" bestFit="1" customWidth="1"/>
    <col min="209" max="209" width="16.09765625" bestFit="1" customWidth="1"/>
    <col min="210" max="210" width="12.796875" bestFit="1" customWidth="1"/>
    <col min="211" max="211" width="16.09765625" bestFit="1" customWidth="1"/>
    <col min="212" max="212" width="12.796875" bestFit="1" customWidth="1"/>
    <col min="213" max="213" width="16.09765625" bestFit="1" customWidth="1"/>
    <col min="214" max="214" width="12.796875" bestFit="1" customWidth="1"/>
    <col min="215" max="215" width="16.09765625" bestFit="1" customWidth="1"/>
    <col min="216" max="216" width="12.796875" bestFit="1" customWidth="1"/>
    <col min="217" max="217" width="16.09765625" bestFit="1" customWidth="1"/>
    <col min="218" max="218" width="12.796875" bestFit="1" customWidth="1"/>
    <col min="219" max="219" width="16.09765625" bestFit="1" customWidth="1"/>
    <col min="220" max="220" width="12.796875" bestFit="1" customWidth="1"/>
    <col min="221" max="221" width="16.09765625" bestFit="1" customWidth="1"/>
    <col min="222" max="222" width="12.796875" bestFit="1" customWidth="1"/>
    <col min="223" max="223" width="16.09765625" bestFit="1" customWidth="1"/>
    <col min="224" max="224" width="12.796875" bestFit="1" customWidth="1"/>
    <col min="225" max="225" width="16.09765625" bestFit="1" customWidth="1"/>
    <col min="226" max="226" width="12.796875" bestFit="1" customWidth="1"/>
    <col min="227" max="227" width="16.09765625" bestFit="1" customWidth="1"/>
    <col min="228" max="228" width="12.796875" bestFit="1" customWidth="1"/>
    <col min="229" max="229" width="16.09765625" bestFit="1" customWidth="1"/>
    <col min="230" max="230" width="12.796875" bestFit="1" customWidth="1"/>
    <col min="231" max="231" width="16.09765625" bestFit="1" customWidth="1"/>
    <col min="232" max="232" width="12.796875" bestFit="1" customWidth="1"/>
    <col min="233" max="233" width="16.09765625" bestFit="1" customWidth="1"/>
    <col min="234" max="234" width="12.796875" bestFit="1" customWidth="1"/>
    <col min="235" max="235" width="16.09765625" bestFit="1" customWidth="1"/>
    <col min="236" max="236" width="12.796875" bestFit="1" customWidth="1"/>
    <col min="237" max="237" width="16.09765625" bestFit="1" customWidth="1"/>
    <col min="238" max="238" width="12.796875" bestFit="1" customWidth="1"/>
    <col min="239" max="239" width="16.09765625" bestFit="1" customWidth="1"/>
    <col min="240" max="240" width="12.796875" bestFit="1" customWidth="1"/>
    <col min="241" max="241" width="16.09765625" bestFit="1" customWidth="1"/>
    <col min="242" max="242" width="12.796875" bestFit="1" customWidth="1"/>
    <col min="243" max="243" width="16.09765625" bestFit="1" customWidth="1"/>
    <col min="244" max="244" width="12.796875" bestFit="1" customWidth="1"/>
    <col min="245" max="245" width="16.09765625" bestFit="1" customWidth="1"/>
    <col min="246" max="246" width="12.796875" bestFit="1" customWidth="1"/>
    <col min="247" max="247" width="16.09765625" bestFit="1" customWidth="1"/>
    <col min="248" max="248" width="12.796875" bestFit="1" customWidth="1"/>
    <col min="249" max="249" width="16.09765625" bestFit="1" customWidth="1"/>
    <col min="250" max="250" width="12.796875" bestFit="1" customWidth="1"/>
    <col min="251" max="251" width="16.09765625" bestFit="1" customWidth="1"/>
    <col min="252" max="252" width="12.796875" bestFit="1" customWidth="1"/>
    <col min="253" max="253" width="16.09765625" bestFit="1" customWidth="1"/>
    <col min="254" max="254" width="12.796875" bestFit="1" customWidth="1"/>
    <col min="255" max="255" width="16.09765625" bestFit="1" customWidth="1"/>
    <col min="256" max="256" width="12.796875" bestFit="1" customWidth="1"/>
    <col min="257" max="257" width="16.09765625" bestFit="1" customWidth="1"/>
    <col min="258" max="258" width="12.796875" bestFit="1" customWidth="1"/>
    <col min="259" max="259" width="16.09765625" bestFit="1" customWidth="1"/>
    <col min="260" max="260" width="12.796875" bestFit="1" customWidth="1"/>
    <col min="261" max="261" width="16.09765625" bestFit="1" customWidth="1"/>
    <col min="262" max="262" width="12.796875" bestFit="1" customWidth="1"/>
    <col min="263" max="263" width="16.09765625" bestFit="1" customWidth="1"/>
    <col min="264" max="264" width="12.796875" bestFit="1" customWidth="1"/>
    <col min="265" max="265" width="16.09765625" bestFit="1" customWidth="1"/>
    <col min="266" max="266" width="12.796875" bestFit="1" customWidth="1"/>
    <col min="267" max="267" width="16.09765625" bestFit="1" customWidth="1"/>
    <col min="268" max="268" width="12.796875" bestFit="1" customWidth="1"/>
    <col min="269" max="269" width="16.09765625" bestFit="1" customWidth="1"/>
    <col min="270" max="270" width="12.796875" bestFit="1" customWidth="1"/>
    <col min="271" max="271" width="16.09765625" bestFit="1" customWidth="1"/>
    <col min="272" max="272" width="12.796875" bestFit="1" customWidth="1"/>
    <col min="273" max="273" width="16.09765625" bestFit="1" customWidth="1"/>
    <col min="274" max="274" width="12.796875" bestFit="1" customWidth="1"/>
    <col min="275" max="275" width="16.09765625" bestFit="1" customWidth="1"/>
    <col min="276" max="276" width="12.796875" bestFit="1" customWidth="1"/>
    <col min="277" max="277" width="16.09765625" bestFit="1" customWidth="1"/>
    <col min="278" max="278" width="12.796875" bestFit="1" customWidth="1"/>
    <col min="279" max="279" width="16.09765625" bestFit="1" customWidth="1"/>
    <col min="280" max="280" width="12.796875" bestFit="1" customWidth="1"/>
    <col min="281" max="281" width="16.09765625" bestFit="1" customWidth="1"/>
    <col min="282" max="282" width="12.796875" bestFit="1" customWidth="1"/>
    <col min="283" max="283" width="16.09765625" bestFit="1" customWidth="1"/>
    <col min="284" max="284" width="12.796875" bestFit="1" customWidth="1"/>
    <col min="285" max="285" width="16.09765625" bestFit="1" customWidth="1"/>
    <col min="286" max="286" width="12.796875" bestFit="1" customWidth="1"/>
    <col min="287" max="287" width="16.09765625" bestFit="1" customWidth="1"/>
    <col min="288" max="288" width="12.796875" bestFit="1" customWidth="1"/>
    <col min="289" max="289" width="16.09765625" bestFit="1" customWidth="1"/>
    <col min="290" max="290" width="12.796875" bestFit="1" customWidth="1"/>
    <col min="291" max="291" width="16.09765625" bestFit="1" customWidth="1"/>
    <col min="292" max="292" width="12.796875" bestFit="1" customWidth="1"/>
    <col min="293" max="293" width="16.09765625" bestFit="1" customWidth="1"/>
    <col min="294" max="294" width="12.796875" bestFit="1" customWidth="1"/>
    <col min="295" max="295" width="16.09765625" bestFit="1" customWidth="1"/>
    <col min="296" max="296" width="12.796875" bestFit="1" customWidth="1"/>
    <col min="297" max="297" width="16.09765625" bestFit="1" customWidth="1"/>
    <col min="298" max="298" width="12.796875" bestFit="1" customWidth="1"/>
    <col min="299" max="299" width="16.09765625" bestFit="1" customWidth="1"/>
    <col min="300" max="300" width="12.796875" bestFit="1" customWidth="1"/>
    <col min="301" max="301" width="16.09765625" bestFit="1" customWidth="1"/>
    <col min="302" max="302" width="12.796875" bestFit="1" customWidth="1"/>
    <col min="303" max="303" width="16.09765625" bestFit="1" customWidth="1"/>
    <col min="304" max="304" width="12.796875" bestFit="1" customWidth="1"/>
    <col min="305" max="305" width="16.09765625" bestFit="1" customWidth="1"/>
    <col min="306" max="306" width="12.796875" bestFit="1" customWidth="1"/>
    <col min="307" max="307" width="16.09765625" bestFit="1" customWidth="1"/>
    <col min="308" max="308" width="12.796875" bestFit="1" customWidth="1"/>
    <col min="309" max="309" width="16.09765625" bestFit="1" customWidth="1"/>
    <col min="310" max="310" width="12.796875" bestFit="1" customWidth="1"/>
    <col min="311" max="311" width="16.09765625" bestFit="1" customWidth="1"/>
    <col min="312" max="312" width="12.796875" bestFit="1" customWidth="1"/>
    <col min="313" max="313" width="16.09765625" bestFit="1" customWidth="1"/>
    <col min="314" max="314" width="12.796875" bestFit="1" customWidth="1"/>
    <col min="315" max="315" width="16.09765625" bestFit="1" customWidth="1"/>
    <col min="316" max="316" width="12.796875" bestFit="1" customWidth="1"/>
    <col min="317" max="317" width="16.09765625" bestFit="1" customWidth="1"/>
    <col min="318" max="318" width="12.796875" bestFit="1" customWidth="1"/>
    <col min="319" max="319" width="16.09765625" bestFit="1" customWidth="1"/>
    <col min="320" max="320" width="12.796875" bestFit="1" customWidth="1"/>
    <col min="321" max="321" width="16.09765625" bestFit="1" customWidth="1"/>
    <col min="322" max="322" width="12.796875" bestFit="1" customWidth="1"/>
    <col min="323" max="323" width="16.09765625" bestFit="1" customWidth="1"/>
    <col min="324" max="324" width="12.796875" bestFit="1" customWidth="1"/>
    <col min="325" max="325" width="16.09765625" bestFit="1" customWidth="1"/>
    <col min="326" max="326" width="12.796875" bestFit="1" customWidth="1"/>
    <col min="327" max="327" width="16.09765625" bestFit="1" customWidth="1"/>
    <col min="328" max="328" width="12.796875" bestFit="1" customWidth="1"/>
    <col min="329" max="329" width="16.09765625" bestFit="1" customWidth="1"/>
    <col min="330" max="330" width="12.796875" bestFit="1" customWidth="1"/>
    <col min="331" max="331" width="16.09765625" bestFit="1" customWidth="1"/>
    <col min="332" max="332" width="12.796875" bestFit="1" customWidth="1"/>
    <col min="333" max="333" width="16.09765625" bestFit="1" customWidth="1"/>
    <col min="334" max="334" width="12.796875" bestFit="1" customWidth="1"/>
    <col min="335" max="335" width="16.09765625" bestFit="1" customWidth="1"/>
    <col min="336" max="336" width="12.796875" bestFit="1" customWidth="1"/>
    <col min="337" max="337" width="16.09765625" bestFit="1" customWidth="1"/>
    <col min="338" max="338" width="12.796875" bestFit="1" customWidth="1"/>
    <col min="339" max="339" width="16.09765625" bestFit="1" customWidth="1"/>
    <col min="340" max="340" width="12.796875" bestFit="1" customWidth="1"/>
    <col min="341" max="341" width="16.09765625" bestFit="1" customWidth="1"/>
    <col min="342" max="342" width="12.796875" bestFit="1" customWidth="1"/>
    <col min="343" max="343" width="16.09765625" bestFit="1" customWidth="1"/>
    <col min="344" max="344" width="12.796875" bestFit="1" customWidth="1"/>
    <col min="345" max="345" width="16.09765625" bestFit="1" customWidth="1"/>
    <col min="346" max="346" width="12.796875" bestFit="1" customWidth="1"/>
    <col min="347" max="347" width="16.09765625" bestFit="1" customWidth="1"/>
    <col min="348" max="348" width="12.796875" bestFit="1" customWidth="1"/>
    <col min="349" max="349" width="16.09765625" bestFit="1" customWidth="1"/>
    <col min="350" max="350" width="12.796875" bestFit="1" customWidth="1"/>
    <col min="351" max="351" width="16.09765625" bestFit="1" customWidth="1"/>
    <col min="352" max="352" width="12.796875" bestFit="1" customWidth="1"/>
    <col min="353" max="353" width="16.09765625" bestFit="1" customWidth="1"/>
    <col min="354" max="354" width="12.796875" bestFit="1" customWidth="1"/>
    <col min="355" max="355" width="16.09765625" bestFit="1" customWidth="1"/>
    <col min="356" max="356" width="12.796875" bestFit="1" customWidth="1"/>
    <col min="357" max="357" width="16.09765625" bestFit="1" customWidth="1"/>
    <col min="358" max="358" width="12.796875" bestFit="1" customWidth="1"/>
    <col min="359" max="359" width="16.09765625" bestFit="1" customWidth="1"/>
    <col min="360" max="360" width="12.796875" bestFit="1" customWidth="1"/>
    <col min="361" max="361" width="16.09765625" bestFit="1" customWidth="1"/>
    <col min="362" max="362" width="12.796875" bestFit="1" customWidth="1"/>
    <col min="363" max="363" width="16.09765625" bestFit="1" customWidth="1"/>
    <col min="364" max="364" width="12.796875" bestFit="1" customWidth="1"/>
    <col min="365" max="365" width="16.09765625" bestFit="1" customWidth="1"/>
    <col min="366" max="366" width="12.796875" bestFit="1" customWidth="1"/>
    <col min="367" max="367" width="16.09765625" bestFit="1" customWidth="1"/>
    <col min="368" max="368" width="12.796875" bestFit="1" customWidth="1"/>
    <col min="369" max="369" width="16.09765625" bestFit="1" customWidth="1"/>
    <col min="370" max="370" width="12.796875" bestFit="1" customWidth="1"/>
    <col min="371" max="371" width="16.09765625" bestFit="1" customWidth="1"/>
    <col min="372" max="372" width="12.796875" bestFit="1" customWidth="1"/>
    <col min="373" max="373" width="16.09765625" bestFit="1" customWidth="1"/>
    <col min="374" max="374" width="12.796875" bestFit="1" customWidth="1"/>
    <col min="375" max="375" width="16.09765625" bestFit="1" customWidth="1"/>
    <col min="376" max="376" width="12.796875" bestFit="1" customWidth="1"/>
    <col min="377" max="377" width="16.09765625" bestFit="1" customWidth="1"/>
    <col min="378" max="378" width="12.796875" bestFit="1" customWidth="1"/>
    <col min="379" max="379" width="16.09765625" bestFit="1" customWidth="1"/>
    <col min="380" max="380" width="12.796875" bestFit="1" customWidth="1"/>
    <col min="381" max="381" width="16.09765625" bestFit="1" customWidth="1"/>
    <col min="382" max="382" width="12.796875" bestFit="1" customWidth="1"/>
    <col min="383" max="383" width="16.09765625" bestFit="1" customWidth="1"/>
    <col min="384" max="384" width="12.796875" bestFit="1" customWidth="1"/>
    <col min="385" max="385" width="16.09765625" bestFit="1" customWidth="1"/>
    <col min="386" max="386" width="12.796875" bestFit="1" customWidth="1"/>
    <col min="387" max="387" width="16.09765625" bestFit="1" customWidth="1"/>
    <col min="388" max="388" width="12.796875" bestFit="1" customWidth="1"/>
    <col min="389" max="389" width="16.09765625" bestFit="1" customWidth="1"/>
    <col min="390" max="390" width="12.796875" bestFit="1" customWidth="1"/>
    <col min="391" max="391" width="16.09765625" bestFit="1" customWidth="1"/>
    <col min="392" max="392" width="12.796875" bestFit="1" customWidth="1"/>
    <col min="393" max="393" width="16.09765625" bestFit="1" customWidth="1"/>
    <col min="394" max="394" width="12.796875" bestFit="1" customWidth="1"/>
    <col min="395" max="395" width="16.09765625" bestFit="1" customWidth="1"/>
    <col min="396" max="396" width="12.796875" bestFit="1" customWidth="1"/>
    <col min="397" max="397" width="16.09765625" bestFit="1" customWidth="1"/>
    <col min="398" max="398" width="12.796875" bestFit="1" customWidth="1"/>
    <col min="399" max="399" width="16.09765625" bestFit="1" customWidth="1"/>
    <col min="400" max="400" width="12.796875" bestFit="1" customWidth="1"/>
    <col min="401" max="401" width="16.09765625" bestFit="1" customWidth="1"/>
    <col min="402" max="402" width="12.796875" bestFit="1" customWidth="1"/>
    <col min="403" max="403" width="16.09765625" bestFit="1" customWidth="1"/>
    <col min="404" max="404" width="12.796875" bestFit="1" customWidth="1"/>
    <col min="405" max="405" width="16.09765625" bestFit="1" customWidth="1"/>
    <col min="406" max="406" width="12.796875" bestFit="1" customWidth="1"/>
    <col min="407" max="407" width="16.09765625" bestFit="1" customWidth="1"/>
    <col min="408" max="408" width="12.796875" bestFit="1" customWidth="1"/>
    <col min="409" max="409" width="16.09765625" bestFit="1" customWidth="1"/>
    <col min="410" max="410" width="12.796875" bestFit="1" customWidth="1"/>
    <col min="411" max="411" width="16.09765625" bestFit="1" customWidth="1"/>
    <col min="412" max="412" width="12.796875" bestFit="1" customWidth="1"/>
    <col min="413" max="413" width="16.09765625" bestFit="1" customWidth="1"/>
    <col min="414" max="414" width="12.796875" bestFit="1" customWidth="1"/>
    <col min="415" max="415" width="16.09765625" bestFit="1" customWidth="1"/>
    <col min="416" max="416" width="12.796875" bestFit="1" customWidth="1"/>
    <col min="417" max="417" width="16.09765625" bestFit="1" customWidth="1"/>
    <col min="418" max="418" width="12.796875" bestFit="1" customWidth="1"/>
    <col min="419" max="419" width="16.09765625" bestFit="1" customWidth="1"/>
    <col min="420" max="420" width="12.796875" bestFit="1" customWidth="1"/>
    <col min="421" max="421" width="16.09765625" bestFit="1" customWidth="1"/>
    <col min="422" max="422" width="12.796875" bestFit="1" customWidth="1"/>
    <col min="423" max="423" width="16.09765625" bestFit="1" customWidth="1"/>
    <col min="424" max="424" width="12.796875" bestFit="1" customWidth="1"/>
    <col min="425" max="425" width="16.09765625" bestFit="1" customWidth="1"/>
    <col min="426" max="426" width="12.796875" bestFit="1" customWidth="1"/>
    <col min="427" max="427" width="16.09765625" bestFit="1" customWidth="1"/>
    <col min="428" max="428" width="12.796875" bestFit="1" customWidth="1"/>
    <col min="429" max="429" width="16.09765625" bestFit="1" customWidth="1"/>
    <col min="430" max="430" width="12.796875" bestFit="1" customWidth="1"/>
    <col min="431" max="431" width="16.09765625" bestFit="1" customWidth="1"/>
    <col min="432" max="432" width="12.796875" bestFit="1" customWidth="1"/>
    <col min="433" max="433" width="16.09765625" bestFit="1" customWidth="1"/>
    <col min="434" max="434" width="12.796875" bestFit="1" customWidth="1"/>
    <col min="435" max="435" width="16.09765625" bestFit="1" customWidth="1"/>
    <col min="436" max="436" width="12.796875" bestFit="1" customWidth="1"/>
    <col min="437" max="437" width="16.09765625" bestFit="1" customWidth="1"/>
    <col min="438" max="438" width="12.796875" bestFit="1" customWidth="1"/>
    <col min="439" max="439" width="16.09765625" bestFit="1" customWidth="1"/>
    <col min="440" max="440" width="12.796875" bestFit="1" customWidth="1"/>
    <col min="441" max="441" width="16.09765625" bestFit="1" customWidth="1"/>
    <col min="442" max="442" width="12.796875" bestFit="1" customWidth="1"/>
    <col min="443" max="443" width="16.09765625" bestFit="1" customWidth="1"/>
    <col min="444" max="444" width="12.796875" bestFit="1" customWidth="1"/>
    <col min="445" max="445" width="16.09765625" bestFit="1" customWidth="1"/>
    <col min="446" max="446" width="12.796875" bestFit="1" customWidth="1"/>
    <col min="447" max="447" width="16.09765625" bestFit="1" customWidth="1"/>
    <col min="448" max="448" width="12.796875" bestFit="1" customWidth="1"/>
    <col min="449" max="449" width="16.09765625" bestFit="1" customWidth="1"/>
    <col min="450" max="450" width="12.796875" bestFit="1" customWidth="1"/>
    <col min="451" max="451" width="16.09765625" bestFit="1" customWidth="1"/>
    <col min="452" max="452" width="12.796875" bestFit="1" customWidth="1"/>
    <col min="453" max="453" width="16.09765625" bestFit="1" customWidth="1"/>
    <col min="454" max="454" width="12.796875" bestFit="1" customWidth="1"/>
    <col min="455" max="455" width="16.09765625" bestFit="1" customWidth="1"/>
    <col min="456" max="456" width="12.796875" bestFit="1" customWidth="1"/>
    <col min="457" max="457" width="16.09765625" bestFit="1" customWidth="1"/>
    <col min="458" max="458" width="12.796875" bestFit="1" customWidth="1"/>
    <col min="459" max="459" width="16.09765625" bestFit="1" customWidth="1"/>
    <col min="460" max="460" width="12.796875" bestFit="1" customWidth="1"/>
    <col min="461" max="461" width="16.09765625" bestFit="1" customWidth="1"/>
    <col min="462" max="462" width="12.796875" bestFit="1" customWidth="1"/>
    <col min="463" max="463" width="16.09765625" bestFit="1" customWidth="1"/>
    <col min="464" max="464" width="12.796875" bestFit="1" customWidth="1"/>
    <col min="465" max="465" width="16.09765625" bestFit="1" customWidth="1"/>
    <col min="466" max="466" width="12.796875" bestFit="1" customWidth="1"/>
    <col min="467" max="467" width="16.09765625" bestFit="1" customWidth="1"/>
    <col min="468" max="468" width="12.796875" bestFit="1" customWidth="1"/>
    <col min="469" max="469" width="16.09765625" bestFit="1" customWidth="1"/>
    <col min="470" max="470" width="12.796875" bestFit="1" customWidth="1"/>
    <col min="471" max="471" width="16.09765625" bestFit="1" customWidth="1"/>
    <col min="472" max="472" width="12.796875" bestFit="1" customWidth="1"/>
    <col min="473" max="473" width="16.09765625" bestFit="1" customWidth="1"/>
    <col min="474" max="474" width="12.796875" bestFit="1" customWidth="1"/>
    <col min="475" max="475" width="16.09765625" bestFit="1" customWidth="1"/>
    <col min="476" max="476" width="12.796875" bestFit="1" customWidth="1"/>
    <col min="477" max="477" width="16.09765625" bestFit="1" customWidth="1"/>
    <col min="478" max="478" width="12.796875" bestFit="1" customWidth="1"/>
    <col min="479" max="479" width="16.09765625" bestFit="1" customWidth="1"/>
    <col min="480" max="480" width="12.796875" bestFit="1" customWidth="1"/>
    <col min="481" max="481" width="16.09765625" bestFit="1" customWidth="1"/>
    <col min="482" max="482" width="12.796875" bestFit="1" customWidth="1"/>
    <col min="483" max="483" width="16.09765625" bestFit="1" customWidth="1"/>
    <col min="484" max="484" width="12.796875" bestFit="1" customWidth="1"/>
    <col min="485" max="485" width="16.09765625" bestFit="1" customWidth="1"/>
    <col min="486" max="486" width="12.796875" bestFit="1" customWidth="1"/>
    <col min="487" max="487" width="16.09765625" bestFit="1" customWidth="1"/>
    <col min="488" max="488" width="12.796875" bestFit="1" customWidth="1"/>
    <col min="489" max="489" width="16.09765625" bestFit="1" customWidth="1"/>
    <col min="490" max="490" width="12.796875" bestFit="1" customWidth="1"/>
    <col min="491" max="491" width="16.09765625" bestFit="1" customWidth="1"/>
    <col min="492" max="492" width="12.796875" bestFit="1" customWidth="1"/>
    <col min="493" max="493" width="16.09765625" bestFit="1" customWidth="1"/>
    <col min="494" max="494" width="12.796875" bestFit="1" customWidth="1"/>
    <col min="495" max="495" width="16.09765625" bestFit="1" customWidth="1"/>
    <col min="496" max="496" width="12.796875" bestFit="1" customWidth="1"/>
    <col min="497" max="497" width="16.09765625" bestFit="1" customWidth="1"/>
    <col min="498" max="498" width="12.796875" bestFit="1" customWidth="1"/>
    <col min="499" max="499" width="16.09765625" bestFit="1" customWidth="1"/>
    <col min="500" max="500" width="12.796875" bestFit="1" customWidth="1"/>
    <col min="501" max="501" width="16.09765625" bestFit="1" customWidth="1"/>
    <col min="502" max="502" width="12.796875" bestFit="1" customWidth="1"/>
    <col min="503" max="503" width="16.09765625" bestFit="1" customWidth="1"/>
    <col min="504" max="504" width="12.796875" bestFit="1" customWidth="1"/>
    <col min="505" max="505" width="16.09765625" bestFit="1" customWidth="1"/>
    <col min="506" max="506" width="12.796875" bestFit="1" customWidth="1"/>
    <col min="507" max="507" width="16.09765625" bestFit="1" customWidth="1"/>
    <col min="508" max="508" width="12.796875" bestFit="1" customWidth="1"/>
    <col min="509" max="509" width="16.09765625" bestFit="1" customWidth="1"/>
    <col min="510" max="510" width="12.796875" bestFit="1" customWidth="1"/>
    <col min="511" max="511" width="16.09765625" bestFit="1" customWidth="1"/>
    <col min="512" max="512" width="12.796875" bestFit="1" customWidth="1"/>
    <col min="513" max="513" width="16.09765625" bestFit="1" customWidth="1"/>
    <col min="514" max="514" width="12.796875" bestFit="1" customWidth="1"/>
    <col min="515" max="515" width="16.09765625" bestFit="1" customWidth="1"/>
    <col min="516" max="516" width="12.796875" bestFit="1" customWidth="1"/>
    <col min="517" max="517" width="16.09765625" bestFit="1" customWidth="1"/>
    <col min="518" max="518" width="12.796875" bestFit="1" customWidth="1"/>
    <col min="519" max="519" width="16.09765625" bestFit="1" customWidth="1"/>
    <col min="520" max="520" width="12.796875" bestFit="1" customWidth="1"/>
    <col min="521" max="521" width="16.09765625" bestFit="1" customWidth="1"/>
    <col min="522" max="522" width="12.796875" bestFit="1" customWidth="1"/>
    <col min="523" max="523" width="16.09765625" bestFit="1" customWidth="1"/>
    <col min="524" max="524" width="12.796875" bestFit="1" customWidth="1"/>
    <col min="525" max="525" width="16.09765625" bestFit="1" customWidth="1"/>
    <col min="526" max="526" width="12.796875" bestFit="1" customWidth="1"/>
    <col min="527" max="527" width="16.09765625" bestFit="1" customWidth="1"/>
    <col min="528" max="528" width="12.796875" bestFit="1" customWidth="1"/>
    <col min="529" max="529" width="16.09765625" bestFit="1" customWidth="1"/>
    <col min="530" max="530" width="12.796875" bestFit="1" customWidth="1"/>
    <col min="531" max="531" width="16.09765625" bestFit="1" customWidth="1"/>
    <col min="532" max="532" width="12.796875" bestFit="1" customWidth="1"/>
    <col min="533" max="533" width="16.09765625" bestFit="1" customWidth="1"/>
    <col min="534" max="534" width="12.796875" bestFit="1" customWidth="1"/>
    <col min="535" max="535" width="16.09765625" bestFit="1" customWidth="1"/>
    <col min="536" max="536" width="12.796875" bestFit="1" customWidth="1"/>
    <col min="537" max="537" width="16.09765625" bestFit="1" customWidth="1"/>
    <col min="538" max="538" width="12.796875" bestFit="1" customWidth="1"/>
    <col min="539" max="539" width="16.09765625" bestFit="1" customWidth="1"/>
    <col min="540" max="540" width="12.796875" bestFit="1" customWidth="1"/>
    <col min="541" max="541" width="16.09765625" bestFit="1" customWidth="1"/>
    <col min="542" max="542" width="12.796875" bestFit="1" customWidth="1"/>
    <col min="543" max="543" width="16.09765625" bestFit="1" customWidth="1"/>
    <col min="544" max="544" width="12.796875" bestFit="1" customWidth="1"/>
    <col min="545" max="545" width="16.09765625" bestFit="1" customWidth="1"/>
    <col min="546" max="546" width="12.796875" bestFit="1" customWidth="1"/>
    <col min="547" max="547" width="16.09765625" bestFit="1" customWidth="1"/>
    <col min="548" max="548" width="12.796875" bestFit="1" customWidth="1"/>
    <col min="549" max="549" width="16.09765625" bestFit="1" customWidth="1"/>
    <col min="550" max="550" width="12.796875" bestFit="1" customWidth="1"/>
    <col min="551" max="551" width="16.09765625" bestFit="1" customWidth="1"/>
    <col min="552" max="552" width="12.796875" bestFit="1" customWidth="1"/>
    <col min="553" max="553" width="16.09765625" bestFit="1" customWidth="1"/>
    <col min="554" max="554" width="12.796875" bestFit="1" customWidth="1"/>
    <col min="555" max="555" width="16.09765625" bestFit="1" customWidth="1"/>
    <col min="556" max="556" width="12.796875" bestFit="1" customWidth="1"/>
    <col min="557" max="557" width="16.09765625" bestFit="1" customWidth="1"/>
    <col min="558" max="558" width="12.796875" bestFit="1" customWidth="1"/>
    <col min="559" max="559" width="16.09765625" bestFit="1" customWidth="1"/>
    <col min="560" max="560" width="12.796875" bestFit="1" customWidth="1"/>
    <col min="561" max="561" width="16.09765625" bestFit="1" customWidth="1"/>
    <col min="562" max="562" width="12.796875" bestFit="1" customWidth="1"/>
    <col min="563" max="563" width="16.09765625" bestFit="1" customWidth="1"/>
    <col min="564" max="564" width="12.796875" bestFit="1" customWidth="1"/>
    <col min="565" max="565" width="16.09765625" bestFit="1" customWidth="1"/>
    <col min="566" max="566" width="12.796875" bestFit="1" customWidth="1"/>
    <col min="567" max="567" width="16.09765625" bestFit="1" customWidth="1"/>
    <col min="568" max="568" width="12.796875" bestFit="1" customWidth="1"/>
    <col min="569" max="569" width="16.09765625" bestFit="1" customWidth="1"/>
    <col min="570" max="570" width="12.796875" bestFit="1" customWidth="1"/>
    <col min="571" max="571" width="16.09765625" bestFit="1" customWidth="1"/>
    <col min="572" max="572" width="12.796875" bestFit="1" customWidth="1"/>
    <col min="573" max="573" width="16.09765625" bestFit="1" customWidth="1"/>
    <col min="574" max="574" width="12.796875" bestFit="1" customWidth="1"/>
    <col min="575" max="575" width="16.09765625" bestFit="1" customWidth="1"/>
    <col min="576" max="576" width="12.796875" bestFit="1" customWidth="1"/>
    <col min="577" max="577" width="16.09765625" bestFit="1" customWidth="1"/>
    <col min="578" max="578" width="12.796875" bestFit="1" customWidth="1"/>
    <col min="579" max="579" width="16.09765625" bestFit="1" customWidth="1"/>
    <col min="580" max="580" width="12.796875" bestFit="1" customWidth="1"/>
    <col min="581" max="581" width="16.09765625" bestFit="1" customWidth="1"/>
    <col min="582" max="582" width="12.796875" bestFit="1" customWidth="1"/>
    <col min="583" max="583" width="16.09765625" bestFit="1" customWidth="1"/>
    <col min="584" max="584" width="12.796875" bestFit="1" customWidth="1"/>
    <col min="585" max="585" width="16.09765625" bestFit="1" customWidth="1"/>
    <col min="586" max="586" width="12.796875" bestFit="1" customWidth="1"/>
    <col min="587" max="587" width="16.09765625" bestFit="1" customWidth="1"/>
    <col min="588" max="588" width="12.796875" bestFit="1" customWidth="1"/>
    <col min="589" max="589" width="16.09765625" bestFit="1" customWidth="1"/>
    <col min="590" max="590" width="12.796875" bestFit="1" customWidth="1"/>
    <col min="591" max="591" width="16.09765625" bestFit="1" customWidth="1"/>
    <col min="592" max="592" width="12.796875" bestFit="1" customWidth="1"/>
    <col min="593" max="593" width="16.09765625" bestFit="1" customWidth="1"/>
    <col min="594" max="594" width="12.796875" bestFit="1" customWidth="1"/>
    <col min="595" max="595" width="16.09765625" bestFit="1" customWidth="1"/>
    <col min="596" max="596" width="12.796875" bestFit="1" customWidth="1"/>
    <col min="597" max="597" width="16.09765625" bestFit="1" customWidth="1"/>
    <col min="598" max="598" width="12.796875" bestFit="1" customWidth="1"/>
    <col min="599" max="599" width="16.09765625" bestFit="1" customWidth="1"/>
    <col min="600" max="600" width="12.796875" bestFit="1" customWidth="1"/>
    <col min="601" max="601" width="16.09765625" bestFit="1" customWidth="1"/>
    <col min="602" max="602" width="12.796875" bestFit="1" customWidth="1"/>
    <col min="603" max="603" width="16.09765625" bestFit="1" customWidth="1"/>
    <col min="604" max="604" width="12.796875" bestFit="1" customWidth="1"/>
    <col min="605" max="605" width="16.09765625" bestFit="1" customWidth="1"/>
    <col min="606" max="606" width="12.796875" bestFit="1" customWidth="1"/>
    <col min="607" max="607" width="16.09765625" bestFit="1" customWidth="1"/>
    <col min="608" max="608" width="12.796875" bestFit="1" customWidth="1"/>
    <col min="609" max="609" width="16.09765625" bestFit="1" customWidth="1"/>
    <col min="610" max="610" width="12.796875" bestFit="1" customWidth="1"/>
    <col min="611" max="611" width="16.09765625" bestFit="1" customWidth="1"/>
    <col min="612" max="612" width="12.796875" bestFit="1" customWidth="1"/>
    <col min="613" max="613" width="16.09765625" bestFit="1" customWidth="1"/>
    <col min="614" max="614" width="12.796875" bestFit="1" customWidth="1"/>
    <col min="615" max="615" width="16.09765625" bestFit="1" customWidth="1"/>
    <col min="616" max="616" width="12.796875" bestFit="1" customWidth="1"/>
    <col min="617" max="617" width="16.09765625" bestFit="1" customWidth="1"/>
    <col min="618" max="618" width="12.796875" bestFit="1" customWidth="1"/>
    <col min="619" max="619" width="16.09765625" bestFit="1" customWidth="1"/>
    <col min="620" max="620" width="12.796875" bestFit="1" customWidth="1"/>
    <col min="621" max="621" width="16.09765625" bestFit="1" customWidth="1"/>
    <col min="622" max="622" width="12.796875" bestFit="1" customWidth="1"/>
    <col min="623" max="623" width="16.09765625" bestFit="1" customWidth="1"/>
    <col min="624" max="624" width="12.796875" bestFit="1" customWidth="1"/>
    <col min="625" max="625" width="16.09765625" bestFit="1" customWidth="1"/>
    <col min="626" max="626" width="12.796875" bestFit="1" customWidth="1"/>
    <col min="627" max="627" width="16.09765625" bestFit="1" customWidth="1"/>
    <col min="628" max="628" width="12.796875" bestFit="1" customWidth="1"/>
    <col min="629" max="629" width="16.09765625" bestFit="1" customWidth="1"/>
    <col min="630" max="630" width="12.796875" bestFit="1" customWidth="1"/>
    <col min="631" max="631" width="16.09765625" bestFit="1" customWidth="1"/>
    <col min="632" max="632" width="12.796875" bestFit="1" customWidth="1"/>
    <col min="633" max="633" width="16.09765625" bestFit="1" customWidth="1"/>
    <col min="634" max="634" width="12.796875" bestFit="1" customWidth="1"/>
    <col min="635" max="635" width="16.09765625" bestFit="1" customWidth="1"/>
    <col min="636" max="636" width="12.796875" bestFit="1" customWidth="1"/>
    <col min="637" max="637" width="16.09765625" bestFit="1" customWidth="1"/>
    <col min="638" max="638" width="12.796875" bestFit="1" customWidth="1"/>
    <col min="639" max="639" width="16.09765625" bestFit="1" customWidth="1"/>
    <col min="640" max="640" width="12.796875" bestFit="1" customWidth="1"/>
    <col min="641" max="641" width="16.09765625" bestFit="1" customWidth="1"/>
    <col min="642" max="642" width="12.796875" bestFit="1" customWidth="1"/>
    <col min="643" max="643" width="16.09765625" bestFit="1" customWidth="1"/>
    <col min="644" max="644" width="12.796875" bestFit="1" customWidth="1"/>
    <col min="645" max="645" width="16.09765625" bestFit="1" customWidth="1"/>
    <col min="646" max="646" width="12.796875" bestFit="1" customWidth="1"/>
    <col min="647" max="647" width="16.09765625" bestFit="1" customWidth="1"/>
    <col min="648" max="648" width="12.796875" bestFit="1" customWidth="1"/>
    <col min="649" max="649" width="16.09765625" bestFit="1" customWidth="1"/>
    <col min="650" max="650" width="12.796875" bestFit="1" customWidth="1"/>
    <col min="651" max="651" width="16.09765625" bestFit="1" customWidth="1"/>
    <col min="652" max="652" width="12.796875" bestFit="1" customWidth="1"/>
    <col min="653" max="653" width="16.09765625" bestFit="1" customWidth="1"/>
    <col min="654" max="654" width="12.796875" bestFit="1" customWidth="1"/>
    <col min="655" max="655" width="16.09765625" bestFit="1" customWidth="1"/>
    <col min="656" max="656" width="12.796875" bestFit="1" customWidth="1"/>
    <col min="657" max="657" width="16.09765625" bestFit="1" customWidth="1"/>
    <col min="658" max="658" width="12.796875" bestFit="1" customWidth="1"/>
    <col min="659" max="659" width="16.09765625" bestFit="1" customWidth="1"/>
    <col min="660" max="660" width="12.796875" bestFit="1" customWidth="1"/>
    <col min="661" max="661" width="16.09765625" bestFit="1" customWidth="1"/>
    <col min="662" max="662" width="12.796875" bestFit="1" customWidth="1"/>
    <col min="663" max="663" width="16.09765625" bestFit="1" customWidth="1"/>
    <col min="664" max="664" width="12.796875" bestFit="1" customWidth="1"/>
    <col min="665" max="665" width="16.09765625" bestFit="1" customWidth="1"/>
    <col min="666" max="666" width="12.796875" bestFit="1" customWidth="1"/>
    <col min="667" max="667" width="16.09765625" bestFit="1" customWidth="1"/>
    <col min="668" max="668" width="12.796875" bestFit="1" customWidth="1"/>
    <col min="669" max="669" width="16.09765625" bestFit="1" customWidth="1"/>
    <col min="670" max="670" width="12.796875" bestFit="1" customWidth="1"/>
    <col min="671" max="671" width="16.09765625" bestFit="1" customWidth="1"/>
    <col min="672" max="672" width="12.796875" bestFit="1" customWidth="1"/>
    <col min="673" max="673" width="16.09765625" bestFit="1" customWidth="1"/>
    <col min="674" max="674" width="12.796875" bestFit="1" customWidth="1"/>
    <col min="675" max="675" width="16.09765625" bestFit="1" customWidth="1"/>
    <col min="676" max="676" width="12.796875" bestFit="1" customWidth="1"/>
    <col min="677" max="677" width="16.09765625" bestFit="1" customWidth="1"/>
    <col min="678" max="678" width="12.796875" bestFit="1" customWidth="1"/>
    <col min="679" max="679" width="16.09765625" bestFit="1" customWidth="1"/>
    <col min="680" max="680" width="12.796875" bestFit="1" customWidth="1"/>
    <col min="681" max="681" width="16.09765625" bestFit="1" customWidth="1"/>
    <col min="682" max="682" width="12.796875" bestFit="1" customWidth="1"/>
    <col min="683" max="683" width="16.09765625" bestFit="1" customWidth="1"/>
    <col min="684" max="684" width="12.796875" bestFit="1" customWidth="1"/>
    <col min="685" max="685" width="16.09765625" bestFit="1" customWidth="1"/>
    <col min="686" max="686" width="12.796875" bestFit="1" customWidth="1"/>
    <col min="687" max="687" width="16.09765625" bestFit="1" customWidth="1"/>
    <col min="688" max="688" width="12.796875" bestFit="1" customWidth="1"/>
    <col min="689" max="689" width="16.09765625" bestFit="1" customWidth="1"/>
    <col min="690" max="690" width="12.796875" bestFit="1" customWidth="1"/>
    <col min="691" max="691" width="16.09765625" bestFit="1" customWidth="1"/>
    <col min="692" max="692" width="12.796875" bestFit="1" customWidth="1"/>
    <col min="693" max="693" width="16.09765625" bestFit="1" customWidth="1"/>
    <col min="694" max="694" width="12.796875" bestFit="1" customWidth="1"/>
    <col min="695" max="695" width="16.09765625" bestFit="1" customWidth="1"/>
    <col min="696" max="696" width="12.796875" bestFit="1" customWidth="1"/>
    <col min="697" max="697" width="16.09765625" bestFit="1" customWidth="1"/>
    <col min="698" max="698" width="12.796875" bestFit="1" customWidth="1"/>
    <col min="699" max="699" width="16.09765625" bestFit="1" customWidth="1"/>
    <col min="700" max="700" width="12.796875" bestFit="1" customWidth="1"/>
    <col min="701" max="701" width="16.09765625" bestFit="1" customWidth="1"/>
    <col min="702" max="702" width="12.796875" bestFit="1" customWidth="1"/>
    <col min="703" max="703" width="16.09765625" bestFit="1" customWidth="1"/>
    <col min="704" max="704" width="12.796875" bestFit="1" customWidth="1"/>
    <col min="705" max="705" width="16.09765625" bestFit="1" customWidth="1"/>
    <col min="706" max="706" width="12.796875" bestFit="1" customWidth="1"/>
    <col min="707" max="707" width="16.09765625" bestFit="1" customWidth="1"/>
    <col min="708" max="708" width="12.796875" bestFit="1" customWidth="1"/>
    <col min="709" max="709" width="16.09765625" bestFit="1" customWidth="1"/>
    <col min="710" max="710" width="12.796875" bestFit="1" customWidth="1"/>
    <col min="711" max="711" width="16.09765625" bestFit="1" customWidth="1"/>
    <col min="712" max="712" width="12.796875" bestFit="1" customWidth="1"/>
    <col min="713" max="713" width="16.09765625" bestFit="1" customWidth="1"/>
    <col min="714" max="714" width="12.796875" bestFit="1" customWidth="1"/>
    <col min="715" max="715" width="16.09765625" bestFit="1" customWidth="1"/>
    <col min="716" max="716" width="12.796875" bestFit="1" customWidth="1"/>
    <col min="717" max="717" width="16.09765625" bestFit="1" customWidth="1"/>
    <col min="718" max="718" width="12.796875" bestFit="1" customWidth="1"/>
    <col min="719" max="719" width="16.09765625" bestFit="1" customWidth="1"/>
    <col min="720" max="720" width="12.796875" bestFit="1" customWidth="1"/>
    <col min="721" max="721" width="16.09765625" bestFit="1" customWidth="1"/>
    <col min="722" max="722" width="12.796875" bestFit="1" customWidth="1"/>
    <col min="723" max="723" width="16.09765625" bestFit="1" customWidth="1"/>
    <col min="724" max="724" width="12.796875" bestFit="1" customWidth="1"/>
    <col min="725" max="725" width="16.09765625" bestFit="1" customWidth="1"/>
    <col min="726" max="726" width="12.796875" bestFit="1" customWidth="1"/>
    <col min="727" max="727" width="16.09765625" bestFit="1" customWidth="1"/>
    <col min="728" max="728" width="12.796875" bestFit="1" customWidth="1"/>
    <col min="729" max="729" width="16.09765625" bestFit="1" customWidth="1"/>
    <col min="730" max="730" width="12.796875" bestFit="1" customWidth="1"/>
    <col min="731" max="731" width="16.09765625" bestFit="1" customWidth="1"/>
    <col min="732" max="732" width="12.796875" bestFit="1" customWidth="1"/>
    <col min="733" max="733" width="16.09765625" bestFit="1" customWidth="1"/>
    <col min="734" max="734" width="12.796875" bestFit="1" customWidth="1"/>
    <col min="735" max="735" width="16.09765625" bestFit="1" customWidth="1"/>
    <col min="736" max="736" width="12.796875" bestFit="1" customWidth="1"/>
    <col min="737" max="737" width="16.09765625" bestFit="1" customWidth="1"/>
    <col min="738" max="738" width="12.796875" bestFit="1" customWidth="1"/>
    <col min="739" max="739" width="16.09765625" bestFit="1" customWidth="1"/>
    <col min="740" max="740" width="12.796875" bestFit="1" customWidth="1"/>
    <col min="741" max="741" width="16.09765625" bestFit="1" customWidth="1"/>
    <col min="742" max="742" width="12.796875" bestFit="1" customWidth="1"/>
    <col min="743" max="743" width="16.09765625" bestFit="1" customWidth="1"/>
    <col min="744" max="744" width="12.796875" bestFit="1" customWidth="1"/>
    <col min="745" max="745" width="16.09765625" bestFit="1" customWidth="1"/>
    <col min="746" max="746" width="12.796875" bestFit="1" customWidth="1"/>
    <col min="747" max="747" width="16.09765625" bestFit="1" customWidth="1"/>
    <col min="748" max="748" width="12.796875" bestFit="1" customWidth="1"/>
    <col min="749" max="749" width="16.09765625" bestFit="1" customWidth="1"/>
    <col min="750" max="750" width="12.796875" bestFit="1" customWidth="1"/>
    <col min="751" max="751" width="16.09765625" bestFit="1" customWidth="1"/>
    <col min="752" max="752" width="12.796875" bestFit="1" customWidth="1"/>
    <col min="753" max="753" width="16.09765625" bestFit="1" customWidth="1"/>
    <col min="754" max="754" width="12.796875" bestFit="1" customWidth="1"/>
    <col min="755" max="755" width="16.09765625" bestFit="1" customWidth="1"/>
    <col min="756" max="756" width="12.796875" bestFit="1" customWidth="1"/>
    <col min="757" max="757" width="16.09765625" bestFit="1" customWidth="1"/>
    <col min="758" max="758" width="12.796875" bestFit="1" customWidth="1"/>
    <col min="759" max="759" width="16.09765625" bestFit="1" customWidth="1"/>
    <col min="760" max="760" width="12.796875" bestFit="1" customWidth="1"/>
    <col min="761" max="761" width="16.09765625" bestFit="1" customWidth="1"/>
    <col min="762" max="762" width="12.796875" bestFit="1" customWidth="1"/>
    <col min="763" max="763" width="16.09765625" bestFit="1" customWidth="1"/>
    <col min="764" max="764" width="12.796875" bestFit="1" customWidth="1"/>
    <col min="765" max="765" width="16.09765625" bestFit="1" customWidth="1"/>
    <col min="766" max="766" width="12.796875" bestFit="1" customWidth="1"/>
    <col min="767" max="767" width="16.09765625" bestFit="1" customWidth="1"/>
    <col min="768" max="768" width="12.796875" bestFit="1" customWidth="1"/>
    <col min="769" max="769" width="16.09765625" bestFit="1" customWidth="1"/>
    <col min="770" max="770" width="12.796875" bestFit="1" customWidth="1"/>
    <col min="771" max="771" width="16.09765625" bestFit="1" customWidth="1"/>
    <col min="772" max="772" width="12.796875" bestFit="1" customWidth="1"/>
    <col min="773" max="773" width="16.09765625" bestFit="1" customWidth="1"/>
    <col min="774" max="774" width="12.796875" bestFit="1" customWidth="1"/>
    <col min="775" max="775" width="16.09765625" bestFit="1" customWidth="1"/>
    <col min="776" max="776" width="12.796875" bestFit="1" customWidth="1"/>
    <col min="777" max="777" width="16.09765625" bestFit="1" customWidth="1"/>
    <col min="778" max="778" width="12.796875" bestFit="1" customWidth="1"/>
    <col min="779" max="779" width="16.09765625" bestFit="1" customWidth="1"/>
    <col min="780" max="780" width="12.796875" bestFit="1" customWidth="1"/>
    <col min="781" max="781" width="16.09765625" bestFit="1" customWidth="1"/>
    <col min="782" max="782" width="12.796875" bestFit="1" customWidth="1"/>
    <col min="783" max="783" width="16.09765625" bestFit="1" customWidth="1"/>
    <col min="784" max="784" width="12.796875" bestFit="1" customWidth="1"/>
    <col min="785" max="785" width="16.09765625" bestFit="1" customWidth="1"/>
    <col min="786" max="786" width="12.796875" bestFit="1" customWidth="1"/>
    <col min="787" max="787" width="16.09765625" bestFit="1" customWidth="1"/>
    <col min="788" max="788" width="12.796875" bestFit="1" customWidth="1"/>
    <col min="789" max="789" width="16.09765625" bestFit="1" customWidth="1"/>
    <col min="790" max="790" width="12.796875" bestFit="1" customWidth="1"/>
    <col min="791" max="791" width="16.09765625" bestFit="1" customWidth="1"/>
    <col min="792" max="792" width="12.796875" bestFit="1" customWidth="1"/>
    <col min="793" max="793" width="16.09765625" bestFit="1" customWidth="1"/>
    <col min="794" max="794" width="12.796875" bestFit="1" customWidth="1"/>
    <col min="795" max="795" width="16.09765625" bestFit="1" customWidth="1"/>
    <col min="796" max="796" width="12.796875" bestFit="1" customWidth="1"/>
    <col min="797" max="797" width="16.09765625" bestFit="1" customWidth="1"/>
    <col min="798" max="798" width="12.796875" bestFit="1" customWidth="1"/>
    <col min="799" max="799" width="16.09765625" bestFit="1" customWidth="1"/>
    <col min="800" max="800" width="12.796875" bestFit="1" customWidth="1"/>
    <col min="801" max="801" width="16.09765625" bestFit="1" customWidth="1"/>
    <col min="802" max="802" width="12.796875" bestFit="1" customWidth="1"/>
    <col min="803" max="803" width="16.09765625" bestFit="1" customWidth="1"/>
    <col min="804" max="804" width="12.796875" bestFit="1" customWidth="1"/>
    <col min="805" max="805" width="16.09765625" bestFit="1" customWidth="1"/>
    <col min="806" max="806" width="12.796875" bestFit="1" customWidth="1"/>
    <col min="807" max="807" width="16.09765625" bestFit="1" customWidth="1"/>
    <col min="808" max="808" width="12.796875" bestFit="1" customWidth="1"/>
    <col min="809" max="809" width="16.09765625" bestFit="1" customWidth="1"/>
    <col min="810" max="810" width="12.796875" bestFit="1" customWidth="1"/>
    <col min="811" max="811" width="16.09765625" bestFit="1" customWidth="1"/>
    <col min="812" max="812" width="12.796875" bestFit="1" customWidth="1"/>
    <col min="813" max="813" width="16.09765625" bestFit="1" customWidth="1"/>
    <col min="814" max="814" width="12.796875" bestFit="1" customWidth="1"/>
    <col min="815" max="815" width="16.09765625" bestFit="1" customWidth="1"/>
    <col min="816" max="816" width="12.796875" bestFit="1" customWidth="1"/>
    <col min="817" max="817" width="16.09765625" bestFit="1" customWidth="1"/>
    <col min="818" max="818" width="12.796875" bestFit="1" customWidth="1"/>
    <col min="819" max="819" width="16.09765625" bestFit="1" customWidth="1"/>
    <col min="820" max="820" width="12.796875" bestFit="1" customWidth="1"/>
    <col min="821" max="821" width="16.09765625" bestFit="1" customWidth="1"/>
    <col min="822" max="822" width="12.796875" bestFit="1" customWidth="1"/>
    <col min="823" max="823" width="16.09765625" bestFit="1" customWidth="1"/>
    <col min="824" max="824" width="12.796875" bestFit="1" customWidth="1"/>
    <col min="825" max="825" width="16.09765625" bestFit="1" customWidth="1"/>
    <col min="826" max="826" width="12.796875" bestFit="1" customWidth="1"/>
    <col min="827" max="827" width="16.09765625" bestFit="1" customWidth="1"/>
    <col min="828" max="828" width="12.796875" bestFit="1" customWidth="1"/>
    <col min="829" max="829" width="16.09765625" bestFit="1" customWidth="1"/>
    <col min="830" max="830" width="12.796875" bestFit="1" customWidth="1"/>
    <col min="831" max="831" width="16.09765625" bestFit="1" customWidth="1"/>
    <col min="832" max="832" width="12.796875" bestFit="1" customWidth="1"/>
    <col min="833" max="833" width="16.09765625" bestFit="1" customWidth="1"/>
    <col min="834" max="834" width="12.796875" bestFit="1" customWidth="1"/>
    <col min="835" max="835" width="16.09765625" bestFit="1" customWidth="1"/>
    <col min="836" max="836" width="12.796875" bestFit="1" customWidth="1"/>
    <col min="837" max="837" width="16.09765625" bestFit="1" customWidth="1"/>
    <col min="838" max="838" width="12.796875" bestFit="1" customWidth="1"/>
    <col min="839" max="839" width="16.09765625" bestFit="1" customWidth="1"/>
    <col min="840" max="840" width="12.796875" bestFit="1" customWidth="1"/>
    <col min="841" max="841" width="16.09765625" bestFit="1" customWidth="1"/>
    <col min="842" max="842" width="12.796875" bestFit="1" customWidth="1"/>
    <col min="843" max="843" width="16.09765625" bestFit="1" customWidth="1"/>
    <col min="844" max="844" width="12.796875" bestFit="1" customWidth="1"/>
    <col min="845" max="845" width="16.09765625" bestFit="1" customWidth="1"/>
    <col min="846" max="846" width="12.796875" bestFit="1" customWidth="1"/>
    <col min="847" max="847" width="16.09765625" bestFit="1" customWidth="1"/>
    <col min="848" max="848" width="12.796875" bestFit="1" customWidth="1"/>
    <col min="849" max="849" width="16.09765625" bestFit="1" customWidth="1"/>
    <col min="850" max="850" width="12.796875" bestFit="1" customWidth="1"/>
    <col min="851" max="851" width="16.09765625" bestFit="1" customWidth="1"/>
    <col min="852" max="852" width="12.796875" bestFit="1" customWidth="1"/>
    <col min="853" max="853" width="16.09765625" bestFit="1" customWidth="1"/>
    <col min="854" max="854" width="12.796875" bestFit="1" customWidth="1"/>
    <col min="855" max="855" width="16.09765625" bestFit="1" customWidth="1"/>
    <col min="856" max="856" width="12.796875" bestFit="1" customWidth="1"/>
    <col min="857" max="857" width="16.09765625" bestFit="1" customWidth="1"/>
    <col min="858" max="858" width="12.796875" bestFit="1" customWidth="1"/>
    <col min="859" max="859" width="16.09765625" bestFit="1" customWidth="1"/>
    <col min="860" max="860" width="12.796875" bestFit="1" customWidth="1"/>
    <col min="861" max="861" width="16.09765625" bestFit="1" customWidth="1"/>
    <col min="862" max="862" width="12.796875" bestFit="1" customWidth="1"/>
    <col min="863" max="863" width="16.09765625" bestFit="1" customWidth="1"/>
    <col min="864" max="864" width="12.796875" bestFit="1" customWidth="1"/>
    <col min="865" max="865" width="16.09765625" bestFit="1" customWidth="1"/>
    <col min="866" max="866" width="12.796875" bestFit="1" customWidth="1"/>
    <col min="867" max="867" width="16.09765625" bestFit="1" customWidth="1"/>
    <col min="868" max="868" width="12.796875" bestFit="1" customWidth="1"/>
    <col min="869" max="869" width="16.09765625" bestFit="1" customWidth="1"/>
    <col min="870" max="870" width="12.796875" bestFit="1" customWidth="1"/>
    <col min="871" max="871" width="16.09765625" bestFit="1" customWidth="1"/>
    <col min="872" max="872" width="12.796875" bestFit="1" customWidth="1"/>
    <col min="873" max="873" width="16.09765625" bestFit="1" customWidth="1"/>
    <col min="874" max="874" width="12.796875" bestFit="1" customWidth="1"/>
    <col min="875" max="875" width="16.09765625" bestFit="1" customWidth="1"/>
    <col min="876" max="876" width="12.796875" bestFit="1" customWidth="1"/>
    <col min="877" max="877" width="16.09765625" bestFit="1" customWidth="1"/>
    <col min="878" max="878" width="12.796875" bestFit="1" customWidth="1"/>
    <col min="879" max="879" width="16.09765625" bestFit="1" customWidth="1"/>
    <col min="880" max="880" width="12.796875" bestFit="1" customWidth="1"/>
    <col min="881" max="881" width="16.09765625" bestFit="1" customWidth="1"/>
    <col min="882" max="882" width="12.796875" bestFit="1" customWidth="1"/>
    <col min="883" max="883" width="16.09765625" bestFit="1" customWidth="1"/>
    <col min="884" max="884" width="12.796875" bestFit="1" customWidth="1"/>
    <col min="885" max="885" width="16.09765625" bestFit="1" customWidth="1"/>
    <col min="886" max="886" width="12.796875" bestFit="1" customWidth="1"/>
    <col min="887" max="887" width="16.09765625" bestFit="1" customWidth="1"/>
    <col min="888" max="888" width="12.796875" bestFit="1" customWidth="1"/>
    <col min="889" max="889" width="16.09765625" bestFit="1" customWidth="1"/>
    <col min="890" max="890" width="12.796875" bestFit="1" customWidth="1"/>
    <col min="891" max="891" width="16.09765625" bestFit="1" customWidth="1"/>
    <col min="892" max="892" width="12.796875" bestFit="1" customWidth="1"/>
    <col min="893" max="893" width="16.09765625" bestFit="1" customWidth="1"/>
    <col min="894" max="894" width="12.796875" bestFit="1" customWidth="1"/>
    <col min="895" max="895" width="16.09765625" bestFit="1" customWidth="1"/>
    <col min="896" max="896" width="12.796875" bestFit="1" customWidth="1"/>
    <col min="897" max="897" width="16.09765625" bestFit="1" customWidth="1"/>
    <col min="898" max="898" width="12.796875" bestFit="1" customWidth="1"/>
    <col min="899" max="899" width="16.09765625" bestFit="1" customWidth="1"/>
    <col min="900" max="900" width="12.796875" bestFit="1" customWidth="1"/>
    <col min="901" max="901" width="16.09765625" bestFit="1" customWidth="1"/>
    <col min="902" max="902" width="12.796875" bestFit="1" customWidth="1"/>
    <col min="903" max="903" width="16.09765625" bestFit="1" customWidth="1"/>
    <col min="904" max="904" width="12.796875" bestFit="1" customWidth="1"/>
    <col min="905" max="905" width="16.09765625" bestFit="1" customWidth="1"/>
    <col min="906" max="906" width="12.796875" bestFit="1" customWidth="1"/>
    <col min="907" max="907" width="16.09765625" bestFit="1" customWidth="1"/>
    <col min="908" max="908" width="12.796875" bestFit="1" customWidth="1"/>
    <col min="909" max="909" width="16.09765625" bestFit="1" customWidth="1"/>
    <col min="910" max="910" width="12.796875" bestFit="1" customWidth="1"/>
    <col min="911" max="911" width="16.09765625" bestFit="1" customWidth="1"/>
    <col min="912" max="912" width="12.796875" bestFit="1" customWidth="1"/>
    <col min="913" max="913" width="16.09765625" bestFit="1" customWidth="1"/>
    <col min="914" max="914" width="12.796875" bestFit="1" customWidth="1"/>
    <col min="915" max="915" width="16.09765625" bestFit="1" customWidth="1"/>
    <col min="916" max="916" width="12.796875" bestFit="1" customWidth="1"/>
    <col min="917" max="917" width="16.09765625" bestFit="1" customWidth="1"/>
    <col min="918" max="918" width="12.796875" bestFit="1" customWidth="1"/>
    <col min="919" max="919" width="16.09765625" bestFit="1" customWidth="1"/>
    <col min="920" max="920" width="12.796875" bestFit="1" customWidth="1"/>
    <col min="921" max="921" width="16.09765625" bestFit="1" customWidth="1"/>
    <col min="922" max="922" width="12.796875" bestFit="1" customWidth="1"/>
    <col min="923" max="923" width="16.09765625" bestFit="1" customWidth="1"/>
    <col min="924" max="924" width="12.796875" bestFit="1" customWidth="1"/>
    <col min="925" max="925" width="16.09765625" bestFit="1" customWidth="1"/>
    <col min="926" max="926" width="12.796875" bestFit="1" customWidth="1"/>
    <col min="927" max="927" width="16.09765625" bestFit="1" customWidth="1"/>
    <col min="928" max="928" width="12.796875" bestFit="1" customWidth="1"/>
    <col min="929" max="929" width="16.09765625" bestFit="1" customWidth="1"/>
    <col min="930" max="930" width="12.796875" bestFit="1" customWidth="1"/>
    <col min="931" max="931" width="16.09765625" bestFit="1" customWidth="1"/>
    <col min="932" max="932" width="12.796875" bestFit="1" customWidth="1"/>
    <col min="933" max="933" width="16.09765625" bestFit="1" customWidth="1"/>
    <col min="934" max="934" width="12.796875" bestFit="1" customWidth="1"/>
    <col min="935" max="935" width="16.09765625" bestFit="1" customWidth="1"/>
    <col min="936" max="936" width="12.796875" bestFit="1" customWidth="1"/>
    <col min="937" max="937" width="16.09765625" bestFit="1" customWidth="1"/>
    <col min="938" max="938" width="12.796875" bestFit="1" customWidth="1"/>
    <col min="939" max="939" width="16.09765625" bestFit="1" customWidth="1"/>
    <col min="940" max="940" width="12.796875" bestFit="1" customWidth="1"/>
    <col min="941" max="941" width="16.09765625" bestFit="1" customWidth="1"/>
    <col min="942" max="942" width="12.796875" bestFit="1" customWidth="1"/>
    <col min="943" max="943" width="16.09765625" bestFit="1" customWidth="1"/>
    <col min="944" max="944" width="12.796875" bestFit="1" customWidth="1"/>
    <col min="945" max="945" width="16.09765625" bestFit="1" customWidth="1"/>
    <col min="946" max="946" width="12.796875" bestFit="1" customWidth="1"/>
    <col min="947" max="947" width="16.09765625" bestFit="1" customWidth="1"/>
    <col min="948" max="948" width="12.796875" bestFit="1" customWidth="1"/>
    <col min="949" max="949" width="16.09765625" bestFit="1" customWidth="1"/>
    <col min="950" max="950" width="12.796875" bestFit="1" customWidth="1"/>
    <col min="951" max="951" width="16.09765625" bestFit="1" customWidth="1"/>
    <col min="952" max="952" width="12.796875" bestFit="1" customWidth="1"/>
    <col min="953" max="953" width="16.09765625" bestFit="1" customWidth="1"/>
    <col min="954" max="954" width="12.796875" bestFit="1" customWidth="1"/>
    <col min="955" max="955" width="16.09765625" bestFit="1" customWidth="1"/>
    <col min="956" max="956" width="12.796875" bestFit="1" customWidth="1"/>
    <col min="957" max="957" width="16.09765625" bestFit="1" customWidth="1"/>
    <col min="958" max="958" width="12.796875" bestFit="1" customWidth="1"/>
    <col min="959" max="959" width="16.09765625" bestFit="1" customWidth="1"/>
    <col min="960" max="960" width="12.796875" bestFit="1" customWidth="1"/>
    <col min="961" max="961" width="16.09765625" bestFit="1" customWidth="1"/>
    <col min="962" max="962" width="12.796875" bestFit="1" customWidth="1"/>
    <col min="963" max="963" width="16.09765625" bestFit="1" customWidth="1"/>
    <col min="964" max="964" width="12.796875" bestFit="1" customWidth="1"/>
    <col min="965" max="965" width="16.09765625" bestFit="1" customWidth="1"/>
    <col min="966" max="966" width="12.796875" bestFit="1" customWidth="1"/>
    <col min="967" max="967" width="16.09765625" bestFit="1" customWidth="1"/>
    <col min="968" max="968" width="12.796875" bestFit="1" customWidth="1"/>
    <col min="969" max="969" width="16.09765625" bestFit="1" customWidth="1"/>
    <col min="970" max="970" width="12.796875" bestFit="1" customWidth="1"/>
    <col min="971" max="971" width="16.09765625" bestFit="1" customWidth="1"/>
    <col min="972" max="972" width="12.796875" bestFit="1" customWidth="1"/>
    <col min="973" max="973" width="16.09765625" bestFit="1" customWidth="1"/>
    <col min="974" max="974" width="12.796875" bestFit="1" customWidth="1"/>
    <col min="975" max="975" width="16.09765625" bestFit="1" customWidth="1"/>
    <col min="976" max="976" width="12.796875" bestFit="1" customWidth="1"/>
    <col min="977" max="977" width="16.09765625" bestFit="1" customWidth="1"/>
    <col min="978" max="978" width="12.796875" bestFit="1" customWidth="1"/>
    <col min="979" max="979" width="16.09765625" bestFit="1" customWidth="1"/>
    <col min="980" max="980" width="12.796875" bestFit="1" customWidth="1"/>
    <col min="981" max="981" width="16.09765625" bestFit="1" customWidth="1"/>
    <col min="982" max="982" width="12.796875" bestFit="1" customWidth="1"/>
    <col min="983" max="983" width="16.09765625" bestFit="1" customWidth="1"/>
    <col min="984" max="984" width="12.796875" bestFit="1" customWidth="1"/>
    <col min="985" max="985" width="16.09765625" bestFit="1" customWidth="1"/>
    <col min="986" max="986" width="12.796875" bestFit="1" customWidth="1"/>
    <col min="987" max="987" width="16.09765625" bestFit="1" customWidth="1"/>
    <col min="988" max="988" width="12.796875" bestFit="1" customWidth="1"/>
    <col min="989" max="989" width="16.09765625" bestFit="1" customWidth="1"/>
    <col min="990" max="990" width="12.796875" bestFit="1" customWidth="1"/>
    <col min="991" max="991" width="16.09765625" bestFit="1" customWidth="1"/>
    <col min="992" max="992" width="12.796875" bestFit="1" customWidth="1"/>
    <col min="993" max="993" width="16.09765625" bestFit="1" customWidth="1"/>
    <col min="994" max="994" width="12.796875" bestFit="1" customWidth="1"/>
    <col min="995" max="995" width="16.09765625" bestFit="1" customWidth="1"/>
    <col min="996" max="996" width="12.796875" bestFit="1" customWidth="1"/>
    <col min="997" max="997" width="16.09765625" bestFit="1" customWidth="1"/>
    <col min="998" max="998" width="12.796875" bestFit="1" customWidth="1"/>
    <col min="999" max="999" width="16.09765625" bestFit="1" customWidth="1"/>
    <col min="1000" max="1000" width="12.796875" bestFit="1" customWidth="1"/>
    <col min="1001" max="1001" width="16.09765625" bestFit="1" customWidth="1"/>
    <col min="1002" max="1002" width="12.796875" bestFit="1" customWidth="1"/>
    <col min="1003" max="1003" width="16.09765625" bestFit="1" customWidth="1"/>
    <col min="1004" max="1004" width="12.796875" bestFit="1" customWidth="1"/>
    <col min="1005" max="1005" width="16.09765625" bestFit="1" customWidth="1"/>
    <col min="1006" max="1006" width="12.796875" bestFit="1" customWidth="1"/>
    <col min="1007" max="1007" width="16.09765625" bestFit="1" customWidth="1"/>
    <col min="1008" max="1008" width="12.796875" bestFit="1" customWidth="1"/>
    <col min="1009" max="1009" width="16.09765625" bestFit="1" customWidth="1"/>
    <col min="1010" max="1010" width="12.796875" bestFit="1" customWidth="1"/>
    <col min="1011" max="1011" width="16.09765625" bestFit="1" customWidth="1"/>
    <col min="1012" max="1012" width="12.796875" bestFit="1" customWidth="1"/>
    <col min="1013" max="1013" width="16.09765625" bestFit="1" customWidth="1"/>
    <col min="1014" max="1014" width="12.796875" bestFit="1" customWidth="1"/>
    <col min="1015" max="1015" width="16.09765625" bestFit="1" customWidth="1"/>
    <col min="1016" max="1016" width="12.796875" bestFit="1" customWidth="1"/>
    <col min="1017" max="1017" width="16.09765625" bestFit="1" customWidth="1"/>
    <col min="1018" max="1018" width="12.796875" bestFit="1" customWidth="1"/>
    <col min="1019" max="1019" width="16.09765625" bestFit="1" customWidth="1"/>
    <col min="1020" max="1020" width="12.796875" bestFit="1" customWidth="1"/>
    <col min="1021" max="1021" width="16.09765625" bestFit="1" customWidth="1"/>
    <col min="1022" max="1022" width="12.796875" bestFit="1" customWidth="1"/>
    <col min="1023" max="1023" width="16.09765625" bestFit="1" customWidth="1"/>
    <col min="1024" max="1024" width="12.796875" bestFit="1" customWidth="1"/>
    <col min="1025" max="1025" width="16.09765625" bestFit="1" customWidth="1"/>
    <col min="1026" max="1026" width="12.796875" bestFit="1" customWidth="1"/>
    <col min="1027" max="1027" width="16.09765625" bestFit="1" customWidth="1"/>
    <col min="1028" max="1028" width="12.796875" bestFit="1" customWidth="1"/>
    <col min="1029" max="1029" width="16.09765625" bestFit="1" customWidth="1"/>
    <col min="1030" max="1030" width="12.796875" bestFit="1" customWidth="1"/>
    <col min="1031" max="1031" width="16.09765625" bestFit="1" customWidth="1"/>
    <col min="1032" max="1032" width="12.796875" bestFit="1" customWidth="1"/>
    <col min="1033" max="1033" width="16.09765625" bestFit="1" customWidth="1"/>
    <col min="1034" max="1034" width="12.796875" bestFit="1" customWidth="1"/>
    <col min="1035" max="1035" width="16.09765625" bestFit="1" customWidth="1"/>
    <col min="1036" max="1036" width="12.796875" bestFit="1" customWidth="1"/>
    <col min="1037" max="1037" width="16.09765625" bestFit="1" customWidth="1"/>
    <col min="1038" max="1038" width="12.796875" bestFit="1" customWidth="1"/>
    <col min="1039" max="1039" width="16.09765625" bestFit="1" customWidth="1"/>
    <col min="1040" max="1040" width="12.796875" bestFit="1" customWidth="1"/>
    <col min="1041" max="1041" width="16.09765625" bestFit="1" customWidth="1"/>
    <col min="1042" max="1042" width="12.796875" bestFit="1" customWidth="1"/>
    <col min="1043" max="1043" width="16.09765625" bestFit="1" customWidth="1"/>
    <col min="1044" max="1044" width="12.796875" bestFit="1" customWidth="1"/>
    <col min="1045" max="1045" width="16.09765625" bestFit="1" customWidth="1"/>
    <col min="1046" max="1046" width="12.796875" bestFit="1" customWidth="1"/>
    <col min="1047" max="1047" width="16.09765625" bestFit="1" customWidth="1"/>
    <col min="1048" max="1048" width="12.796875" bestFit="1" customWidth="1"/>
    <col min="1049" max="1049" width="16.09765625" bestFit="1" customWidth="1"/>
    <col min="1050" max="1050" width="12.796875" bestFit="1" customWidth="1"/>
    <col min="1051" max="1051" width="16.09765625" bestFit="1" customWidth="1"/>
    <col min="1052" max="1052" width="12.796875" bestFit="1" customWidth="1"/>
    <col min="1053" max="1053" width="16.09765625" bestFit="1" customWidth="1"/>
    <col min="1054" max="1054" width="12.796875" bestFit="1" customWidth="1"/>
    <col min="1055" max="1055" width="16.09765625" bestFit="1" customWidth="1"/>
    <col min="1056" max="1056" width="12.796875" bestFit="1" customWidth="1"/>
    <col min="1057" max="1057" width="16.09765625" bestFit="1" customWidth="1"/>
    <col min="1058" max="1058" width="12.796875" bestFit="1" customWidth="1"/>
    <col min="1059" max="1059" width="16.09765625" bestFit="1" customWidth="1"/>
    <col min="1060" max="1060" width="12.796875" bestFit="1" customWidth="1"/>
    <col min="1061" max="1061" width="16.09765625" bestFit="1" customWidth="1"/>
    <col min="1062" max="1062" width="12.796875" bestFit="1" customWidth="1"/>
    <col min="1063" max="1063" width="16.09765625" bestFit="1" customWidth="1"/>
    <col min="1064" max="1064" width="12.796875" bestFit="1" customWidth="1"/>
    <col min="1065" max="1065" width="16.09765625" bestFit="1" customWidth="1"/>
    <col min="1066" max="1066" width="12.796875" bestFit="1" customWidth="1"/>
    <col min="1067" max="1067" width="16.09765625" bestFit="1" customWidth="1"/>
    <col min="1068" max="1068" width="12.796875" bestFit="1" customWidth="1"/>
    <col min="1069" max="1069" width="16.09765625" bestFit="1" customWidth="1"/>
    <col min="1070" max="1070" width="12.796875" bestFit="1" customWidth="1"/>
    <col min="1071" max="1071" width="16.09765625" bestFit="1" customWidth="1"/>
    <col min="1072" max="1072" width="12.796875" bestFit="1" customWidth="1"/>
    <col min="1073" max="1073" width="16.09765625" bestFit="1" customWidth="1"/>
    <col min="1074" max="1074" width="12.796875" bestFit="1" customWidth="1"/>
    <col min="1075" max="1075" width="16.09765625" bestFit="1" customWidth="1"/>
    <col min="1076" max="1076" width="12.796875" bestFit="1" customWidth="1"/>
    <col min="1077" max="1077" width="16.09765625" bestFit="1" customWidth="1"/>
    <col min="1078" max="1078" width="12.796875" bestFit="1" customWidth="1"/>
    <col min="1079" max="1079" width="16.09765625" bestFit="1" customWidth="1"/>
    <col min="1080" max="1080" width="12.796875" bestFit="1" customWidth="1"/>
    <col min="1081" max="1081" width="16.09765625" bestFit="1" customWidth="1"/>
    <col min="1082" max="1082" width="12.796875" bestFit="1" customWidth="1"/>
    <col min="1083" max="1083" width="16.09765625" bestFit="1" customWidth="1"/>
    <col min="1084" max="1084" width="12.796875" bestFit="1" customWidth="1"/>
    <col min="1085" max="1085" width="16.09765625" bestFit="1" customWidth="1"/>
    <col min="1086" max="1086" width="12.796875" bestFit="1" customWidth="1"/>
    <col min="1087" max="1087" width="16.09765625" bestFit="1" customWidth="1"/>
    <col min="1088" max="1088" width="12.796875" bestFit="1" customWidth="1"/>
    <col min="1089" max="1089" width="16.09765625" bestFit="1" customWidth="1"/>
    <col min="1090" max="1090" width="12.796875" bestFit="1" customWidth="1"/>
    <col min="1091" max="1091" width="16.09765625" bestFit="1" customWidth="1"/>
    <col min="1092" max="1092" width="12.796875" bestFit="1" customWidth="1"/>
    <col min="1093" max="1093" width="16.09765625" bestFit="1" customWidth="1"/>
    <col min="1094" max="1094" width="12.796875" bestFit="1" customWidth="1"/>
    <col min="1095" max="1095" width="16.09765625" bestFit="1" customWidth="1"/>
    <col min="1096" max="1096" width="12.796875" bestFit="1" customWidth="1"/>
    <col min="1097" max="1097" width="16.09765625" bestFit="1" customWidth="1"/>
    <col min="1098" max="1098" width="12.796875" bestFit="1" customWidth="1"/>
    <col min="1099" max="1099" width="16.09765625" bestFit="1" customWidth="1"/>
    <col min="1100" max="1100" width="12.796875" bestFit="1" customWidth="1"/>
    <col min="1101" max="1101" width="16.09765625" bestFit="1" customWidth="1"/>
    <col min="1102" max="1102" width="12.796875" bestFit="1" customWidth="1"/>
    <col min="1103" max="1103" width="16.09765625" bestFit="1" customWidth="1"/>
    <col min="1104" max="1104" width="12.796875" bestFit="1" customWidth="1"/>
    <col min="1105" max="1105" width="16.09765625" bestFit="1" customWidth="1"/>
    <col min="1106" max="1106" width="12.796875" bestFit="1" customWidth="1"/>
    <col min="1107" max="1107" width="16.09765625" bestFit="1" customWidth="1"/>
    <col min="1108" max="1108" width="12.796875" bestFit="1" customWidth="1"/>
    <col min="1109" max="1109" width="16.09765625" bestFit="1" customWidth="1"/>
    <col min="1110" max="1110" width="12.796875" bestFit="1" customWidth="1"/>
    <col min="1111" max="1111" width="16.09765625" bestFit="1" customWidth="1"/>
    <col min="1112" max="1112" width="12.796875" bestFit="1" customWidth="1"/>
    <col min="1113" max="1113" width="16.09765625" bestFit="1" customWidth="1"/>
    <col min="1114" max="1114" width="12.796875" bestFit="1" customWidth="1"/>
    <col min="1115" max="1115" width="16.09765625" bestFit="1" customWidth="1"/>
    <col min="1116" max="1116" width="12.796875" bestFit="1" customWidth="1"/>
    <col min="1117" max="1117" width="16.09765625" bestFit="1" customWidth="1"/>
    <col min="1118" max="1118" width="12.796875" bestFit="1" customWidth="1"/>
    <col min="1119" max="1119" width="16.09765625" bestFit="1" customWidth="1"/>
    <col min="1120" max="1120" width="12.796875" bestFit="1" customWidth="1"/>
    <col min="1121" max="1121" width="16.09765625" bestFit="1" customWidth="1"/>
    <col min="1122" max="1122" width="12.796875" bestFit="1" customWidth="1"/>
    <col min="1123" max="1123" width="16.09765625" bestFit="1" customWidth="1"/>
    <col min="1124" max="1124" width="12.796875" bestFit="1" customWidth="1"/>
    <col min="1125" max="1125" width="16.09765625" bestFit="1" customWidth="1"/>
    <col min="1126" max="1126" width="12.796875" bestFit="1" customWidth="1"/>
    <col min="1127" max="1127" width="16.09765625" bestFit="1" customWidth="1"/>
    <col min="1128" max="1128" width="12.796875" bestFit="1" customWidth="1"/>
    <col min="1129" max="1129" width="16.09765625" bestFit="1" customWidth="1"/>
    <col min="1130" max="1130" width="12.796875" bestFit="1" customWidth="1"/>
    <col min="1131" max="1131" width="16.09765625" bestFit="1" customWidth="1"/>
    <col min="1132" max="1132" width="12.796875" bestFit="1" customWidth="1"/>
    <col min="1133" max="1133" width="16.09765625" bestFit="1" customWidth="1"/>
    <col min="1134" max="1134" width="12.796875" bestFit="1" customWidth="1"/>
    <col min="1135" max="1135" width="16.09765625" bestFit="1" customWidth="1"/>
    <col min="1136" max="1136" width="12.796875" bestFit="1" customWidth="1"/>
    <col min="1137" max="1137" width="16.09765625" bestFit="1" customWidth="1"/>
    <col min="1138" max="1138" width="12.796875" bestFit="1" customWidth="1"/>
    <col min="1139" max="1139" width="16.09765625" bestFit="1" customWidth="1"/>
    <col min="1140" max="1140" width="12.796875" bestFit="1" customWidth="1"/>
    <col min="1141" max="1141" width="16.09765625" bestFit="1" customWidth="1"/>
    <col min="1142" max="1142" width="12.796875" bestFit="1" customWidth="1"/>
    <col min="1143" max="1143" width="16.09765625" bestFit="1" customWidth="1"/>
    <col min="1144" max="1144" width="12.796875" bestFit="1" customWidth="1"/>
    <col min="1145" max="1145" width="16.09765625" bestFit="1" customWidth="1"/>
    <col min="1146" max="1146" width="12.796875" bestFit="1" customWidth="1"/>
    <col min="1147" max="1147" width="16.09765625" bestFit="1" customWidth="1"/>
    <col min="1148" max="1148" width="12.796875" bestFit="1" customWidth="1"/>
    <col min="1149" max="1149" width="16.09765625" bestFit="1" customWidth="1"/>
    <col min="1150" max="1150" width="12.796875" bestFit="1" customWidth="1"/>
    <col min="1151" max="1151" width="16.09765625" bestFit="1" customWidth="1"/>
    <col min="1152" max="1152" width="12.796875" bestFit="1" customWidth="1"/>
    <col min="1153" max="1153" width="16.09765625" bestFit="1" customWidth="1"/>
    <col min="1154" max="1154" width="12.796875" bestFit="1" customWidth="1"/>
    <col min="1155" max="1155" width="16.09765625" bestFit="1" customWidth="1"/>
    <col min="1156" max="1156" width="12.796875" bestFit="1" customWidth="1"/>
    <col min="1157" max="1157" width="16.09765625" bestFit="1" customWidth="1"/>
    <col min="1158" max="1158" width="12.796875" bestFit="1" customWidth="1"/>
    <col min="1159" max="1159" width="16.09765625" bestFit="1" customWidth="1"/>
    <col min="1160" max="1160" width="12.796875" bestFit="1" customWidth="1"/>
    <col min="1161" max="1161" width="16.09765625" bestFit="1" customWidth="1"/>
    <col min="1162" max="1162" width="12.796875" bestFit="1" customWidth="1"/>
    <col min="1163" max="1163" width="16.09765625" bestFit="1" customWidth="1"/>
    <col min="1164" max="1164" width="12.796875" bestFit="1" customWidth="1"/>
    <col min="1165" max="1165" width="16.09765625" bestFit="1" customWidth="1"/>
    <col min="1166" max="1166" width="12.796875" bestFit="1" customWidth="1"/>
    <col min="1167" max="1167" width="16.09765625" bestFit="1" customWidth="1"/>
    <col min="1168" max="1168" width="12.796875" bestFit="1" customWidth="1"/>
    <col min="1169" max="1169" width="16.09765625" bestFit="1" customWidth="1"/>
    <col min="1170" max="1170" width="12.796875" bestFit="1" customWidth="1"/>
    <col min="1171" max="1171" width="16.09765625" bestFit="1" customWidth="1"/>
    <col min="1172" max="1172" width="12.796875" bestFit="1" customWidth="1"/>
    <col min="1173" max="1173" width="16.09765625" bestFit="1" customWidth="1"/>
    <col min="1174" max="1174" width="12.796875" bestFit="1" customWidth="1"/>
    <col min="1175" max="1175" width="16.09765625" bestFit="1" customWidth="1"/>
    <col min="1176" max="1176" width="12.796875" bestFit="1" customWidth="1"/>
    <col min="1177" max="1177" width="16.09765625" bestFit="1" customWidth="1"/>
    <col min="1178" max="1178" width="12.796875" bestFit="1" customWidth="1"/>
    <col min="1179" max="1179" width="16.09765625" bestFit="1" customWidth="1"/>
    <col min="1180" max="1180" width="12.796875" bestFit="1" customWidth="1"/>
    <col min="1181" max="1181" width="16.09765625" bestFit="1" customWidth="1"/>
    <col min="1182" max="1182" width="12.796875" bestFit="1" customWidth="1"/>
    <col min="1183" max="1183" width="16.09765625" bestFit="1" customWidth="1"/>
    <col min="1184" max="1184" width="12.796875" bestFit="1" customWidth="1"/>
    <col min="1185" max="1185" width="16.09765625" bestFit="1" customWidth="1"/>
    <col min="1186" max="1186" width="12.796875" bestFit="1" customWidth="1"/>
    <col min="1187" max="1187" width="16.09765625" bestFit="1" customWidth="1"/>
    <col min="1188" max="1188" width="12.796875" bestFit="1" customWidth="1"/>
    <col min="1189" max="1189" width="16.09765625" bestFit="1" customWidth="1"/>
    <col min="1190" max="1190" width="12.796875" bestFit="1" customWidth="1"/>
    <col min="1191" max="1191" width="16.09765625" bestFit="1" customWidth="1"/>
    <col min="1192" max="1192" width="12.796875" bestFit="1" customWidth="1"/>
    <col min="1193" max="1193" width="16.09765625" bestFit="1" customWidth="1"/>
    <col min="1194" max="1194" width="12.796875" bestFit="1" customWidth="1"/>
    <col min="1195" max="1195" width="16.09765625" bestFit="1" customWidth="1"/>
    <col min="1196" max="1196" width="12.796875" bestFit="1" customWidth="1"/>
    <col min="1197" max="1197" width="16.09765625" bestFit="1" customWidth="1"/>
    <col min="1198" max="1198" width="12.796875" bestFit="1" customWidth="1"/>
    <col min="1199" max="1199" width="16.09765625" bestFit="1" customWidth="1"/>
    <col min="1200" max="1200" width="12.796875" bestFit="1" customWidth="1"/>
    <col min="1201" max="1201" width="16.09765625" bestFit="1" customWidth="1"/>
    <col min="1202" max="1202" width="12.796875" bestFit="1" customWidth="1"/>
    <col min="1203" max="1203" width="16.09765625" bestFit="1" customWidth="1"/>
    <col min="1204" max="1204" width="12.796875" bestFit="1" customWidth="1"/>
    <col min="1205" max="1205" width="16.09765625" bestFit="1" customWidth="1"/>
    <col min="1206" max="1206" width="12.796875" bestFit="1" customWidth="1"/>
    <col min="1207" max="1207" width="16.09765625" bestFit="1" customWidth="1"/>
    <col min="1208" max="1208" width="12.796875" bestFit="1" customWidth="1"/>
    <col min="1209" max="1209" width="16.09765625" bestFit="1" customWidth="1"/>
    <col min="1210" max="1210" width="12.796875" bestFit="1" customWidth="1"/>
    <col min="1211" max="1211" width="16.09765625" bestFit="1" customWidth="1"/>
    <col min="1212" max="1212" width="12.796875" bestFit="1" customWidth="1"/>
    <col min="1213" max="1213" width="16.09765625" bestFit="1" customWidth="1"/>
    <col min="1214" max="1214" width="12.796875" bestFit="1" customWidth="1"/>
    <col min="1215" max="1215" width="16.09765625" bestFit="1" customWidth="1"/>
    <col min="1216" max="1216" width="12.796875" bestFit="1" customWidth="1"/>
    <col min="1217" max="1217" width="16.09765625" bestFit="1" customWidth="1"/>
    <col min="1218" max="1218" width="12.796875" bestFit="1" customWidth="1"/>
    <col min="1219" max="1219" width="16.09765625" bestFit="1" customWidth="1"/>
    <col min="1220" max="1220" width="12.796875" bestFit="1" customWidth="1"/>
    <col min="1221" max="1221" width="16.09765625" bestFit="1" customWidth="1"/>
    <col min="1222" max="1222" width="12.796875" bestFit="1" customWidth="1"/>
    <col min="1223" max="1223" width="16.09765625" bestFit="1" customWidth="1"/>
    <col min="1224" max="1224" width="12.796875" bestFit="1" customWidth="1"/>
    <col min="1225" max="1225" width="16.09765625" bestFit="1" customWidth="1"/>
    <col min="1226" max="1226" width="12.796875" bestFit="1" customWidth="1"/>
    <col min="1227" max="1227" width="16.09765625" bestFit="1" customWidth="1"/>
    <col min="1228" max="1228" width="12.796875" bestFit="1" customWidth="1"/>
    <col min="1229" max="1229" width="16.09765625" bestFit="1" customWidth="1"/>
    <col min="1230" max="1230" width="12.796875" bestFit="1" customWidth="1"/>
    <col min="1231" max="1231" width="16.09765625" bestFit="1" customWidth="1"/>
    <col min="1232" max="1232" width="12.796875" bestFit="1" customWidth="1"/>
    <col min="1233" max="1233" width="16.09765625" bestFit="1" customWidth="1"/>
    <col min="1234" max="1234" width="12.796875" bestFit="1" customWidth="1"/>
    <col min="1235" max="1235" width="16.09765625" bestFit="1" customWidth="1"/>
    <col min="1236" max="1236" width="12.796875" bestFit="1" customWidth="1"/>
    <col min="1237" max="1237" width="16.09765625" bestFit="1" customWidth="1"/>
    <col min="1238" max="1238" width="12.796875" bestFit="1" customWidth="1"/>
    <col min="1239" max="1239" width="16.09765625" bestFit="1" customWidth="1"/>
    <col min="1240" max="1240" width="12.796875" bestFit="1" customWidth="1"/>
    <col min="1241" max="1241" width="16.09765625" bestFit="1" customWidth="1"/>
    <col min="1242" max="1242" width="12.796875" bestFit="1" customWidth="1"/>
    <col min="1243" max="1243" width="16.09765625" bestFit="1" customWidth="1"/>
    <col min="1244" max="1244" width="12.796875" bestFit="1" customWidth="1"/>
    <col min="1245" max="1245" width="16.09765625" bestFit="1" customWidth="1"/>
    <col min="1246" max="1246" width="12.796875" bestFit="1" customWidth="1"/>
    <col min="1247" max="1247" width="16.09765625" bestFit="1" customWidth="1"/>
    <col min="1248" max="1248" width="12.796875" bestFit="1" customWidth="1"/>
    <col min="1249" max="1249" width="16.09765625" bestFit="1" customWidth="1"/>
    <col min="1250" max="1250" width="12.796875" bestFit="1" customWidth="1"/>
    <col min="1251" max="1251" width="16.09765625" bestFit="1" customWidth="1"/>
    <col min="1252" max="1252" width="12.796875" bestFit="1" customWidth="1"/>
    <col min="1253" max="1253" width="16.09765625" bestFit="1" customWidth="1"/>
    <col min="1254" max="1254" width="12.796875" bestFit="1" customWidth="1"/>
    <col min="1255" max="1255" width="16.09765625" bestFit="1" customWidth="1"/>
    <col min="1256" max="1256" width="12.796875" bestFit="1" customWidth="1"/>
    <col min="1257" max="1257" width="16.09765625" bestFit="1" customWidth="1"/>
    <col min="1258" max="1258" width="12.796875" bestFit="1" customWidth="1"/>
    <col min="1259" max="1259" width="16.09765625" bestFit="1" customWidth="1"/>
    <col min="1260" max="1260" width="12.796875" bestFit="1" customWidth="1"/>
    <col min="1261" max="1261" width="16.09765625" bestFit="1" customWidth="1"/>
    <col min="1262" max="1262" width="12.796875" bestFit="1" customWidth="1"/>
    <col min="1263" max="1263" width="16.09765625" bestFit="1" customWidth="1"/>
    <col min="1264" max="1264" width="12.796875" bestFit="1" customWidth="1"/>
    <col min="1265" max="1265" width="16.09765625" bestFit="1" customWidth="1"/>
    <col min="1266" max="1266" width="12.796875" bestFit="1" customWidth="1"/>
    <col min="1267" max="1267" width="16.09765625" bestFit="1" customWidth="1"/>
    <col min="1268" max="1268" width="12.796875" bestFit="1" customWidth="1"/>
    <col min="1269" max="1269" width="16.09765625" bestFit="1" customWidth="1"/>
    <col min="1270" max="1270" width="12.796875" bestFit="1" customWidth="1"/>
    <col min="1271" max="1271" width="16.09765625" bestFit="1" customWidth="1"/>
    <col min="1272" max="1272" width="12.796875" bestFit="1" customWidth="1"/>
    <col min="1273" max="1273" width="16.09765625" bestFit="1" customWidth="1"/>
    <col min="1274" max="1274" width="12.796875" bestFit="1" customWidth="1"/>
    <col min="1275" max="1275" width="16.09765625" bestFit="1" customWidth="1"/>
    <col min="1276" max="1276" width="12.796875" bestFit="1" customWidth="1"/>
    <col min="1277" max="1277" width="16.09765625" bestFit="1" customWidth="1"/>
    <col min="1278" max="1278" width="12.796875" bestFit="1" customWidth="1"/>
    <col min="1279" max="1279" width="16.09765625" bestFit="1" customWidth="1"/>
    <col min="1280" max="1280" width="12.796875" bestFit="1" customWidth="1"/>
    <col min="1281" max="1281" width="16.09765625" bestFit="1" customWidth="1"/>
    <col min="1282" max="1282" width="12.796875" bestFit="1" customWidth="1"/>
    <col min="1283" max="1283" width="16.09765625" bestFit="1" customWidth="1"/>
    <col min="1284" max="1284" width="12.796875" bestFit="1" customWidth="1"/>
    <col min="1285" max="1285" width="16.09765625" bestFit="1" customWidth="1"/>
    <col min="1286" max="1286" width="12.796875" bestFit="1" customWidth="1"/>
    <col min="1287" max="1287" width="16.09765625" bestFit="1" customWidth="1"/>
    <col min="1288" max="1288" width="12.796875" bestFit="1" customWidth="1"/>
    <col min="1289" max="1289" width="16.09765625" bestFit="1" customWidth="1"/>
    <col min="1290" max="1290" width="12.796875" bestFit="1" customWidth="1"/>
    <col min="1291" max="1291" width="16.09765625" bestFit="1" customWidth="1"/>
    <col min="1292" max="1292" width="12.796875" bestFit="1" customWidth="1"/>
    <col min="1293" max="1293" width="16.09765625" bestFit="1" customWidth="1"/>
    <col min="1294" max="1294" width="12.796875" bestFit="1" customWidth="1"/>
    <col min="1295" max="1295" width="16.09765625" bestFit="1" customWidth="1"/>
    <col min="1296" max="1296" width="12.796875" bestFit="1" customWidth="1"/>
    <col min="1297" max="1297" width="16.09765625" bestFit="1" customWidth="1"/>
    <col min="1298" max="1298" width="12.796875" bestFit="1" customWidth="1"/>
    <col min="1299" max="1299" width="16.09765625" bestFit="1" customWidth="1"/>
    <col min="1300" max="1300" width="12.796875" bestFit="1" customWidth="1"/>
    <col min="1301" max="1301" width="16.09765625" bestFit="1" customWidth="1"/>
    <col min="1302" max="1302" width="12.796875" bestFit="1" customWidth="1"/>
    <col min="1303" max="1303" width="16.09765625" bestFit="1" customWidth="1"/>
    <col min="1304" max="1304" width="12.796875" bestFit="1" customWidth="1"/>
    <col min="1305" max="1305" width="16.09765625" bestFit="1" customWidth="1"/>
    <col min="1306" max="1306" width="12.796875" bestFit="1" customWidth="1"/>
    <col min="1307" max="1307" width="16.09765625" bestFit="1" customWidth="1"/>
    <col min="1308" max="1308" width="12.796875" bestFit="1" customWidth="1"/>
    <col min="1309" max="1309" width="16.09765625" bestFit="1" customWidth="1"/>
    <col min="1310" max="1310" width="12.796875" bestFit="1" customWidth="1"/>
    <col min="1311" max="1311" width="16.09765625" bestFit="1" customWidth="1"/>
    <col min="1312" max="1312" width="12.796875" bestFit="1" customWidth="1"/>
    <col min="1313" max="1313" width="16.09765625" bestFit="1" customWidth="1"/>
    <col min="1314" max="1314" width="12.796875" bestFit="1" customWidth="1"/>
    <col min="1315" max="1315" width="16.09765625" bestFit="1" customWidth="1"/>
    <col min="1316" max="1316" width="12.796875" bestFit="1" customWidth="1"/>
    <col min="1317" max="1317" width="16.09765625" bestFit="1" customWidth="1"/>
    <col min="1318" max="1318" width="12.796875" bestFit="1" customWidth="1"/>
    <col min="1319" max="1319" width="16.09765625" bestFit="1" customWidth="1"/>
    <col min="1320" max="1320" width="12.796875" bestFit="1" customWidth="1"/>
    <col min="1321" max="1321" width="16.09765625" bestFit="1" customWidth="1"/>
    <col min="1322" max="1322" width="12.796875" bestFit="1" customWidth="1"/>
    <col min="1323" max="1323" width="16.09765625" bestFit="1" customWidth="1"/>
    <col min="1324" max="1324" width="12.796875" bestFit="1" customWidth="1"/>
    <col min="1325" max="1325" width="16.09765625" bestFit="1" customWidth="1"/>
    <col min="1326" max="1326" width="12.796875" bestFit="1" customWidth="1"/>
    <col min="1327" max="1327" width="16.09765625" bestFit="1" customWidth="1"/>
    <col min="1328" max="1328" width="12.796875" bestFit="1" customWidth="1"/>
    <col min="1329" max="1329" width="16.09765625" bestFit="1" customWidth="1"/>
    <col min="1330" max="1330" width="12.796875" bestFit="1" customWidth="1"/>
    <col min="1331" max="1331" width="16.09765625" bestFit="1" customWidth="1"/>
    <col min="1332" max="1332" width="12.796875" bestFit="1" customWidth="1"/>
    <col min="1333" max="1333" width="16.09765625" bestFit="1" customWidth="1"/>
    <col min="1334" max="1334" width="12.796875" bestFit="1" customWidth="1"/>
    <col min="1335" max="1335" width="16.09765625" bestFit="1" customWidth="1"/>
    <col min="1336" max="1336" width="12.796875" bestFit="1" customWidth="1"/>
    <col min="1337" max="1337" width="16.09765625" bestFit="1" customWidth="1"/>
    <col min="1338" max="1338" width="12.796875" bestFit="1" customWidth="1"/>
    <col min="1339" max="1339" width="16.09765625" bestFit="1" customWidth="1"/>
    <col min="1340" max="1340" width="12.796875" bestFit="1" customWidth="1"/>
    <col min="1341" max="1341" width="16.09765625" bestFit="1" customWidth="1"/>
    <col min="1342" max="1342" width="12.796875" bestFit="1" customWidth="1"/>
    <col min="1343" max="1343" width="16.09765625" bestFit="1" customWidth="1"/>
    <col min="1344" max="1344" width="12.796875" bestFit="1" customWidth="1"/>
    <col min="1345" max="1345" width="16.09765625" bestFit="1" customWidth="1"/>
    <col min="1346" max="1346" width="12.796875" bestFit="1" customWidth="1"/>
    <col min="1347" max="1347" width="16.09765625" bestFit="1" customWidth="1"/>
    <col min="1348" max="1348" width="12.796875" bestFit="1" customWidth="1"/>
    <col min="1349" max="1349" width="16.09765625" bestFit="1" customWidth="1"/>
    <col min="1350" max="1350" width="12.796875" bestFit="1" customWidth="1"/>
    <col min="1351" max="1351" width="16.09765625" bestFit="1" customWidth="1"/>
    <col min="1352" max="1352" width="12.796875" bestFit="1" customWidth="1"/>
    <col min="1353" max="1353" width="16.09765625" bestFit="1" customWidth="1"/>
    <col min="1354" max="1354" width="12.796875" bestFit="1" customWidth="1"/>
    <col min="1355" max="1355" width="16.09765625" bestFit="1" customWidth="1"/>
    <col min="1356" max="1356" width="12.796875" bestFit="1" customWidth="1"/>
    <col min="1357" max="1357" width="16.09765625" bestFit="1" customWidth="1"/>
    <col min="1358" max="1358" width="12.796875" bestFit="1" customWidth="1"/>
    <col min="1359" max="1359" width="16.09765625" bestFit="1" customWidth="1"/>
    <col min="1360" max="1360" width="12.796875" bestFit="1" customWidth="1"/>
    <col min="1361" max="1361" width="16.09765625" bestFit="1" customWidth="1"/>
    <col min="1362" max="1362" width="12.796875" bestFit="1" customWidth="1"/>
    <col min="1363" max="1363" width="16.09765625" bestFit="1" customWidth="1"/>
    <col min="1364" max="1364" width="12.796875" bestFit="1" customWidth="1"/>
    <col min="1365" max="1365" width="16.09765625" bestFit="1" customWidth="1"/>
    <col min="1366" max="1366" width="12.796875" bestFit="1" customWidth="1"/>
    <col min="1367" max="1367" width="16.09765625" bestFit="1" customWidth="1"/>
    <col min="1368" max="1368" width="12.796875" bestFit="1" customWidth="1"/>
    <col min="1369" max="1369" width="16.09765625" bestFit="1" customWidth="1"/>
    <col min="1370" max="1370" width="12.796875" bestFit="1" customWidth="1"/>
    <col min="1371" max="1371" width="16.09765625" bestFit="1" customWidth="1"/>
    <col min="1372" max="1372" width="12.796875" bestFit="1" customWidth="1"/>
    <col min="1373" max="1373" width="16.09765625" bestFit="1" customWidth="1"/>
    <col min="1374" max="1374" width="12.796875" bestFit="1" customWidth="1"/>
    <col min="1375" max="1375" width="16.09765625" bestFit="1" customWidth="1"/>
    <col min="1376" max="1376" width="12.796875" bestFit="1" customWidth="1"/>
    <col min="1377" max="1377" width="16.09765625" bestFit="1" customWidth="1"/>
    <col min="1378" max="1378" width="12.796875" bestFit="1" customWidth="1"/>
    <col min="1379" max="1379" width="16.09765625" bestFit="1" customWidth="1"/>
    <col min="1380" max="1380" width="12.796875" bestFit="1" customWidth="1"/>
    <col min="1381" max="1381" width="16.09765625" bestFit="1" customWidth="1"/>
    <col min="1382" max="1382" width="12.796875" bestFit="1" customWidth="1"/>
    <col min="1383" max="1383" width="16.09765625" bestFit="1" customWidth="1"/>
    <col min="1384" max="1384" width="12.796875" bestFit="1" customWidth="1"/>
    <col min="1385" max="1385" width="16.09765625" bestFit="1" customWidth="1"/>
    <col min="1386" max="1386" width="12.796875" bestFit="1" customWidth="1"/>
    <col min="1387" max="1387" width="16.09765625" bestFit="1" customWidth="1"/>
    <col min="1388" max="1388" width="12.796875" bestFit="1" customWidth="1"/>
    <col min="1389" max="1389" width="16.09765625" bestFit="1" customWidth="1"/>
    <col min="1390" max="1390" width="12.796875" bestFit="1" customWidth="1"/>
    <col min="1391" max="1391" width="16.09765625" bestFit="1" customWidth="1"/>
    <col min="1392" max="1392" width="12.796875" bestFit="1" customWidth="1"/>
    <col min="1393" max="1393" width="16.09765625" bestFit="1" customWidth="1"/>
    <col min="1394" max="1394" width="12.796875" bestFit="1" customWidth="1"/>
    <col min="1395" max="1395" width="16.09765625" bestFit="1" customWidth="1"/>
    <col min="1396" max="1396" width="12.796875" bestFit="1" customWidth="1"/>
    <col min="1397" max="1397" width="16.09765625" bestFit="1" customWidth="1"/>
    <col min="1398" max="1398" width="12.796875" bestFit="1" customWidth="1"/>
    <col min="1399" max="1399" width="16.09765625" bestFit="1" customWidth="1"/>
    <col min="1400" max="1400" width="12.796875" bestFit="1" customWidth="1"/>
    <col min="1401" max="1401" width="16.09765625" bestFit="1" customWidth="1"/>
    <col min="1402" max="1402" width="12.796875" bestFit="1" customWidth="1"/>
    <col min="1403" max="1403" width="16.09765625" bestFit="1" customWidth="1"/>
    <col min="1404" max="1404" width="12.796875" bestFit="1" customWidth="1"/>
    <col min="1405" max="1405" width="16.09765625" bestFit="1" customWidth="1"/>
    <col min="1406" max="1406" width="12.796875" bestFit="1" customWidth="1"/>
    <col min="1407" max="1407" width="16.09765625" bestFit="1" customWidth="1"/>
    <col min="1408" max="1408" width="12.796875" bestFit="1" customWidth="1"/>
    <col min="1409" max="1409" width="16.09765625" bestFit="1" customWidth="1"/>
    <col min="1410" max="1410" width="12.796875" bestFit="1" customWidth="1"/>
    <col min="1411" max="1411" width="16.09765625" bestFit="1" customWidth="1"/>
    <col min="1412" max="1412" width="12.796875" bestFit="1" customWidth="1"/>
    <col min="1413" max="1413" width="16.09765625" bestFit="1" customWidth="1"/>
    <col min="1414" max="1414" width="12.796875" bestFit="1" customWidth="1"/>
    <col min="1415" max="1415" width="16.09765625" bestFit="1" customWidth="1"/>
    <col min="1416" max="1416" width="12.796875" bestFit="1" customWidth="1"/>
    <col min="1417" max="1417" width="16.09765625" bestFit="1" customWidth="1"/>
    <col min="1418" max="1418" width="12.796875" bestFit="1" customWidth="1"/>
    <col min="1419" max="1419" width="16.09765625" bestFit="1" customWidth="1"/>
    <col min="1420" max="1420" width="12.796875" bestFit="1" customWidth="1"/>
    <col min="1421" max="1421" width="16.09765625" bestFit="1" customWidth="1"/>
    <col min="1422" max="1422" width="12.796875" bestFit="1" customWidth="1"/>
    <col min="1423" max="1423" width="16.09765625" bestFit="1" customWidth="1"/>
    <col min="1424" max="1424" width="12.796875" bestFit="1" customWidth="1"/>
    <col min="1425" max="1425" width="16.09765625" bestFit="1" customWidth="1"/>
    <col min="1426" max="1426" width="12.796875" bestFit="1" customWidth="1"/>
    <col min="1427" max="1427" width="16.09765625" bestFit="1" customWidth="1"/>
    <col min="1428" max="1428" width="12.796875" bestFit="1" customWidth="1"/>
    <col min="1429" max="1429" width="16.09765625" bestFit="1" customWidth="1"/>
    <col min="1430" max="1430" width="12.796875" bestFit="1" customWidth="1"/>
    <col min="1431" max="1431" width="16.09765625" bestFit="1" customWidth="1"/>
    <col min="1432" max="1432" width="12.796875" bestFit="1" customWidth="1"/>
    <col min="1433" max="1433" width="16.09765625" bestFit="1" customWidth="1"/>
    <col min="1434" max="1434" width="12.796875" bestFit="1" customWidth="1"/>
    <col min="1435" max="1435" width="16.09765625" bestFit="1" customWidth="1"/>
    <col min="1436" max="1436" width="12.796875" bestFit="1" customWidth="1"/>
    <col min="1437" max="1437" width="16.09765625" bestFit="1" customWidth="1"/>
    <col min="1438" max="1438" width="12.796875" bestFit="1" customWidth="1"/>
    <col min="1439" max="1439" width="16.09765625" bestFit="1" customWidth="1"/>
    <col min="1440" max="1440" width="12.796875" bestFit="1" customWidth="1"/>
    <col min="1441" max="1441" width="16.09765625" bestFit="1" customWidth="1"/>
    <col min="1442" max="1442" width="12.796875" bestFit="1" customWidth="1"/>
    <col min="1443" max="1443" width="16.09765625" bestFit="1" customWidth="1"/>
    <col min="1444" max="1444" width="12.796875" bestFit="1" customWidth="1"/>
    <col min="1445" max="1445" width="16.09765625" bestFit="1" customWidth="1"/>
    <col min="1446" max="1446" width="12.796875" bestFit="1" customWidth="1"/>
    <col min="1447" max="1447" width="16.09765625" bestFit="1" customWidth="1"/>
    <col min="1448" max="1448" width="12.796875" bestFit="1" customWidth="1"/>
    <col min="1449" max="1449" width="16.09765625" bestFit="1" customWidth="1"/>
    <col min="1450" max="1450" width="12.796875" bestFit="1" customWidth="1"/>
    <col min="1451" max="1451" width="16.09765625" bestFit="1" customWidth="1"/>
    <col min="1452" max="1452" width="12.796875" bestFit="1" customWidth="1"/>
    <col min="1453" max="1453" width="16.09765625" bestFit="1" customWidth="1"/>
    <col min="1454" max="1454" width="12.796875" bestFit="1" customWidth="1"/>
    <col min="1455" max="1455" width="16.09765625" bestFit="1" customWidth="1"/>
    <col min="1456" max="1456" width="12.796875" bestFit="1" customWidth="1"/>
    <col min="1457" max="1457" width="16.09765625" bestFit="1" customWidth="1"/>
    <col min="1458" max="1458" width="12.796875" bestFit="1" customWidth="1"/>
    <col min="1459" max="1459" width="16.09765625" bestFit="1" customWidth="1"/>
    <col min="1460" max="1460" width="12.796875" bestFit="1" customWidth="1"/>
    <col min="1461" max="1461" width="16.09765625" bestFit="1" customWidth="1"/>
    <col min="1462" max="1462" width="12.796875" bestFit="1" customWidth="1"/>
    <col min="1463" max="1463" width="16.09765625" bestFit="1" customWidth="1"/>
    <col min="1464" max="1464" width="12.796875" bestFit="1" customWidth="1"/>
    <col min="1465" max="1465" width="16.09765625" bestFit="1" customWidth="1"/>
    <col min="1466" max="1466" width="12.796875" bestFit="1" customWidth="1"/>
    <col min="1467" max="1467" width="16.09765625" bestFit="1" customWidth="1"/>
    <col min="1468" max="1468" width="12.796875" bestFit="1" customWidth="1"/>
    <col min="1469" max="1469" width="16.09765625" bestFit="1" customWidth="1"/>
    <col min="1470" max="1470" width="12.796875" bestFit="1" customWidth="1"/>
    <col min="1471" max="1471" width="16.09765625" bestFit="1" customWidth="1"/>
    <col min="1472" max="1472" width="12.796875" bestFit="1" customWidth="1"/>
    <col min="1473" max="1473" width="16.09765625" bestFit="1" customWidth="1"/>
    <col min="1474" max="1474" width="12.796875" bestFit="1" customWidth="1"/>
    <col min="1475" max="1475" width="16.09765625" bestFit="1" customWidth="1"/>
    <col min="1476" max="1476" width="12.796875" bestFit="1" customWidth="1"/>
    <col min="1477" max="1477" width="16.09765625" bestFit="1" customWidth="1"/>
    <col min="1478" max="1478" width="12.796875" bestFit="1" customWidth="1"/>
    <col min="1479" max="1479" width="16.09765625" bestFit="1" customWidth="1"/>
    <col min="1480" max="1480" width="12.796875" bestFit="1" customWidth="1"/>
    <col min="1481" max="1481" width="16.09765625" bestFit="1" customWidth="1"/>
    <col min="1482" max="1482" width="12.796875" bestFit="1" customWidth="1"/>
    <col min="1483" max="1483" width="16.09765625" bestFit="1" customWidth="1"/>
    <col min="1484" max="1484" width="12.796875" bestFit="1" customWidth="1"/>
    <col min="1485" max="1485" width="16.09765625" bestFit="1" customWidth="1"/>
    <col min="1486" max="1486" width="12.796875" bestFit="1" customWidth="1"/>
    <col min="1487" max="1487" width="16.09765625" bestFit="1" customWidth="1"/>
    <col min="1488" max="1488" width="12.796875" bestFit="1" customWidth="1"/>
    <col min="1489" max="1489" width="16.09765625" bestFit="1" customWidth="1"/>
    <col min="1490" max="1490" width="12.796875" bestFit="1" customWidth="1"/>
    <col min="1491" max="1491" width="16.09765625" bestFit="1" customWidth="1"/>
    <col min="1492" max="1492" width="12.796875" bestFit="1" customWidth="1"/>
    <col min="1493" max="1493" width="16.09765625" bestFit="1" customWidth="1"/>
    <col min="1494" max="1494" width="12.796875" bestFit="1" customWidth="1"/>
    <col min="1495" max="1495" width="16.09765625" bestFit="1" customWidth="1"/>
    <col min="1496" max="1496" width="12.796875" bestFit="1" customWidth="1"/>
    <col min="1497" max="1497" width="16.09765625" bestFit="1" customWidth="1"/>
    <col min="1498" max="1498" width="12.796875" bestFit="1" customWidth="1"/>
    <col min="1499" max="1499" width="16.09765625" bestFit="1" customWidth="1"/>
    <col min="1500" max="1500" width="12.796875" bestFit="1" customWidth="1"/>
    <col min="1501" max="1501" width="16.09765625" bestFit="1" customWidth="1"/>
    <col min="1502" max="1502" width="12.796875" bestFit="1" customWidth="1"/>
    <col min="1503" max="1503" width="16.09765625" bestFit="1" customWidth="1"/>
    <col min="1504" max="1504" width="12.796875" bestFit="1" customWidth="1"/>
    <col min="1505" max="1505" width="16.09765625" bestFit="1" customWidth="1"/>
    <col min="1506" max="1506" width="12.796875" bestFit="1" customWidth="1"/>
    <col min="1507" max="1507" width="16.09765625" bestFit="1" customWidth="1"/>
    <col min="1508" max="1508" width="12.796875" bestFit="1" customWidth="1"/>
    <col min="1509" max="1509" width="16.09765625" bestFit="1" customWidth="1"/>
    <col min="1510" max="1510" width="12.796875" bestFit="1" customWidth="1"/>
    <col min="1511" max="1511" width="16.09765625" bestFit="1" customWidth="1"/>
    <col min="1512" max="1512" width="12.796875" bestFit="1" customWidth="1"/>
    <col min="1513" max="1513" width="16.09765625" bestFit="1" customWidth="1"/>
    <col min="1514" max="1514" width="12.796875" bestFit="1" customWidth="1"/>
    <col min="1515" max="1515" width="16.09765625" bestFit="1" customWidth="1"/>
    <col min="1516" max="1516" width="12.796875" bestFit="1" customWidth="1"/>
    <col min="1517" max="1517" width="16.09765625" bestFit="1" customWidth="1"/>
    <col min="1518" max="1518" width="12.796875" bestFit="1" customWidth="1"/>
    <col min="1519" max="1519" width="16.09765625" bestFit="1" customWidth="1"/>
    <col min="1520" max="1520" width="12.796875" bestFit="1" customWidth="1"/>
    <col min="1521" max="1521" width="16.09765625" bestFit="1" customWidth="1"/>
    <col min="1522" max="1522" width="12.796875" bestFit="1" customWidth="1"/>
    <col min="1523" max="1523" width="16.09765625" bestFit="1" customWidth="1"/>
    <col min="1524" max="1524" width="12.796875" bestFit="1" customWidth="1"/>
    <col min="1525" max="1525" width="16.09765625" bestFit="1" customWidth="1"/>
    <col min="1526" max="1526" width="12.796875" bestFit="1" customWidth="1"/>
    <col min="1527" max="1527" width="16.09765625" bestFit="1" customWidth="1"/>
    <col min="1528" max="1528" width="12.796875" bestFit="1" customWidth="1"/>
    <col min="1529" max="1529" width="16.09765625" bestFit="1" customWidth="1"/>
    <col min="1530" max="1530" width="12.796875" bestFit="1" customWidth="1"/>
    <col min="1531" max="1531" width="16.09765625" bestFit="1" customWidth="1"/>
    <col min="1532" max="1532" width="12.796875" bestFit="1" customWidth="1"/>
    <col min="1533" max="1533" width="16.09765625" bestFit="1" customWidth="1"/>
    <col min="1534" max="1534" width="12.796875" bestFit="1" customWidth="1"/>
    <col min="1535" max="1535" width="16.09765625" bestFit="1" customWidth="1"/>
    <col min="1536" max="1536" width="12.796875" bestFit="1" customWidth="1"/>
    <col min="1537" max="1537" width="16.09765625" bestFit="1" customWidth="1"/>
    <col min="1538" max="1538" width="12.796875" bestFit="1" customWidth="1"/>
    <col min="1539" max="1539" width="16.09765625" bestFit="1" customWidth="1"/>
    <col min="1540" max="1540" width="12.796875" bestFit="1" customWidth="1"/>
    <col min="1541" max="1541" width="16.09765625" bestFit="1" customWidth="1"/>
    <col min="1542" max="1542" width="12.796875" bestFit="1" customWidth="1"/>
    <col min="1543" max="1543" width="16.09765625" bestFit="1" customWidth="1"/>
    <col min="1544" max="1544" width="12.796875" bestFit="1" customWidth="1"/>
    <col min="1545" max="1545" width="16.09765625" bestFit="1" customWidth="1"/>
    <col min="1546" max="1546" width="12.796875" bestFit="1" customWidth="1"/>
    <col min="1547" max="1547" width="16.09765625" bestFit="1" customWidth="1"/>
    <col min="1548" max="1548" width="12.796875" bestFit="1" customWidth="1"/>
    <col min="1549" max="1549" width="16.09765625" bestFit="1" customWidth="1"/>
    <col min="1550" max="1550" width="12.796875" bestFit="1" customWidth="1"/>
    <col min="1551" max="1551" width="16.09765625" bestFit="1" customWidth="1"/>
    <col min="1552" max="1552" width="12.796875" bestFit="1" customWidth="1"/>
    <col min="1553" max="1553" width="16.09765625" bestFit="1" customWidth="1"/>
    <col min="1554" max="1554" width="12.796875" bestFit="1" customWidth="1"/>
    <col min="1555" max="1555" width="16.09765625" bestFit="1" customWidth="1"/>
    <col min="1556" max="1556" width="12.796875" bestFit="1" customWidth="1"/>
    <col min="1557" max="1557" width="16.09765625" bestFit="1" customWidth="1"/>
    <col min="1558" max="1558" width="12.796875" bestFit="1" customWidth="1"/>
    <col min="1559" max="1559" width="16.09765625" bestFit="1" customWidth="1"/>
    <col min="1560" max="1560" width="12.796875" bestFit="1" customWidth="1"/>
    <col min="1561" max="1561" width="16.09765625" bestFit="1" customWidth="1"/>
    <col min="1562" max="1562" width="12.796875" bestFit="1" customWidth="1"/>
    <col min="1563" max="1563" width="16.09765625" bestFit="1" customWidth="1"/>
    <col min="1564" max="1564" width="12.796875" bestFit="1" customWidth="1"/>
    <col min="1565" max="1565" width="16.09765625" bestFit="1" customWidth="1"/>
    <col min="1566" max="1566" width="12.796875" bestFit="1" customWidth="1"/>
    <col min="1567" max="1567" width="16.09765625" bestFit="1" customWidth="1"/>
    <col min="1568" max="1568" width="12.796875" bestFit="1" customWidth="1"/>
    <col min="1569" max="1569" width="16.09765625" bestFit="1" customWidth="1"/>
    <col min="1570" max="1570" width="12.796875" bestFit="1" customWidth="1"/>
    <col min="1571" max="1571" width="16.09765625" bestFit="1" customWidth="1"/>
    <col min="1572" max="1572" width="12.796875" bestFit="1" customWidth="1"/>
    <col min="1573" max="1573" width="16.09765625" bestFit="1" customWidth="1"/>
    <col min="1574" max="1574" width="12.796875" bestFit="1" customWidth="1"/>
    <col min="1575" max="1575" width="16.09765625" bestFit="1" customWidth="1"/>
    <col min="1576" max="1576" width="12.796875" bestFit="1" customWidth="1"/>
    <col min="1577" max="1577" width="16.09765625" bestFit="1" customWidth="1"/>
    <col min="1578" max="1578" width="12.796875" bestFit="1" customWidth="1"/>
    <col min="1579" max="1579" width="16.09765625" bestFit="1" customWidth="1"/>
    <col min="1580" max="1580" width="12.796875" bestFit="1" customWidth="1"/>
    <col min="1581" max="1581" width="16.09765625" bestFit="1" customWidth="1"/>
    <col min="1582" max="1582" width="12.796875" bestFit="1" customWidth="1"/>
    <col min="1583" max="1583" width="16.09765625" bestFit="1" customWidth="1"/>
    <col min="1584" max="1584" width="12.796875" bestFit="1" customWidth="1"/>
    <col min="1585" max="1585" width="16.09765625" bestFit="1" customWidth="1"/>
    <col min="1586" max="1586" width="12.796875" bestFit="1" customWidth="1"/>
    <col min="1587" max="1587" width="16.09765625" bestFit="1" customWidth="1"/>
    <col min="1588" max="1588" width="12.796875" bestFit="1" customWidth="1"/>
    <col min="1589" max="1589" width="16.09765625" bestFit="1" customWidth="1"/>
    <col min="1590" max="1590" width="12.796875" bestFit="1" customWidth="1"/>
    <col min="1591" max="1591" width="16.09765625" bestFit="1" customWidth="1"/>
    <col min="1592" max="1592" width="12.796875" bestFit="1" customWidth="1"/>
    <col min="1593" max="1593" width="16.09765625" bestFit="1" customWidth="1"/>
    <col min="1594" max="1594" width="12.796875" bestFit="1" customWidth="1"/>
    <col min="1595" max="1595" width="16.09765625" bestFit="1" customWidth="1"/>
    <col min="1596" max="1596" width="12.796875" bestFit="1" customWidth="1"/>
    <col min="1597" max="1597" width="16.09765625" bestFit="1" customWidth="1"/>
    <col min="1598" max="1598" width="12.796875" bestFit="1" customWidth="1"/>
    <col min="1599" max="1599" width="16.09765625" bestFit="1" customWidth="1"/>
    <col min="1600" max="1600" width="12.796875" bestFit="1" customWidth="1"/>
    <col min="1601" max="1601" width="16.09765625" bestFit="1" customWidth="1"/>
    <col min="1602" max="1602" width="12.796875" bestFit="1" customWidth="1"/>
    <col min="1603" max="1603" width="16.09765625" bestFit="1" customWidth="1"/>
    <col min="1604" max="1604" width="12.796875" bestFit="1" customWidth="1"/>
    <col min="1605" max="1605" width="16.09765625" bestFit="1" customWidth="1"/>
    <col min="1606" max="1606" width="12.796875" bestFit="1" customWidth="1"/>
    <col min="1607" max="1607" width="16.09765625" bestFit="1" customWidth="1"/>
    <col min="1608" max="1608" width="12.796875" bestFit="1" customWidth="1"/>
    <col min="1609" max="1609" width="16.09765625" bestFit="1" customWidth="1"/>
    <col min="1610" max="1610" width="12.796875" bestFit="1" customWidth="1"/>
    <col min="1611" max="1611" width="16.09765625" bestFit="1" customWidth="1"/>
    <col min="1612" max="1612" width="12.796875" bestFit="1" customWidth="1"/>
    <col min="1613" max="1613" width="16.09765625" bestFit="1" customWidth="1"/>
    <col min="1614" max="1614" width="12.796875" bestFit="1" customWidth="1"/>
    <col min="1615" max="1615" width="16.09765625" bestFit="1" customWidth="1"/>
    <col min="1616" max="1616" width="12.796875" bestFit="1" customWidth="1"/>
    <col min="1617" max="1617" width="16.09765625" bestFit="1" customWidth="1"/>
    <col min="1618" max="1618" width="12.796875" bestFit="1" customWidth="1"/>
    <col min="1619" max="1619" width="16.09765625" bestFit="1" customWidth="1"/>
    <col min="1620" max="1620" width="12.796875" bestFit="1" customWidth="1"/>
    <col min="1621" max="1621" width="16.09765625" bestFit="1" customWidth="1"/>
    <col min="1622" max="1622" width="12.796875" bestFit="1" customWidth="1"/>
    <col min="1623" max="1623" width="16.09765625" bestFit="1" customWidth="1"/>
    <col min="1624" max="1624" width="12.796875" bestFit="1" customWidth="1"/>
    <col min="1625" max="1625" width="16.09765625" bestFit="1" customWidth="1"/>
    <col min="1626" max="1626" width="12.796875" bestFit="1" customWidth="1"/>
    <col min="1627" max="1627" width="16.09765625" bestFit="1" customWidth="1"/>
    <col min="1628" max="1628" width="12.796875" bestFit="1" customWidth="1"/>
    <col min="1629" max="1629" width="16.09765625" bestFit="1" customWidth="1"/>
    <col min="1630" max="1630" width="12.796875" bestFit="1" customWidth="1"/>
    <col min="1631" max="1631" width="16.09765625" bestFit="1" customWidth="1"/>
    <col min="1632" max="1632" width="12.796875" bestFit="1" customWidth="1"/>
    <col min="1633" max="1633" width="16.09765625" bestFit="1" customWidth="1"/>
    <col min="1634" max="1634" width="12.796875" bestFit="1" customWidth="1"/>
    <col min="1635" max="1635" width="16.09765625" bestFit="1" customWidth="1"/>
    <col min="1636" max="1636" width="12.796875" bestFit="1" customWidth="1"/>
    <col min="1637" max="1637" width="16.09765625" bestFit="1" customWidth="1"/>
    <col min="1638" max="1638" width="12.796875" bestFit="1" customWidth="1"/>
    <col min="1639" max="1639" width="16.09765625" bestFit="1" customWidth="1"/>
    <col min="1640" max="1640" width="12.796875" bestFit="1" customWidth="1"/>
    <col min="1641" max="1641" width="16.09765625" bestFit="1" customWidth="1"/>
    <col min="1642" max="1642" width="12.796875" bestFit="1" customWidth="1"/>
    <col min="1643" max="1643" width="16.09765625" bestFit="1" customWidth="1"/>
    <col min="1644" max="1644" width="12.796875" bestFit="1" customWidth="1"/>
    <col min="1645" max="1645" width="16.09765625" bestFit="1" customWidth="1"/>
    <col min="1646" max="1646" width="12.796875" bestFit="1" customWidth="1"/>
    <col min="1647" max="1647" width="16.09765625" bestFit="1" customWidth="1"/>
    <col min="1648" max="1648" width="12.796875" bestFit="1" customWidth="1"/>
    <col min="1649" max="1649" width="16.09765625" bestFit="1" customWidth="1"/>
    <col min="1650" max="1650" width="12.796875" bestFit="1" customWidth="1"/>
    <col min="1651" max="1651" width="16.09765625" bestFit="1" customWidth="1"/>
    <col min="1652" max="1652" width="12.796875" bestFit="1" customWidth="1"/>
    <col min="1653" max="1653" width="16.09765625" bestFit="1" customWidth="1"/>
    <col min="1654" max="1654" width="12.796875" bestFit="1" customWidth="1"/>
    <col min="1655" max="1655" width="16.09765625" bestFit="1" customWidth="1"/>
    <col min="1656" max="1656" width="12.796875" bestFit="1" customWidth="1"/>
    <col min="1657" max="1657" width="16.09765625" bestFit="1" customWidth="1"/>
    <col min="1658" max="1658" width="12.796875" bestFit="1" customWidth="1"/>
    <col min="1659" max="1659" width="16.09765625" bestFit="1" customWidth="1"/>
    <col min="1660" max="1660" width="12.796875" bestFit="1" customWidth="1"/>
    <col min="1661" max="1661" width="16.09765625" bestFit="1" customWidth="1"/>
    <col min="1662" max="1662" width="12.796875" bestFit="1" customWidth="1"/>
    <col min="1663" max="1663" width="16.09765625" bestFit="1" customWidth="1"/>
    <col min="1664" max="1664" width="12.796875" bestFit="1" customWidth="1"/>
    <col min="1665" max="1665" width="16.09765625" bestFit="1" customWidth="1"/>
    <col min="1666" max="1666" width="12.796875" bestFit="1" customWidth="1"/>
    <col min="1667" max="1667" width="16.09765625" bestFit="1" customWidth="1"/>
    <col min="1668" max="1668" width="12.796875" bestFit="1" customWidth="1"/>
    <col min="1669" max="1669" width="16.09765625" bestFit="1" customWidth="1"/>
    <col min="1670" max="1670" width="12.796875" bestFit="1" customWidth="1"/>
    <col min="1671" max="1671" width="16.09765625" bestFit="1" customWidth="1"/>
    <col min="1672" max="1672" width="12.796875" bestFit="1" customWidth="1"/>
    <col min="1673" max="1673" width="16.09765625" bestFit="1" customWidth="1"/>
    <col min="1674" max="1674" width="12.796875" bestFit="1" customWidth="1"/>
    <col min="1675" max="1675" width="16.09765625" bestFit="1" customWidth="1"/>
    <col min="1676" max="1676" width="12.796875" bestFit="1" customWidth="1"/>
    <col min="1677" max="1677" width="16.09765625" bestFit="1" customWidth="1"/>
    <col min="1678" max="1678" width="12.796875" bestFit="1" customWidth="1"/>
    <col min="1679" max="1679" width="16.09765625" bestFit="1" customWidth="1"/>
    <col min="1680" max="1680" width="12.796875" bestFit="1" customWidth="1"/>
    <col min="1681" max="1681" width="16.09765625" bestFit="1" customWidth="1"/>
    <col min="1682" max="1682" width="12.796875" bestFit="1" customWidth="1"/>
    <col min="1683" max="1683" width="16.09765625" bestFit="1" customWidth="1"/>
    <col min="1684" max="1684" width="12.796875" bestFit="1" customWidth="1"/>
    <col min="1685" max="1685" width="16.09765625" bestFit="1" customWidth="1"/>
    <col min="1686" max="1686" width="12.796875" bestFit="1" customWidth="1"/>
    <col min="1687" max="1687" width="16.09765625" bestFit="1" customWidth="1"/>
    <col min="1688" max="1688" width="12.796875" bestFit="1" customWidth="1"/>
    <col min="1689" max="1689" width="16.09765625" bestFit="1" customWidth="1"/>
    <col min="1690" max="1690" width="12.796875" bestFit="1" customWidth="1"/>
    <col min="1691" max="1691" width="16.09765625" bestFit="1" customWidth="1"/>
    <col min="1692" max="1692" width="12.796875" bestFit="1" customWidth="1"/>
    <col min="1693" max="1693" width="16.09765625" bestFit="1" customWidth="1"/>
    <col min="1694" max="1694" width="12.796875" bestFit="1" customWidth="1"/>
    <col min="1695" max="1695" width="16.09765625" bestFit="1" customWidth="1"/>
    <col min="1696" max="1696" width="12.796875" bestFit="1" customWidth="1"/>
    <col min="1697" max="1697" width="16.09765625" bestFit="1" customWidth="1"/>
    <col min="1698" max="1698" width="12.796875" bestFit="1" customWidth="1"/>
    <col min="1699" max="1699" width="16.09765625" bestFit="1" customWidth="1"/>
    <col min="1700" max="1700" width="12.796875" bestFit="1" customWidth="1"/>
    <col min="1701" max="1701" width="16.09765625" bestFit="1" customWidth="1"/>
    <col min="1702" max="1702" width="12.796875" bestFit="1" customWidth="1"/>
    <col min="1703" max="1703" width="16.09765625" bestFit="1" customWidth="1"/>
    <col min="1704" max="1704" width="12.796875" bestFit="1" customWidth="1"/>
    <col min="1705" max="1705" width="16.09765625" bestFit="1" customWidth="1"/>
    <col min="1706" max="1706" width="12.796875" bestFit="1" customWidth="1"/>
    <col min="1707" max="1707" width="16.09765625" bestFit="1" customWidth="1"/>
    <col min="1708" max="1708" width="12.796875" bestFit="1" customWidth="1"/>
    <col min="1709" max="1709" width="16.09765625" bestFit="1" customWidth="1"/>
    <col min="1710" max="1710" width="12.796875" bestFit="1" customWidth="1"/>
    <col min="1711" max="1711" width="16.09765625" bestFit="1" customWidth="1"/>
    <col min="1712" max="1712" width="12.796875" bestFit="1" customWidth="1"/>
    <col min="1713" max="1713" width="16.09765625" bestFit="1" customWidth="1"/>
    <col min="1714" max="1714" width="12.796875" bestFit="1" customWidth="1"/>
    <col min="1715" max="1715" width="16.09765625" bestFit="1" customWidth="1"/>
    <col min="1716" max="1716" width="12.796875" bestFit="1" customWidth="1"/>
    <col min="1717" max="1717" width="16.09765625" bestFit="1" customWidth="1"/>
    <col min="1718" max="1718" width="12.796875" bestFit="1" customWidth="1"/>
    <col min="1719" max="1719" width="16.09765625" bestFit="1" customWidth="1"/>
    <col min="1720" max="1720" width="12.796875" bestFit="1" customWidth="1"/>
    <col min="1721" max="1721" width="16.09765625" bestFit="1" customWidth="1"/>
    <col min="1722" max="1722" width="12.796875" bestFit="1" customWidth="1"/>
    <col min="1723" max="1723" width="16.09765625" bestFit="1" customWidth="1"/>
    <col min="1724" max="1724" width="12.796875" bestFit="1" customWidth="1"/>
    <col min="1725" max="1725" width="16.09765625" bestFit="1" customWidth="1"/>
    <col min="1726" max="1726" width="12.796875" bestFit="1" customWidth="1"/>
    <col min="1727" max="1727" width="16.09765625" bestFit="1" customWidth="1"/>
    <col min="1728" max="1728" width="12.796875" bestFit="1" customWidth="1"/>
    <col min="1729" max="1729" width="16.09765625" bestFit="1" customWidth="1"/>
    <col min="1730" max="1730" width="12.796875" bestFit="1" customWidth="1"/>
    <col min="1731" max="1731" width="16.09765625" bestFit="1" customWidth="1"/>
    <col min="1732" max="1732" width="12.796875" bestFit="1" customWidth="1"/>
    <col min="1733" max="1733" width="16.09765625" bestFit="1" customWidth="1"/>
    <col min="1734" max="1734" width="12.796875" bestFit="1" customWidth="1"/>
    <col min="1735" max="1735" width="16.09765625" bestFit="1" customWidth="1"/>
    <col min="1736" max="1736" width="12.796875" bestFit="1" customWidth="1"/>
    <col min="1737" max="1737" width="16.09765625" bestFit="1" customWidth="1"/>
    <col min="1738" max="1738" width="12.796875" bestFit="1" customWidth="1"/>
    <col min="1739" max="1739" width="16.09765625" bestFit="1" customWidth="1"/>
    <col min="1740" max="1740" width="12.796875" bestFit="1" customWidth="1"/>
    <col min="1741" max="1741" width="16.09765625" bestFit="1" customWidth="1"/>
    <col min="1742" max="1742" width="12.796875" bestFit="1" customWidth="1"/>
    <col min="1743" max="1743" width="16.09765625" bestFit="1" customWidth="1"/>
    <col min="1744" max="1744" width="12.796875" bestFit="1" customWidth="1"/>
    <col min="1745" max="1745" width="16.09765625" bestFit="1" customWidth="1"/>
    <col min="1746" max="1746" width="12.796875" bestFit="1" customWidth="1"/>
    <col min="1747" max="1747" width="16.09765625" bestFit="1" customWidth="1"/>
    <col min="1748" max="1748" width="12.796875" bestFit="1" customWidth="1"/>
    <col min="1749" max="1749" width="16.09765625" bestFit="1" customWidth="1"/>
    <col min="1750" max="1750" width="12.796875" bestFit="1" customWidth="1"/>
    <col min="1751" max="1751" width="16.09765625" bestFit="1" customWidth="1"/>
    <col min="1752" max="1752" width="12.796875" bestFit="1" customWidth="1"/>
    <col min="1753" max="1753" width="16.09765625" bestFit="1" customWidth="1"/>
    <col min="1754" max="1754" width="12.796875" bestFit="1" customWidth="1"/>
    <col min="1755" max="1755" width="16.09765625" bestFit="1" customWidth="1"/>
    <col min="1756" max="1756" width="12.796875" bestFit="1" customWidth="1"/>
    <col min="1757" max="1757" width="16.09765625" bestFit="1" customWidth="1"/>
    <col min="1758" max="1758" width="12.796875" bestFit="1" customWidth="1"/>
    <col min="1759" max="1759" width="16.09765625" bestFit="1" customWidth="1"/>
    <col min="1760" max="1760" width="12.796875" bestFit="1" customWidth="1"/>
    <col min="1761" max="1761" width="16.09765625" bestFit="1" customWidth="1"/>
    <col min="1762" max="1762" width="12.796875" bestFit="1" customWidth="1"/>
    <col min="1763" max="1763" width="16.09765625" bestFit="1" customWidth="1"/>
    <col min="1764" max="1764" width="12.796875" bestFit="1" customWidth="1"/>
    <col min="1765" max="1765" width="16.09765625" bestFit="1" customWidth="1"/>
    <col min="1766" max="1766" width="12.796875" bestFit="1" customWidth="1"/>
    <col min="1767" max="1767" width="16.09765625" bestFit="1" customWidth="1"/>
    <col min="1768" max="1768" width="12.796875" bestFit="1" customWidth="1"/>
    <col min="1769" max="1769" width="16.09765625" bestFit="1" customWidth="1"/>
    <col min="1770" max="1770" width="12.796875" bestFit="1" customWidth="1"/>
    <col min="1771" max="1771" width="16.09765625" bestFit="1" customWidth="1"/>
    <col min="1772" max="1772" width="12.796875" bestFit="1" customWidth="1"/>
    <col min="1773" max="1773" width="16.09765625" bestFit="1" customWidth="1"/>
    <col min="1774" max="1774" width="12.796875" bestFit="1" customWidth="1"/>
    <col min="1775" max="1775" width="16.09765625" bestFit="1" customWidth="1"/>
    <col min="1776" max="1776" width="12.796875" bestFit="1" customWidth="1"/>
    <col min="1777" max="1777" width="16.09765625" bestFit="1" customWidth="1"/>
    <col min="1778" max="1778" width="12.796875" bestFit="1" customWidth="1"/>
    <col min="1779" max="1779" width="16.09765625" bestFit="1" customWidth="1"/>
    <col min="1780" max="1780" width="12.796875" bestFit="1" customWidth="1"/>
    <col min="1781" max="1781" width="16.09765625" bestFit="1" customWidth="1"/>
    <col min="1782" max="1782" width="12.796875" bestFit="1" customWidth="1"/>
    <col min="1783" max="1783" width="16.09765625" bestFit="1" customWidth="1"/>
    <col min="1784" max="1784" width="12.796875" bestFit="1" customWidth="1"/>
    <col min="1785" max="1785" width="16.09765625" bestFit="1" customWidth="1"/>
    <col min="1786" max="1786" width="12.796875" bestFit="1" customWidth="1"/>
    <col min="1787" max="1787" width="16.09765625" bestFit="1" customWidth="1"/>
    <col min="1788" max="1788" width="12.796875" bestFit="1" customWidth="1"/>
    <col min="1789" max="1789" width="16.09765625" bestFit="1" customWidth="1"/>
    <col min="1790" max="1790" width="12.796875" bestFit="1" customWidth="1"/>
    <col min="1791" max="1791" width="16.09765625" bestFit="1" customWidth="1"/>
    <col min="1792" max="1792" width="12.796875" bestFit="1" customWidth="1"/>
    <col min="1793" max="1793" width="16.09765625" bestFit="1" customWidth="1"/>
    <col min="1794" max="1794" width="12.796875" bestFit="1" customWidth="1"/>
    <col min="1795" max="1795" width="16.09765625" bestFit="1" customWidth="1"/>
    <col min="1796" max="1796" width="12.796875" bestFit="1" customWidth="1"/>
    <col min="1797" max="1797" width="16.09765625" bestFit="1" customWidth="1"/>
    <col min="1798" max="1798" width="12.796875" bestFit="1" customWidth="1"/>
    <col min="1799" max="1799" width="16.09765625" bestFit="1" customWidth="1"/>
    <col min="1800" max="1800" width="12.796875" bestFit="1" customWidth="1"/>
    <col min="1801" max="1801" width="16.09765625" bestFit="1" customWidth="1"/>
    <col min="1802" max="1802" width="12.796875" bestFit="1" customWidth="1"/>
    <col min="1803" max="1803" width="16.09765625" bestFit="1" customWidth="1"/>
    <col min="1804" max="1804" width="12.796875" bestFit="1" customWidth="1"/>
    <col min="1805" max="1805" width="16.09765625" bestFit="1" customWidth="1"/>
    <col min="1806" max="1806" width="12.796875" bestFit="1" customWidth="1"/>
    <col min="1807" max="1807" width="16.09765625" bestFit="1" customWidth="1"/>
    <col min="1808" max="1808" width="12.796875" bestFit="1" customWidth="1"/>
    <col min="1809" max="1809" width="16.09765625" bestFit="1" customWidth="1"/>
    <col min="1810" max="1810" width="12.796875" bestFit="1" customWidth="1"/>
    <col min="1811" max="1811" width="16.09765625" bestFit="1" customWidth="1"/>
    <col min="1812" max="1812" width="12.796875" bestFit="1" customWidth="1"/>
    <col min="1813" max="1813" width="16.09765625" bestFit="1" customWidth="1"/>
    <col min="1814" max="1814" width="12.796875" bestFit="1" customWidth="1"/>
    <col min="1815" max="1815" width="16.09765625" bestFit="1" customWidth="1"/>
    <col min="1816" max="1816" width="12.796875" bestFit="1" customWidth="1"/>
    <col min="1817" max="1817" width="16.09765625" bestFit="1" customWidth="1"/>
    <col min="1818" max="1818" width="12.796875" bestFit="1" customWidth="1"/>
    <col min="1819" max="1819" width="16.09765625" bestFit="1" customWidth="1"/>
    <col min="1820" max="1820" width="12.796875" bestFit="1" customWidth="1"/>
    <col min="1821" max="1821" width="16.09765625" bestFit="1" customWidth="1"/>
    <col min="1822" max="1822" width="12.796875" bestFit="1" customWidth="1"/>
    <col min="1823" max="1823" width="16.09765625" bestFit="1" customWidth="1"/>
    <col min="1824" max="1824" width="12.796875" bestFit="1" customWidth="1"/>
    <col min="1825" max="1825" width="16.09765625" bestFit="1" customWidth="1"/>
    <col min="1826" max="1826" width="12.796875" bestFit="1" customWidth="1"/>
    <col min="1827" max="1827" width="16.09765625" bestFit="1" customWidth="1"/>
    <col min="1828" max="1828" width="12.796875" bestFit="1" customWidth="1"/>
    <col min="1829" max="1829" width="16.09765625" bestFit="1" customWidth="1"/>
    <col min="1830" max="1830" width="12.796875" bestFit="1" customWidth="1"/>
    <col min="1831" max="1831" width="16.09765625" bestFit="1" customWidth="1"/>
    <col min="1832" max="1832" width="12.796875" bestFit="1" customWidth="1"/>
    <col min="1833" max="1833" width="16.09765625" bestFit="1" customWidth="1"/>
    <col min="1834" max="1834" width="12.796875" bestFit="1" customWidth="1"/>
    <col min="1835" max="1835" width="16.09765625" bestFit="1" customWidth="1"/>
    <col min="1836" max="1836" width="12.796875" bestFit="1" customWidth="1"/>
    <col min="1837" max="1837" width="16.09765625" bestFit="1" customWidth="1"/>
    <col min="1838" max="1838" width="12.796875" bestFit="1" customWidth="1"/>
    <col min="1839" max="1839" width="16.09765625" bestFit="1" customWidth="1"/>
    <col min="1840" max="1840" width="12.796875" bestFit="1" customWidth="1"/>
    <col min="1841" max="1841" width="16.09765625" bestFit="1" customWidth="1"/>
    <col min="1842" max="1842" width="12.796875" bestFit="1" customWidth="1"/>
    <col min="1843" max="1843" width="16.09765625" bestFit="1" customWidth="1"/>
    <col min="1844" max="1844" width="12.796875" bestFit="1" customWidth="1"/>
    <col min="1845" max="1845" width="16.09765625" bestFit="1" customWidth="1"/>
    <col min="1846" max="1846" width="12.796875" bestFit="1" customWidth="1"/>
    <col min="1847" max="1847" width="16.09765625" bestFit="1" customWidth="1"/>
    <col min="1848" max="1848" width="12.796875" bestFit="1" customWidth="1"/>
    <col min="1849" max="1849" width="16.09765625" bestFit="1" customWidth="1"/>
    <col min="1850" max="1850" width="12.796875" bestFit="1" customWidth="1"/>
    <col min="1851" max="1851" width="16.09765625" bestFit="1" customWidth="1"/>
    <col min="1852" max="1852" width="12.796875" bestFit="1" customWidth="1"/>
    <col min="1853" max="1853" width="16.09765625" bestFit="1" customWidth="1"/>
    <col min="1854" max="1854" width="12.796875" bestFit="1" customWidth="1"/>
    <col min="1855" max="1855" width="16.09765625" bestFit="1" customWidth="1"/>
    <col min="1856" max="1856" width="12.796875" bestFit="1" customWidth="1"/>
    <col min="1857" max="1857" width="16.09765625" bestFit="1" customWidth="1"/>
    <col min="1858" max="1858" width="12.796875" bestFit="1" customWidth="1"/>
    <col min="1859" max="1859" width="16.09765625" bestFit="1" customWidth="1"/>
    <col min="1860" max="1860" width="12.796875" bestFit="1" customWidth="1"/>
    <col min="1861" max="1861" width="16.09765625" bestFit="1" customWidth="1"/>
    <col min="1862" max="1862" width="12.796875" bestFit="1" customWidth="1"/>
    <col min="1863" max="1863" width="16.09765625" bestFit="1" customWidth="1"/>
    <col min="1864" max="1864" width="12.796875" bestFit="1" customWidth="1"/>
    <col min="1865" max="1865" width="16.09765625" bestFit="1" customWidth="1"/>
    <col min="1866" max="1866" width="12.796875" bestFit="1" customWidth="1"/>
    <col min="1867" max="1867" width="16.09765625" bestFit="1" customWidth="1"/>
    <col min="1868" max="1868" width="12.796875" bestFit="1" customWidth="1"/>
    <col min="1869" max="1869" width="16.09765625" bestFit="1" customWidth="1"/>
    <col min="1870" max="1870" width="12.796875" bestFit="1" customWidth="1"/>
    <col min="1871" max="1871" width="16.09765625" bestFit="1" customWidth="1"/>
    <col min="1872" max="1872" width="12.796875" bestFit="1" customWidth="1"/>
    <col min="1873" max="1873" width="16.09765625" bestFit="1" customWidth="1"/>
    <col min="1874" max="1874" width="12.796875" bestFit="1" customWidth="1"/>
    <col min="1875" max="1875" width="16.09765625" bestFit="1" customWidth="1"/>
    <col min="1876" max="1876" width="12.796875" bestFit="1" customWidth="1"/>
    <col min="1877" max="1877" width="16.09765625" bestFit="1" customWidth="1"/>
    <col min="1878" max="1878" width="12.796875" bestFit="1" customWidth="1"/>
    <col min="1879" max="1879" width="16.09765625" bestFit="1" customWidth="1"/>
    <col min="1880" max="1880" width="12.796875" bestFit="1" customWidth="1"/>
    <col min="1881" max="1881" width="16.09765625" bestFit="1" customWidth="1"/>
    <col min="1882" max="1882" width="12.796875" bestFit="1" customWidth="1"/>
    <col min="1883" max="1883" width="16.09765625" bestFit="1" customWidth="1"/>
    <col min="1884" max="1884" width="12.796875" bestFit="1" customWidth="1"/>
    <col min="1885" max="1885" width="16.09765625" bestFit="1" customWidth="1"/>
    <col min="1886" max="1886" width="12.796875" bestFit="1" customWidth="1"/>
    <col min="1887" max="1887" width="16.09765625" bestFit="1" customWidth="1"/>
    <col min="1888" max="1888" width="12.796875" bestFit="1" customWidth="1"/>
    <col min="1889" max="1889" width="16.09765625" bestFit="1" customWidth="1"/>
    <col min="1890" max="1890" width="12.796875" bestFit="1" customWidth="1"/>
    <col min="1891" max="1891" width="16.09765625" bestFit="1" customWidth="1"/>
    <col min="1892" max="1892" width="12.796875" bestFit="1" customWidth="1"/>
    <col min="1893" max="1893" width="16.09765625" bestFit="1" customWidth="1"/>
    <col min="1894" max="1894" width="12.796875" bestFit="1" customWidth="1"/>
    <col min="1895" max="1895" width="16.09765625" bestFit="1" customWidth="1"/>
    <col min="1896" max="1896" width="12.796875" bestFit="1" customWidth="1"/>
    <col min="1897" max="1897" width="16.09765625" bestFit="1" customWidth="1"/>
    <col min="1898" max="1898" width="12.796875" bestFit="1" customWidth="1"/>
    <col min="1899" max="1899" width="16.09765625" bestFit="1" customWidth="1"/>
    <col min="1900" max="1900" width="12.796875" bestFit="1" customWidth="1"/>
    <col min="1901" max="1901" width="16.09765625" bestFit="1" customWidth="1"/>
    <col min="1902" max="1902" width="12.796875" bestFit="1" customWidth="1"/>
    <col min="1903" max="1903" width="16.09765625" bestFit="1" customWidth="1"/>
    <col min="1904" max="1904" width="12.796875" bestFit="1" customWidth="1"/>
    <col min="1905" max="1905" width="16.09765625" bestFit="1" customWidth="1"/>
    <col min="1906" max="1906" width="12.796875" bestFit="1" customWidth="1"/>
    <col min="1907" max="1907" width="16.09765625" bestFit="1" customWidth="1"/>
    <col min="1908" max="1908" width="12.796875" bestFit="1" customWidth="1"/>
    <col min="1909" max="1909" width="16.09765625" bestFit="1" customWidth="1"/>
    <col min="1910" max="1910" width="12.796875" bestFit="1" customWidth="1"/>
    <col min="1911" max="1911" width="16.09765625" bestFit="1" customWidth="1"/>
    <col min="1912" max="1912" width="12.796875" bestFit="1" customWidth="1"/>
    <col min="1913" max="1913" width="16.09765625" bestFit="1" customWidth="1"/>
    <col min="1914" max="1914" width="12.796875" bestFit="1" customWidth="1"/>
    <col min="1915" max="1915" width="16.09765625" bestFit="1" customWidth="1"/>
    <col min="1916" max="1916" width="12.796875" bestFit="1" customWidth="1"/>
    <col min="1917" max="1917" width="16.09765625" bestFit="1" customWidth="1"/>
    <col min="1918" max="1918" width="12.796875" bestFit="1" customWidth="1"/>
    <col min="1919" max="1919" width="16.09765625" bestFit="1" customWidth="1"/>
    <col min="1920" max="1920" width="12.796875" bestFit="1" customWidth="1"/>
    <col min="1921" max="1921" width="16.09765625" bestFit="1" customWidth="1"/>
    <col min="1922" max="1922" width="12.796875" bestFit="1" customWidth="1"/>
    <col min="1923" max="1923" width="16.09765625" bestFit="1" customWidth="1"/>
    <col min="1924" max="1924" width="12.796875" bestFit="1" customWidth="1"/>
    <col min="1925" max="1925" width="16.09765625" bestFit="1" customWidth="1"/>
    <col min="1926" max="1926" width="12.796875" bestFit="1" customWidth="1"/>
    <col min="1927" max="1927" width="16.09765625" bestFit="1" customWidth="1"/>
    <col min="1928" max="1928" width="12.796875" bestFit="1" customWidth="1"/>
    <col min="1929" max="1929" width="16.09765625" bestFit="1" customWidth="1"/>
    <col min="1930" max="1930" width="12.796875" bestFit="1" customWidth="1"/>
    <col min="1931" max="1931" width="16.09765625" bestFit="1" customWidth="1"/>
    <col min="1932" max="1932" width="12.796875" bestFit="1" customWidth="1"/>
    <col min="1933" max="1933" width="16.09765625" bestFit="1" customWidth="1"/>
    <col min="1934" max="1934" width="12.796875" bestFit="1" customWidth="1"/>
    <col min="1935" max="1935" width="16.09765625" bestFit="1" customWidth="1"/>
    <col min="1936" max="1936" width="12.796875" bestFit="1" customWidth="1"/>
    <col min="1937" max="1937" width="16.09765625" bestFit="1" customWidth="1"/>
    <col min="1938" max="1938" width="12.796875" bestFit="1" customWidth="1"/>
    <col min="1939" max="1939" width="16.09765625" bestFit="1" customWidth="1"/>
    <col min="1940" max="1940" width="12.796875" bestFit="1" customWidth="1"/>
    <col min="1941" max="1941" width="16.09765625" bestFit="1" customWidth="1"/>
    <col min="1942" max="1942" width="12.796875" bestFit="1" customWidth="1"/>
    <col min="1943" max="1943" width="16.09765625" bestFit="1" customWidth="1"/>
    <col min="1944" max="1944" width="12.796875" bestFit="1" customWidth="1"/>
    <col min="1945" max="1945" width="16.09765625" bestFit="1" customWidth="1"/>
    <col min="1946" max="1946" width="12.796875" bestFit="1" customWidth="1"/>
    <col min="1947" max="1947" width="16.09765625" bestFit="1" customWidth="1"/>
    <col min="1948" max="1948" width="12.796875" bestFit="1" customWidth="1"/>
    <col min="1949" max="1949" width="16.09765625" bestFit="1" customWidth="1"/>
    <col min="1950" max="1950" width="12.796875" bestFit="1" customWidth="1"/>
    <col min="1951" max="1951" width="16.09765625" bestFit="1" customWidth="1"/>
    <col min="1952" max="1952" width="12.796875" bestFit="1" customWidth="1"/>
    <col min="1953" max="1953" width="16.09765625" bestFit="1" customWidth="1"/>
    <col min="1954" max="1954" width="12.796875" bestFit="1" customWidth="1"/>
    <col min="1955" max="1955" width="16.09765625" bestFit="1" customWidth="1"/>
    <col min="1956" max="1956" width="12.796875" bestFit="1" customWidth="1"/>
    <col min="1957" max="1957" width="16.09765625" bestFit="1" customWidth="1"/>
    <col min="1958" max="1958" width="12.796875" bestFit="1" customWidth="1"/>
    <col min="1959" max="1959" width="16.09765625" bestFit="1" customWidth="1"/>
    <col min="1960" max="1960" width="12.796875" bestFit="1" customWidth="1"/>
    <col min="1961" max="1961" width="16.09765625" bestFit="1" customWidth="1"/>
    <col min="1962" max="1962" width="12.796875" bestFit="1" customWidth="1"/>
    <col min="1963" max="1963" width="16.09765625" bestFit="1" customWidth="1"/>
    <col min="1964" max="1964" width="12.796875" bestFit="1" customWidth="1"/>
    <col min="1965" max="1965" width="16.09765625" bestFit="1" customWidth="1"/>
    <col min="1966" max="1966" width="12.796875" bestFit="1" customWidth="1"/>
    <col min="1967" max="1967" width="16.09765625" bestFit="1" customWidth="1"/>
    <col min="1968" max="1968" width="12.796875" bestFit="1" customWidth="1"/>
    <col min="1969" max="1969" width="16.09765625" bestFit="1" customWidth="1"/>
    <col min="1970" max="1970" width="12.796875" bestFit="1" customWidth="1"/>
    <col min="1971" max="1971" width="16.09765625" bestFit="1" customWidth="1"/>
    <col min="1972" max="1972" width="12.796875" bestFit="1" customWidth="1"/>
    <col min="1973" max="1973" width="16.09765625" bestFit="1" customWidth="1"/>
    <col min="1974" max="1974" width="12.796875" bestFit="1" customWidth="1"/>
    <col min="1975" max="1975" width="16.09765625" bestFit="1" customWidth="1"/>
    <col min="1976" max="1976" width="12.796875" bestFit="1" customWidth="1"/>
    <col min="1977" max="1977" width="16.09765625" bestFit="1" customWidth="1"/>
    <col min="1978" max="1978" width="12.796875" bestFit="1" customWidth="1"/>
    <col min="1979" max="1979" width="16.09765625" bestFit="1" customWidth="1"/>
    <col min="1980" max="1980" width="12.796875" bestFit="1" customWidth="1"/>
    <col min="1981" max="1981" width="16.09765625" bestFit="1" customWidth="1"/>
    <col min="1982" max="1982" width="12.796875" bestFit="1" customWidth="1"/>
    <col min="1983" max="1983" width="16.09765625" bestFit="1" customWidth="1"/>
    <col min="1984" max="1984" width="12.796875" bestFit="1" customWidth="1"/>
    <col min="1985" max="1985" width="16.09765625" bestFit="1" customWidth="1"/>
    <col min="1986" max="1986" width="12.796875" bestFit="1" customWidth="1"/>
    <col min="1987" max="1987" width="16.09765625" bestFit="1" customWidth="1"/>
    <col min="1988" max="1988" width="12.796875" bestFit="1" customWidth="1"/>
    <col min="1989" max="1989" width="16.09765625" bestFit="1" customWidth="1"/>
    <col min="1990" max="1990" width="12.796875" bestFit="1" customWidth="1"/>
    <col min="1991" max="1991" width="16.09765625" bestFit="1" customWidth="1"/>
    <col min="1992" max="1992" width="12.796875" bestFit="1" customWidth="1"/>
    <col min="1993" max="1993" width="16.09765625" bestFit="1" customWidth="1"/>
    <col min="1994" max="1994" width="12.796875" bestFit="1" customWidth="1"/>
    <col min="1995" max="1995" width="16.09765625" bestFit="1" customWidth="1"/>
    <col min="1996" max="1996" width="12.796875" bestFit="1" customWidth="1"/>
    <col min="1997" max="1997" width="16.09765625" bestFit="1" customWidth="1"/>
    <col min="1998" max="1998" width="12.796875" bestFit="1" customWidth="1"/>
    <col min="1999" max="1999" width="16.09765625" bestFit="1" customWidth="1"/>
    <col min="2000" max="2000" width="12.796875" bestFit="1" customWidth="1"/>
    <col min="2001" max="2001" width="16.09765625" bestFit="1" customWidth="1"/>
    <col min="2002" max="2002" width="12.796875" bestFit="1" customWidth="1"/>
    <col min="2003" max="2003" width="16.09765625" bestFit="1" customWidth="1"/>
    <col min="2004" max="2004" width="12.796875" bestFit="1" customWidth="1"/>
    <col min="2005" max="2005" width="16.09765625" bestFit="1" customWidth="1"/>
    <col min="2006" max="2006" width="12.796875" bestFit="1" customWidth="1"/>
    <col min="2007" max="2007" width="16.09765625" bestFit="1" customWidth="1"/>
    <col min="2008" max="2008" width="12.796875" bestFit="1" customWidth="1"/>
    <col min="2009" max="2009" width="16.09765625" bestFit="1" customWidth="1"/>
    <col min="2010" max="2010" width="12.796875" bestFit="1" customWidth="1"/>
    <col min="2011" max="2011" width="16.09765625" bestFit="1" customWidth="1"/>
    <col min="2012" max="2012" width="12.796875" bestFit="1" customWidth="1"/>
    <col min="2013" max="2013" width="16.09765625" bestFit="1" customWidth="1"/>
    <col min="2014" max="2014" width="12.796875" bestFit="1" customWidth="1"/>
    <col min="2015" max="2015" width="16.09765625" bestFit="1" customWidth="1"/>
    <col min="2016" max="2016" width="12.796875" bestFit="1" customWidth="1"/>
    <col min="2017" max="2017" width="16.09765625" bestFit="1" customWidth="1"/>
    <col min="2018" max="2018" width="12.796875" bestFit="1" customWidth="1"/>
    <col min="2019" max="2019" width="16.09765625" bestFit="1" customWidth="1"/>
    <col min="2020" max="2020" width="12.796875" bestFit="1" customWidth="1"/>
    <col min="2021" max="2021" width="16.09765625" bestFit="1" customWidth="1"/>
    <col min="2022" max="2022" width="12.796875" bestFit="1" customWidth="1"/>
    <col min="2023" max="2023" width="16.09765625" bestFit="1" customWidth="1"/>
    <col min="2024" max="2024" width="12.796875" bestFit="1" customWidth="1"/>
    <col min="2025" max="2025" width="16.09765625" bestFit="1" customWidth="1"/>
    <col min="2026" max="2026" width="12.796875" bestFit="1" customWidth="1"/>
    <col min="2027" max="2027" width="16.09765625" bestFit="1" customWidth="1"/>
    <col min="2028" max="2028" width="12.796875" bestFit="1" customWidth="1"/>
    <col min="2029" max="2029" width="16.09765625" bestFit="1" customWidth="1"/>
    <col min="2030" max="2030" width="12.796875" bestFit="1" customWidth="1"/>
    <col min="2031" max="2031" width="16.09765625" bestFit="1" customWidth="1"/>
    <col min="2032" max="2032" width="12.796875" bestFit="1" customWidth="1"/>
    <col min="2033" max="2033" width="16.09765625" bestFit="1" customWidth="1"/>
    <col min="2034" max="2034" width="12.796875" bestFit="1" customWidth="1"/>
    <col min="2035" max="2035" width="16.09765625" bestFit="1" customWidth="1"/>
    <col min="2036" max="2036" width="12.796875" bestFit="1" customWidth="1"/>
    <col min="2037" max="2037" width="16.09765625" bestFit="1" customWidth="1"/>
    <col min="2038" max="2038" width="12.796875" bestFit="1" customWidth="1"/>
    <col min="2039" max="2039" width="16.09765625" bestFit="1" customWidth="1"/>
    <col min="2040" max="2040" width="12.796875" bestFit="1" customWidth="1"/>
    <col min="2041" max="2041" width="16.09765625" bestFit="1" customWidth="1"/>
    <col min="2042" max="2042" width="12.796875" bestFit="1" customWidth="1"/>
    <col min="2043" max="2043" width="16.09765625" bestFit="1" customWidth="1"/>
    <col min="2044" max="2044" width="12.796875" bestFit="1" customWidth="1"/>
    <col min="2045" max="2045" width="16.09765625" bestFit="1" customWidth="1"/>
    <col min="2046" max="2046" width="12.796875" bestFit="1" customWidth="1"/>
    <col min="2047" max="2047" width="16.09765625" bestFit="1" customWidth="1"/>
    <col min="2048" max="2048" width="12.796875" bestFit="1" customWidth="1"/>
    <col min="2049" max="2049" width="16.09765625" bestFit="1" customWidth="1"/>
    <col min="2050" max="2050" width="12.796875" bestFit="1" customWidth="1"/>
    <col min="2051" max="2051" width="16.09765625" bestFit="1" customWidth="1"/>
    <col min="2052" max="2052" width="12.796875" bestFit="1" customWidth="1"/>
    <col min="2053" max="2053" width="16.09765625" bestFit="1" customWidth="1"/>
    <col min="2054" max="2054" width="12.796875" bestFit="1" customWidth="1"/>
    <col min="2055" max="2055" width="16.09765625" bestFit="1" customWidth="1"/>
    <col min="2056" max="2056" width="12.796875" bestFit="1" customWidth="1"/>
    <col min="2057" max="2057" width="16.09765625" bestFit="1" customWidth="1"/>
    <col min="2058" max="2058" width="12.796875" bestFit="1" customWidth="1"/>
    <col min="2059" max="2059" width="16.09765625" bestFit="1" customWidth="1"/>
    <col min="2060" max="2060" width="12.796875" bestFit="1" customWidth="1"/>
    <col min="2061" max="2061" width="16.09765625" bestFit="1" customWidth="1"/>
    <col min="2062" max="2062" width="12.796875" bestFit="1" customWidth="1"/>
    <col min="2063" max="2063" width="16.09765625" bestFit="1" customWidth="1"/>
    <col min="2064" max="2064" width="12.796875" bestFit="1" customWidth="1"/>
    <col min="2065" max="2065" width="16.09765625" bestFit="1" customWidth="1"/>
    <col min="2066" max="2066" width="12.796875" bestFit="1" customWidth="1"/>
    <col min="2067" max="2067" width="16.09765625" bestFit="1" customWidth="1"/>
    <col min="2068" max="2068" width="12.796875" bestFit="1" customWidth="1"/>
    <col min="2069" max="2069" width="16.09765625" bestFit="1" customWidth="1"/>
    <col min="2070" max="2070" width="12.796875" bestFit="1" customWidth="1"/>
    <col min="2071" max="2071" width="16.09765625" bestFit="1" customWidth="1"/>
    <col min="2072" max="2072" width="12.796875" bestFit="1" customWidth="1"/>
    <col min="2073" max="2073" width="16.09765625" bestFit="1" customWidth="1"/>
    <col min="2074" max="2074" width="12.796875" bestFit="1" customWidth="1"/>
    <col min="2075" max="2075" width="16.09765625" bestFit="1" customWidth="1"/>
    <col min="2076" max="2076" width="12.796875" bestFit="1" customWidth="1"/>
    <col min="2077" max="2077" width="16.09765625" bestFit="1" customWidth="1"/>
    <col min="2078" max="2078" width="12.796875" bestFit="1" customWidth="1"/>
    <col min="2079" max="2079" width="16.09765625" bestFit="1" customWidth="1"/>
    <col min="2080" max="2080" width="12.796875" bestFit="1" customWidth="1"/>
    <col min="2081" max="2081" width="16.09765625" bestFit="1" customWidth="1"/>
    <col min="2082" max="2082" width="12.796875" bestFit="1" customWidth="1"/>
    <col min="2083" max="2083" width="16.09765625" bestFit="1" customWidth="1"/>
    <col min="2084" max="2084" width="11.296875" bestFit="1" customWidth="1"/>
  </cols>
  <sheetData>
    <row r="2" spans="2:22" x14ac:dyDescent="0.25">
      <c r="B2" s="32" t="s">
        <v>85</v>
      </c>
      <c r="E2" s="8" t="s">
        <v>39</v>
      </c>
      <c r="F2" t="s">
        <v>82</v>
      </c>
      <c r="H2" s="8" t="s">
        <v>39</v>
      </c>
      <c r="I2" t="s">
        <v>82</v>
      </c>
    </row>
    <row r="3" spans="2:22" x14ac:dyDescent="0.25">
      <c r="B3" t="s">
        <v>82</v>
      </c>
      <c r="E3" s="9" t="s">
        <v>9</v>
      </c>
      <c r="F3" s="31">
        <v>892499.7</v>
      </c>
      <c r="H3" s="9" t="s">
        <v>10</v>
      </c>
      <c r="I3" s="31">
        <v>254002</v>
      </c>
      <c r="K3" s="8" t="s">
        <v>82</v>
      </c>
      <c r="L3" s="8" t="s">
        <v>91</v>
      </c>
    </row>
    <row r="4" spans="2:22" x14ac:dyDescent="0.25">
      <c r="B4" s="31">
        <v>957434.7</v>
      </c>
      <c r="E4" s="9" t="s">
        <v>13</v>
      </c>
      <c r="F4" s="31">
        <v>64935</v>
      </c>
      <c r="H4" s="9" t="s">
        <v>12</v>
      </c>
      <c r="I4" s="31">
        <v>166516.70000000001</v>
      </c>
      <c r="K4" s="8" t="s">
        <v>39</v>
      </c>
      <c r="L4" t="s">
        <v>24</v>
      </c>
      <c r="M4" t="s">
        <v>12</v>
      </c>
      <c r="N4" t="s">
        <v>15</v>
      </c>
      <c r="O4" t="s">
        <v>10</v>
      </c>
      <c r="P4" t="s">
        <v>14</v>
      </c>
      <c r="Q4" t="s">
        <v>19</v>
      </c>
      <c r="R4" t="s">
        <v>21</v>
      </c>
      <c r="S4" t="s">
        <v>16</v>
      </c>
      <c r="T4" t="s">
        <v>18</v>
      </c>
      <c r="U4" t="s">
        <v>22</v>
      </c>
      <c r="V4" t="s">
        <v>40</v>
      </c>
    </row>
    <row r="5" spans="2:22" x14ac:dyDescent="0.25">
      <c r="E5" s="9" t="s">
        <v>40</v>
      </c>
      <c r="F5" s="31">
        <v>957434.7</v>
      </c>
      <c r="H5" s="9" t="s">
        <v>18</v>
      </c>
      <c r="I5" s="31">
        <v>121898</v>
      </c>
      <c r="K5" s="9" t="s">
        <v>66</v>
      </c>
      <c r="L5" s="31">
        <v>1200</v>
      </c>
      <c r="M5" s="31">
        <v>9945</v>
      </c>
      <c r="N5" s="31">
        <v>3000</v>
      </c>
      <c r="O5" s="31">
        <v>35200</v>
      </c>
      <c r="P5" s="31">
        <v>9000</v>
      </c>
      <c r="Q5" s="31">
        <v>4250</v>
      </c>
      <c r="R5" s="31">
        <v>3600</v>
      </c>
      <c r="S5" s="31">
        <v>3200</v>
      </c>
      <c r="T5" s="31">
        <v>14400</v>
      </c>
      <c r="U5" s="31">
        <v>1900</v>
      </c>
      <c r="V5" s="31">
        <v>85695</v>
      </c>
    </row>
    <row r="6" spans="2:22" x14ac:dyDescent="0.25">
      <c r="B6" s="32" t="s">
        <v>87</v>
      </c>
      <c r="C6" s="32"/>
      <c r="H6" s="9" t="s">
        <v>14</v>
      </c>
      <c r="I6" s="31">
        <v>116202</v>
      </c>
      <c r="K6" s="9" t="s">
        <v>67</v>
      </c>
      <c r="L6" s="31"/>
      <c r="M6" s="31">
        <v>11475</v>
      </c>
      <c r="N6" s="31">
        <v>11000</v>
      </c>
      <c r="O6" s="31">
        <v>17502</v>
      </c>
      <c r="P6" s="31">
        <v>8202</v>
      </c>
      <c r="Q6" s="31">
        <v>4406</v>
      </c>
      <c r="R6" s="31">
        <v>12000</v>
      </c>
      <c r="S6" s="31">
        <v>9600</v>
      </c>
      <c r="T6" s="31">
        <v>7200</v>
      </c>
      <c r="U6" s="31">
        <v>1000</v>
      </c>
      <c r="V6" s="31">
        <v>82385</v>
      </c>
    </row>
    <row r="7" spans="2:22" x14ac:dyDescent="0.25">
      <c r="B7" s="8" t="s">
        <v>39</v>
      </c>
      <c r="C7" t="s">
        <v>82</v>
      </c>
      <c r="E7" t="s">
        <v>90</v>
      </c>
      <c r="H7" s="9" t="s">
        <v>21</v>
      </c>
      <c r="I7" s="31">
        <v>58606</v>
      </c>
      <c r="K7" s="9" t="s">
        <v>68</v>
      </c>
      <c r="L7" s="31">
        <v>1200</v>
      </c>
      <c r="M7" s="31">
        <v>7650</v>
      </c>
      <c r="N7" s="31">
        <v>2000</v>
      </c>
      <c r="O7" s="31">
        <v>31900</v>
      </c>
      <c r="P7" s="31">
        <v>13500</v>
      </c>
      <c r="Q7" s="31">
        <v>1700</v>
      </c>
      <c r="R7" s="31">
        <v>9600</v>
      </c>
      <c r="S7" s="31">
        <v>5600</v>
      </c>
      <c r="T7" s="31">
        <v>15000</v>
      </c>
      <c r="U7" s="31">
        <v>4700</v>
      </c>
      <c r="V7" s="31">
        <v>92850</v>
      </c>
    </row>
    <row r="8" spans="2:22" x14ac:dyDescent="0.25">
      <c r="B8" s="9" t="s">
        <v>24</v>
      </c>
      <c r="C8" s="31">
        <v>31800</v>
      </c>
      <c r="E8" s="31">
        <v>924.16476833976833</v>
      </c>
      <c r="H8" s="9" t="s">
        <v>40</v>
      </c>
      <c r="I8" s="31">
        <v>717224.7</v>
      </c>
      <c r="K8" s="9" t="s">
        <v>69</v>
      </c>
      <c r="L8" s="31">
        <v>1200</v>
      </c>
      <c r="M8" s="31">
        <v>2295</v>
      </c>
      <c r="N8" s="31">
        <v>5000</v>
      </c>
      <c r="O8" s="31">
        <v>20900</v>
      </c>
      <c r="P8" s="31">
        <v>9900</v>
      </c>
      <c r="Q8" s="31">
        <v>7650</v>
      </c>
      <c r="R8" s="31">
        <v>1200</v>
      </c>
      <c r="S8" s="31">
        <v>4000</v>
      </c>
      <c r="T8" s="31">
        <v>16200</v>
      </c>
      <c r="U8" s="31">
        <v>5900</v>
      </c>
      <c r="V8" s="31">
        <v>74245</v>
      </c>
    </row>
    <row r="9" spans="2:22" x14ac:dyDescent="0.25">
      <c r="B9" s="9" t="s">
        <v>22</v>
      </c>
      <c r="C9" s="31">
        <v>35800</v>
      </c>
      <c r="K9" s="9" t="s">
        <v>70</v>
      </c>
      <c r="L9" s="31">
        <v>5100</v>
      </c>
      <c r="M9" s="31">
        <v>6120</v>
      </c>
      <c r="N9" s="31">
        <v>7000</v>
      </c>
      <c r="O9" s="31">
        <v>20900</v>
      </c>
      <c r="P9" s="31">
        <v>4500</v>
      </c>
      <c r="Q9" s="31">
        <v>7650</v>
      </c>
      <c r="R9" s="31">
        <v>10800</v>
      </c>
      <c r="S9" s="31">
        <v>7200</v>
      </c>
      <c r="T9" s="31">
        <v>9600</v>
      </c>
      <c r="U9" s="31">
        <v>3400</v>
      </c>
      <c r="V9" s="31">
        <v>82270</v>
      </c>
    </row>
    <row r="10" spans="2:22" x14ac:dyDescent="0.25">
      <c r="B10" s="9" t="s">
        <v>19</v>
      </c>
      <c r="C10" s="31">
        <v>48606</v>
      </c>
      <c r="E10" s="8" t="s">
        <v>39</v>
      </c>
      <c r="F10" t="s">
        <v>82</v>
      </c>
      <c r="H10" s="8" t="s">
        <v>39</v>
      </c>
      <c r="I10" t="s">
        <v>41</v>
      </c>
      <c r="K10" s="9" t="s">
        <v>71</v>
      </c>
      <c r="L10" s="31">
        <v>5100</v>
      </c>
      <c r="M10" s="31">
        <v>11220</v>
      </c>
      <c r="N10" s="31">
        <v>3000</v>
      </c>
      <c r="O10" s="31">
        <v>31900</v>
      </c>
      <c r="P10" s="31">
        <v>9900</v>
      </c>
      <c r="Q10" s="31">
        <v>1700</v>
      </c>
      <c r="R10" s="31">
        <v>7200</v>
      </c>
      <c r="S10" s="31">
        <v>4000</v>
      </c>
      <c r="T10" s="31">
        <v>9600</v>
      </c>
      <c r="U10" s="31">
        <v>3300</v>
      </c>
      <c r="V10" s="31">
        <v>86920</v>
      </c>
    </row>
    <row r="11" spans="2:22" x14ac:dyDescent="0.25">
      <c r="B11" s="9" t="s">
        <v>16</v>
      </c>
      <c r="C11" s="31">
        <v>56000</v>
      </c>
      <c r="E11" s="9" t="s">
        <v>23</v>
      </c>
      <c r="F11" s="31">
        <v>67600</v>
      </c>
      <c r="H11" s="9" t="s">
        <v>10</v>
      </c>
      <c r="I11" s="31">
        <v>231</v>
      </c>
      <c r="K11" s="9" t="s">
        <v>72</v>
      </c>
      <c r="L11" s="31">
        <v>1200</v>
      </c>
      <c r="M11" s="31">
        <v>28050</v>
      </c>
      <c r="N11" s="31">
        <v>3000</v>
      </c>
      <c r="O11" s="31">
        <v>11000</v>
      </c>
      <c r="P11" s="31">
        <v>16200</v>
      </c>
      <c r="Q11" s="31">
        <v>3400</v>
      </c>
      <c r="R11" s="31">
        <v>4800</v>
      </c>
      <c r="S11" s="31">
        <v>3200</v>
      </c>
      <c r="T11" s="31">
        <v>6000</v>
      </c>
      <c r="U11" s="31">
        <v>6000</v>
      </c>
      <c r="V11" s="31">
        <v>82850</v>
      </c>
    </row>
    <row r="12" spans="2:22" x14ac:dyDescent="0.25">
      <c r="B12" s="9" t="s">
        <v>21</v>
      </c>
      <c r="C12" s="31">
        <v>58606</v>
      </c>
      <c r="E12" s="9" t="s">
        <v>11</v>
      </c>
      <c r="F12" s="31">
        <v>604724.69999999995</v>
      </c>
      <c r="H12" s="9" t="s">
        <v>12</v>
      </c>
      <c r="I12" s="31">
        <v>204</v>
      </c>
      <c r="K12" s="9" t="s">
        <v>73</v>
      </c>
      <c r="L12" s="31">
        <v>4800</v>
      </c>
      <c r="M12" s="31">
        <v>17000</v>
      </c>
      <c r="N12" s="31">
        <v>10000</v>
      </c>
      <c r="O12" s="31">
        <v>16500</v>
      </c>
      <c r="P12" s="31">
        <v>5400</v>
      </c>
      <c r="Q12" s="31">
        <v>4250</v>
      </c>
      <c r="R12" s="31">
        <v>1200</v>
      </c>
      <c r="S12" s="31">
        <v>7200</v>
      </c>
      <c r="T12" s="31">
        <v>10800</v>
      </c>
      <c r="U12" s="31">
        <v>3000</v>
      </c>
      <c r="V12" s="31">
        <v>80150</v>
      </c>
    </row>
    <row r="13" spans="2:22" x14ac:dyDescent="0.25">
      <c r="B13" s="9" t="s">
        <v>15</v>
      </c>
      <c r="C13" s="31">
        <v>68004</v>
      </c>
      <c r="E13" s="9" t="s">
        <v>20</v>
      </c>
      <c r="F13" s="31">
        <v>107212</v>
      </c>
      <c r="H13" s="9" t="s">
        <v>18</v>
      </c>
      <c r="I13" s="31">
        <v>203</v>
      </c>
      <c r="K13" s="9" t="s">
        <v>74</v>
      </c>
      <c r="L13" s="31">
        <v>5400</v>
      </c>
      <c r="M13" s="31">
        <v>17765</v>
      </c>
      <c r="N13" s="31">
        <v>7000</v>
      </c>
      <c r="O13" s="31">
        <v>20900</v>
      </c>
      <c r="P13" s="31">
        <v>12600</v>
      </c>
      <c r="Q13" s="31">
        <v>4250</v>
      </c>
      <c r="R13" s="31">
        <v>1200</v>
      </c>
      <c r="S13" s="31">
        <v>3200</v>
      </c>
      <c r="T13" s="31">
        <v>12600</v>
      </c>
      <c r="U13" s="31"/>
      <c r="V13" s="31">
        <v>84915</v>
      </c>
    </row>
    <row r="14" spans="2:22" x14ac:dyDescent="0.25">
      <c r="B14" s="9" t="s">
        <v>14</v>
      </c>
      <c r="C14" s="31">
        <v>116202</v>
      </c>
      <c r="E14" s="9" t="s">
        <v>17</v>
      </c>
      <c r="F14" s="31">
        <v>177898</v>
      </c>
      <c r="H14" s="9" t="s">
        <v>14</v>
      </c>
      <c r="I14" s="31">
        <v>129</v>
      </c>
      <c r="K14" s="9" t="s">
        <v>75</v>
      </c>
      <c r="L14" s="31">
        <v>1800</v>
      </c>
      <c r="M14" s="31">
        <v>32555</v>
      </c>
      <c r="N14" s="31">
        <v>2000</v>
      </c>
      <c r="O14" s="31">
        <v>15400</v>
      </c>
      <c r="P14" s="31">
        <v>12600</v>
      </c>
      <c r="Q14" s="31">
        <v>5100</v>
      </c>
      <c r="R14" s="31">
        <v>2400</v>
      </c>
      <c r="S14" s="31">
        <v>2400</v>
      </c>
      <c r="T14" s="31">
        <v>6600</v>
      </c>
      <c r="U14" s="31">
        <v>3800</v>
      </c>
      <c r="V14" s="31">
        <v>84655</v>
      </c>
    </row>
    <row r="15" spans="2:22" x14ac:dyDescent="0.25">
      <c r="B15" s="9" t="s">
        <v>18</v>
      </c>
      <c r="C15" s="31">
        <v>121898</v>
      </c>
      <c r="E15" s="9" t="s">
        <v>40</v>
      </c>
      <c r="F15" s="31">
        <v>957434.7</v>
      </c>
      <c r="H15" s="9" t="s">
        <v>16</v>
      </c>
      <c r="I15" s="31">
        <v>70</v>
      </c>
      <c r="K15" s="9" t="s">
        <v>76</v>
      </c>
      <c r="L15" s="31">
        <v>1800</v>
      </c>
      <c r="M15" s="31">
        <v>16065</v>
      </c>
      <c r="N15" s="31">
        <v>9000</v>
      </c>
      <c r="O15" s="31">
        <v>12100</v>
      </c>
      <c r="P15" s="31">
        <v>3600</v>
      </c>
      <c r="Q15" s="31">
        <v>850</v>
      </c>
      <c r="R15" s="31">
        <v>2400</v>
      </c>
      <c r="S15" s="31">
        <v>4800</v>
      </c>
      <c r="T15" s="31">
        <v>5400</v>
      </c>
      <c r="U15" s="31">
        <v>1500</v>
      </c>
      <c r="V15" s="31">
        <v>57515</v>
      </c>
    </row>
    <row r="16" spans="2:22" x14ac:dyDescent="0.25">
      <c r="B16" s="9" t="s">
        <v>12</v>
      </c>
      <c r="C16" s="31">
        <v>166516.70000000001</v>
      </c>
      <c r="H16" s="9" t="s">
        <v>40</v>
      </c>
      <c r="I16" s="31">
        <v>837</v>
      </c>
      <c r="K16" s="9" t="s">
        <v>77</v>
      </c>
      <c r="L16" s="31">
        <v>3000</v>
      </c>
      <c r="M16" s="31">
        <v>6376.7</v>
      </c>
      <c r="N16" s="31">
        <v>6004</v>
      </c>
      <c r="O16" s="31">
        <v>19800</v>
      </c>
      <c r="P16" s="31">
        <v>10800</v>
      </c>
      <c r="Q16" s="31">
        <v>3400</v>
      </c>
      <c r="R16" s="31">
        <v>2206</v>
      </c>
      <c r="S16" s="31">
        <v>1600</v>
      </c>
      <c r="T16" s="31">
        <v>8498</v>
      </c>
      <c r="U16" s="31">
        <v>1300</v>
      </c>
      <c r="V16" s="31">
        <v>62984.7</v>
      </c>
    </row>
    <row r="17" spans="2:22" x14ac:dyDescent="0.25">
      <c r="B17" s="9" t="s">
        <v>10</v>
      </c>
      <c r="C17" s="31">
        <v>254002</v>
      </c>
      <c r="E17" s="8" t="s">
        <v>39</v>
      </c>
      <c r="F17" t="s">
        <v>82</v>
      </c>
      <c r="K17" s="9" t="s">
        <v>40</v>
      </c>
      <c r="L17" s="31">
        <v>31800</v>
      </c>
      <c r="M17" s="31">
        <v>166516.70000000001</v>
      </c>
      <c r="N17" s="31">
        <v>68004</v>
      </c>
      <c r="O17" s="31">
        <v>254002</v>
      </c>
      <c r="P17" s="31">
        <v>116202</v>
      </c>
      <c r="Q17" s="31">
        <v>48606</v>
      </c>
      <c r="R17" s="31">
        <v>58606</v>
      </c>
      <c r="S17" s="31">
        <v>56000</v>
      </c>
      <c r="T17" s="31">
        <v>121898</v>
      </c>
      <c r="U17" s="31">
        <v>35800</v>
      </c>
      <c r="V17" s="31">
        <v>957434.7</v>
      </c>
    </row>
    <row r="18" spans="2:22" x14ac:dyDescent="0.25">
      <c r="B18" s="9" t="s">
        <v>40</v>
      </c>
      <c r="C18" s="31">
        <v>957434.7</v>
      </c>
      <c r="E18" s="9" t="s">
        <v>66</v>
      </c>
      <c r="F18" s="31">
        <v>85695</v>
      </c>
      <c r="H18" s="8" t="s">
        <v>39</v>
      </c>
      <c r="I18" t="s">
        <v>82</v>
      </c>
    </row>
    <row r="19" spans="2:22" x14ac:dyDescent="0.25">
      <c r="B19" t="s">
        <v>58</v>
      </c>
      <c r="C19" s="9"/>
      <c r="E19" s="9" t="s">
        <v>67</v>
      </c>
      <c r="F19" s="31">
        <v>82385</v>
      </c>
      <c r="H19" s="9" t="s">
        <v>11</v>
      </c>
      <c r="I19" s="31">
        <v>1068.4181978798586</v>
      </c>
      <c r="K19" s="8" t="s">
        <v>82</v>
      </c>
      <c r="L19" s="8" t="s">
        <v>91</v>
      </c>
    </row>
    <row r="20" spans="2:22" x14ac:dyDescent="0.25">
      <c r="B20" s="31">
        <v>1036</v>
      </c>
      <c r="E20" s="9" t="s">
        <v>68</v>
      </c>
      <c r="F20" s="31">
        <v>92850</v>
      </c>
      <c r="H20" s="9" t="s">
        <v>17</v>
      </c>
      <c r="I20" s="31">
        <v>684.22307692307697</v>
      </c>
      <c r="K20" s="8" t="s">
        <v>39</v>
      </c>
      <c r="L20" t="s">
        <v>9</v>
      </c>
      <c r="M20" t="s">
        <v>13</v>
      </c>
      <c r="N20" t="s">
        <v>40</v>
      </c>
    </row>
    <row r="21" spans="2:22" x14ac:dyDescent="0.25">
      <c r="B21" s="33" t="s">
        <v>83</v>
      </c>
      <c r="C21" s="34">
        <f>COUNTA(B8:B17)</f>
        <v>10</v>
      </c>
      <c r="E21" s="9" t="s">
        <v>69</v>
      </c>
      <c r="F21" s="31">
        <v>74245</v>
      </c>
      <c r="H21" s="9" t="s">
        <v>40</v>
      </c>
      <c r="I21" s="31">
        <v>947.48510895883771</v>
      </c>
      <c r="K21" s="9" t="s">
        <v>24</v>
      </c>
      <c r="L21" s="31">
        <v>29400</v>
      </c>
      <c r="M21" s="31">
        <v>2400</v>
      </c>
      <c r="N21" s="31">
        <v>31800</v>
      </c>
    </row>
    <row r="22" spans="2:22" x14ac:dyDescent="0.25">
      <c r="E22" s="9" t="s">
        <v>70</v>
      </c>
      <c r="F22" s="31">
        <v>82270</v>
      </c>
      <c r="K22" s="9" t="s">
        <v>12</v>
      </c>
      <c r="L22" s="31">
        <v>151131.70000000001</v>
      </c>
      <c r="M22" s="31">
        <v>15385</v>
      </c>
      <c r="N22" s="31">
        <v>166516.70000000001</v>
      </c>
    </row>
    <row r="23" spans="2:22" x14ac:dyDescent="0.25">
      <c r="B23" s="32" t="s">
        <v>88</v>
      </c>
      <c r="E23" s="9" t="s">
        <v>71</v>
      </c>
      <c r="F23" s="31">
        <v>86920</v>
      </c>
      <c r="H23" s="8" t="s">
        <v>39</v>
      </c>
      <c r="I23" t="s">
        <v>82</v>
      </c>
      <c r="K23" s="9" t="s">
        <v>15</v>
      </c>
      <c r="L23" s="31">
        <v>68004</v>
      </c>
      <c r="M23" s="31"/>
      <c r="N23" s="31">
        <v>68004</v>
      </c>
    </row>
    <row r="24" spans="2:22" x14ac:dyDescent="0.25">
      <c r="B24" t="s">
        <v>84</v>
      </c>
      <c r="E24" s="9" t="s">
        <v>72</v>
      </c>
      <c r="F24" s="31">
        <v>82850</v>
      </c>
      <c r="H24" s="9" t="s">
        <v>24</v>
      </c>
      <c r="I24" s="31">
        <v>31800</v>
      </c>
      <c r="K24" s="9" t="s">
        <v>10</v>
      </c>
      <c r="L24" s="31">
        <v>228702</v>
      </c>
      <c r="M24" s="31">
        <v>25300</v>
      </c>
      <c r="N24" s="31">
        <v>254002</v>
      </c>
    </row>
    <row r="25" spans="2:22" x14ac:dyDescent="0.25">
      <c r="B25" s="31">
        <v>1.0839768339768341</v>
      </c>
      <c r="E25" s="9" t="s">
        <v>73</v>
      </c>
      <c r="F25" s="31">
        <v>80150</v>
      </c>
      <c r="H25" s="9" t="s">
        <v>12</v>
      </c>
      <c r="I25" s="31">
        <v>166516.70000000001</v>
      </c>
      <c r="K25" s="9" t="s">
        <v>14</v>
      </c>
      <c r="L25" s="31">
        <v>108102</v>
      </c>
      <c r="M25" s="31">
        <v>8100</v>
      </c>
      <c r="N25" s="31">
        <v>116202</v>
      </c>
    </row>
    <row r="26" spans="2:22" x14ac:dyDescent="0.25">
      <c r="E26" s="9" t="s">
        <v>74</v>
      </c>
      <c r="F26" s="31">
        <v>84915</v>
      </c>
      <c r="H26" s="9" t="s">
        <v>15</v>
      </c>
      <c r="I26" s="31">
        <v>68004</v>
      </c>
      <c r="K26" s="9" t="s">
        <v>19</v>
      </c>
      <c r="L26" s="31">
        <v>47756</v>
      </c>
      <c r="M26" s="31">
        <v>850</v>
      </c>
      <c r="N26" s="31">
        <v>48606</v>
      </c>
    </row>
    <row r="27" spans="2:22" x14ac:dyDescent="0.25">
      <c r="B27" s="32" t="s">
        <v>89</v>
      </c>
      <c r="E27" s="9" t="s">
        <v>75</v>
      </c>
      <c r="F27" s="31">
        <v>84655</v>
      </c>
      <c r="H27" s="9" t="s">
        <v>10</v>
      </c>
      <c r="I27" s="31">
        <v>254002</v>
      </c>
      <c r="K27" s="9" t="s">
        <v>21</v>
      </c>
      <c r="L27" s="31">
        <v>56206</v>
      </c>
      <c r="M27" s="31">
        <v>2400</v>
      </c>
      <c r="N27" s="31">
        <v>58606</v>
      </c>
    </row>
    <row r="28" spans="2:22" x14ac:dyDescent="0.25">
      <c r="B28" t="s">
        <v>45</v>
      </c>
      <c r="E28" s="9" t="s">
        <v>76</v>
      </c>
      <c r="F28" s="31">
        <v>57515</v>
      </c>
      <c r="H28" s="9" t="s">
        <v>14</v>
      </c>
      <c r="I28" s="31">
        <v>116202</v>
      </c>
      <c r="K28" s="9" t="s">
        <v>16</v>
      </c>
      <c r="L28" s="31">
        <v>53600</v>
      </c>
      <c r="M28" s="31">
        <v>2400</v>
      </c>
      <c r="N28" s="31">
        <v>56000</v>
      </c>
    </row>
    <row r="29" spans="2:22" x14ac:dyDescent="0.25">
      <c r="B29" s="31">
        <v>1036</v>
      </c>
      <c r="E29" s="9" t="s">
        <v>77</v>
      </c>
      <c r="F29" s="31">
        <v>62984.7</v>
      </c>
      <c r="H29" s="9" t="s">
        <v>19</v>
      </c>
      <c r="I29" s="31">
        <v>48606</v>
      </c>
      <c r="K29" s="9" t="s">
        <v>18</v>
      </c>
      <c r="L29" s="31">
        <v>115298</v>
      </c>
      <c r="M29" s="31">
        <v>6600</v>
      </c>
      <c r="N29" s="31">
        <v>121898</v>
      </c>
    </row>
    <row r="30" spans="2:22" x14ac:dyDescent="0.25">
      <c r="E30" s="9" t="s">
        <v>40</v>
      </c>
      <c r="F30" s="31">
        <v>957434.7</v>
      </c>
      <c r="H30" s="9" t="s">
        <v>21</v>
      </c>
      <c r="I30" s="31">
        <v>58606</v>
      </c>
      <c r="K30" s="9" t="s">
        <v>22</v>
      </c>
      <c r="L30" s="31">
        <v>34300</v>
      </c>
      <c r="M30" s="31">
        <v>1500</v>
      </c>
      <c r="N30" s="31">
        <v>35800</v>
      </c>
    </row>
    <row r="31" spans="2:22" x14ac:dyDescent="0.25">
      <c r="B31" s="32" t="s">
        <v>86</v>
      </c>
      <c r="C31" s="32"/>
      <c r="H31" s="9" t="s">
        <v>16</v>
      </c>
      <c r="I31" s="31">
        <v>56000</v>
      </c>
      <c r="K31" s="9" t="s">
        <v>40</v>
      </c>
      <c r="L31" s="31">
        <v>892499.7</v>
      </c>
      <c r="M31" s="31">
        <v>64935</v>
      </c>
      <c r="N31" s="31">
        <v>957434.7</v>
      </c>
    </row>
    <row r="32" spans="2:22" x14ac:dyDescent="0.25">
      <c r="B32" s="8" t="s">
        <v>39</v>
      </c>
      <c r="C32" t="s">
        <v>82</v>
      </c>
      <c r="H32" s="9" t="s">
        <v>18</v>
      </c>
      <c r="I32" s="31">
        <v>121898</v>
      </c>
    </row>
    <row r="33" spans="2:12" x14ac:dyDescent="0.25">
      <c r="B33" s="9" t="s">
        <v>92</v>
      </c>
      <c r="C33" s="31">
        <v>344364.7</v>
      </c>
      <c r="H33" s="9" t="s">
        <v>22</v>
      </c>
      <c r="I33" s="31">
        <v>35800</v>
      </c>
      <c r="K33" s="8" t="s">
        <v>39</v>
      </c>
      <c r="L33" t="s">
        <v>82</v>
      </c>
    </row>
    <row r="34" spans="2:12" x14ac:dyDescent="0.25">
      <c r="B34" s="9" t="s">
        <v>93</v>
      </c>
      <c r="C34" s="31">
        <v>339690</v>
      </c>
      <c r="H34" s="9" t="s">
        <v>40</v>
      </c>
      <c r="I34" s="31">
        <v>957434.7</v>
      </c>
      <c r="K34" s="9" t="s">
        <v>9</v>
      </c>
      <c r="L34" s="31">
        <v>892499.7</v>
      </c>
    </row>
    <row r="35" spans="2:12" x14ac:dyDescent="0.25">
      <c r="B35" s="9" t="s">
        <v>81</v>
      </c>
      <c r="C35" s="31">
        <v>273380</v>
      </c>
      <c r="K35" s="9" t="s">
        <v>13</v>
      </c>
      <c r="L35" s="31">
        <v>64935</v>
      </c>
    </row>
    <row r="36" spans="2:12" x14ac:dyDescent="0.25">
      <c r="B36" s="9" t="s">
        <v>40</v>
      </c>
      <c r="C36" s="31">
        <v>957434.7</v>
      </c>
      <c r="K36" s="9" t="s">
        <v>40</v>
      </c>
      <c r="L36" s="31">
        <v>957434.7</v>
      </c>
    </row>
  </sheetData>
  <conditionalFormatting pivot="1" sqref="C34 C33 C35">
    <cfRule type="dataBar" priority="4">
      <dataBar>
        <cfvo type="min"/>
        <cfvo type="max"/>
        <color rgb="FF63C384"/>
      </dataBar>
      <extLst>
        <ext xmlns:x14="http://schemas.microsoft.com/office/spreadsheetml/2009/9/main" uri="{B025F937-C7B1-47D3-B67F-A62EFF666E3E}">
          <x14:id>{BAD54376-36D2-4BAA-A598-3BB7953E2C9F}</x14:id>
        </ext>
      </extLst>
    </cfRule>
  </conditionalFormatting>
  <conditionalFormatting pivot="1" sqref="C34 C33 C35">
    <cfRule type="dataBar" priority="1">
      <dataBar>
        <cfvo type="min"/>
        <cfvo type="max"/>
        <color rgb="FFFFB628"/>
      </dataBar>
      <extLst>
        <ext xmlns:x14="http://schemas.microsoft.com/office/spreadsheetml/2009/9/main" uri="{B025F937-C7B1-47D3-B67F-A62EFF666E3E}">
          <x14:id>{6A16A013-2FFD-445D-9535-C04979280C7C}</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BAD54376-36D2-4BAA-A598-3BB7953E2C9F}">
            <x14:dataBar minLength="0" maxLength="100" border="1" negativeBarBorderColorSameAsPositive="0">
              <x14:cfvo type="autoMin"/>
              <x14:cfvo type="autoMax"/>
              <x14:borderColor rgb="FF63C384"/>
              <x14:negativeFillColor rgb="FFFF0000"/>
              <x14:negativeBorderColor rgb="FFFF0000"/>
              <x14:axisColor rgb="FF000000"/>
            </x14:dataBar>
          </x14:cfRule>
          <xm:sqref>C34 C33 C35</xm:sqref>
        </x14:conditionalFormatting>
        <x14:conditionalFormatting xmlns:xm="http://schemas.microsoft.com/office/excel/2006/main" pivot="1">
          <x14:cfRule type="dataBar" id="{6A16A013-2FFD-445D-9535-C04979280C7C}">
            <x14:dataBar minLength="0" maxLength="100" border="1" negativeBarBorderColorSameAsPositive="0">
              <x14:cfvo type="autoMin"/>
              <x14:cfvo type="autoMax"/>
              <x14:borderColor rgb="FFFFB628"/>
              <x14:negativeFillColor rgb="FFFF0000"/>
              <x14:negativeBorderColor rgb="FFFF0000"/>
              <x14:axisColor rgb="FF000000"/>
            </x14:dataBar>
          </x14:cfRule>
          <xm:sqref>C34 C33 C35</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A968C-0E46-4507-B182-1DC86038735F}">
  <sheetPr>
    <tabColor rgb="FF7030A0"/>
  </sheetPr>
  <dimension ref="B2:J1042"/>
  <sheetViews>
    <sheetView zoomScale="76" zoomScaleNormal="130" workbookViewId="0">
      <selection activeCell="L244" sqref="L244"/>
    </sheetView>
  </sheetViews>
  <sheetFormatPr defaultColWidth="8.8984375" defaultRowHeight="13.8" x14ac:dyDescent="0.25"/>
  <cols>
    <col min="1" max="1" width="2.296875" style="2" customWidth="1"/>
    <col min="2" max="2" width="12.19921875" style="2" customWidth="1"/>
    <col min="3" max="3" width="17.19921875" style="2" bestFit="1" customWidth="1"/>
    <col min="4" max="4" width="16.69921875" style="2" customWidth="1"/>
    <col min="5" max="5" width="12.69921875" style="2" bestFit="1" customWidth="1"/>
    <col min="6" max="6" width="15.69921875" style="2" customWidth="1"/>
    <col min="7" max="7" width="12.8984375" style="2" customWidth="1"/>
    <col min="8" max="8" width="14.296875" style="2" customWidth="1"/>
    <col min="9" max="9" width="12.09765625" style="2" bestFit="1" customWidth="1"/>
    <col min="10" max="10" width="28.09765625" style="2" bestFit="1" customWidth="1"/>
    <col min="11" max="16384" width="8.8984375" style="2"/>
  </cols>
  <sheetData>
    <row r="2" spans="2:10" ht="17.399999999999999" x14ac:dyDescent="0.3">
      <c r="B2" s="1" t="s">
        <v>0</v>
      </c>
    </row>
    <row r="4" spans="2:10" x14ac:dyDescent="0.25">
      <c r="B4" s="27" t="s">
        <v>1</v>
      </c>
      <c r="C4" s="27" t="s">
        <v>2</v>
      </c>
      <c r="D4" s="27" t="s">
        <v>3</v>
      </c>
      <c r="E4" s="27" t="s">
        <v>4</v>
      </c>
      <c r="F4" s="27" t="s">
        <v>5</v>
      </c>
      <c r="G4" s="27" t="s">
        <v>6</v>
      </c>
      <c r="H4" s="27" t="s">
        <v>7</v>
      </c>
      <c r="I4" s="27" t="s">
        <v>80</v>
      </c>
      <c r="J4" s="27" t="s">
        <v>79</v>
      </c>
    </row>
    <row r="5" spans="2:10" x14ac:dyDescent="0.25">
      <c r="B5" s="28">
        <v>1</v>
      </c>
      <c r="C5" s="35">
        <v>43466</v>
      </c>
      <c r="D5" s="29" t="s">
        <v>9</v>
      </c>
      <c r="E5" s="29" t="s">
        <v>10</v>
      </c>
      <c r="F5" s="29" t="s">
        <v>11</v>
      </c>
      <c r="G5" s="28">
        <v>1100</v>
      </c>
      <c r="H5" s="28">
        <v>1</v>
      </c>
      <c r="I5" s="30">
        <f>TownTeam1[[#This Row],[Selling price]]*TownTeam1[[#This Row],[Item quantity]]</f>
        <v>1100</v>
      </c>
      <c r="J5" s="30">
        <f>IF(TownTeam1[[#This Row],[Item name]]=" Jeans - Denim",TownTeam1[[#This Row],[Total sales]]*0.85,TownTeam1[[#This Row],[Total sales]])</f>
        <v>1100</v>
      </c>
    </row>
    <row r="6" spans="2:10" x14ac:dyDescent="0.25">
      <c r="B6" s="28">
        <v>2</v>
      </c>
      <c r="C6" s="35">
        <v>43467</v>
      </c>
      <c r="D6" s="29" t="s">
        <v>9</v>
      </c>
      <c r="E6" s="29" t="s">
        <v>10</v>
      </c>
      <c r="F6" s="29" t="s">
        <v>11</v>
      </c>
      <c r="G6" s="28">
        <v>1100</v>
      </c>
      <c r="H6" s="28">
        <v>1</v>
      </c>
      <c r="I6" s="30">
        <f>TownTeam1[[#This Row],[Selling price]]*TownTeam1[[#This Row],[Item quantity]]</f>
        <v>1100</v>
      </c>
      <c r="J6" s="30">
        <f>IF(TownTeam1[[#This Row],[Item name]]=" Jeans - Denim",TownTeam1[[#This Row],[Total sales]]*0.85,TownTeam1[[#This Row],[Total sales]])</f>
        <v>1100</v>
      </c>
    </row>
    <row r="7" spans="2:10" x14ac:dyDescent="0.25">
      <c r="B7" s="28">
        <v>3</v>
      </c>
      <c r="C7" s="35">
        <v>43468</v>
      </c>
      <c r="D7" s="29" t="s">
        <v>9</v>
      </c>
      <c r="E7" s="29" t="s">
        <v>10</v>
      </c>
      <c r="F7" s="29" t="s">
        <v>11</v>
      </c>
      <c r="G7" s="28">
        <v>1100</v>
      </c>
      <c r="H7" s="28">
        <v>1</v>
      </c>
      <c r="I7" s="30">
        <f>TownTeam1[[#This Row],[Selling price]]*TownTeam1[[#This Row],[Item quantity]]</f>
        <v>1100</v>
      </c>
      <c r="J7" s="30">
        <f>IF(TownTeam1[[#This Row],[Item name]]=" Jeans - Denim",TownTeam1[[#This Row],[Total sales]]*0.85,TownTeam1[[#This Row],[Total sales]])</f>
        <v>1100</v>
      </c>
    </row>
    <row r="8" spans="2:10" x14ac:dyDescent="0.25">
      <c r="B8" s="28">
        <v>4</v>
      </c>
      <c r="C8" s="35">
        <v>43469</v>
      </c>
      <c r="D8" s="29" t="s">
        <v>9</v>
      </c>
      <c r="E8" s="29" t="s">
        <v>10</v>
      </c>
      <c r="F8" s="29" t="s">
        <v>11</v>
      </c>
      <c r="G8" s="28">
        <v>1100</v>
      </c>
      <c r="H8" s="28">
        <v>1</v>
      </c>
      <c r="I8" s="30">
        <f>TownTeam1[[#This Row],[Selling price]]*TownTeam1[[#This Row],[Item quantity]]</f>
        <v>1100</v>
      </c>
      <c r="J8" s="30">
        <f>IF(TownTeam1[[#This Row],[Item name]]=" Jeans - Denim",TownTeam1[[#This Row],[Total sales]]*0.85,TownTeam1[[#This Row],[Total sales]])</f>
        <v>1100</v>
      </c>
    </row>
    <row r="9" spans="2:10" x14ac:dyDescent="0.25">
      <c r="B9" s="28">
        <v>5</v>
      </c>
      <c r="C9" s="35">
        <v>43470</v>
      </c>
      <c r="D9" s="29" t="s">
        <v>9</v>
      </c>
      <c r="E9" s="29" t="s">
        <v>10</v>
      </c>
      <c r="F9" s="29" t="s">
        <v>11</v>
      </c>
      <c r="G9" s="28">
        <v>1100</v>
      </c>
      <c r="H9" s="28">
        <v>1</v>
      </c>
      <c r="I9" s="30">
        <f>TownTeam1[[#This Row],[Selling price]]*TownTeam1[[#This Row],[Item quantity]]</f>
        <v>1100</v>
      </c>
      <c r="J9" s="30">
        <f>IF(TownTeam1[[#This Row],[Item name]]=" Jeans - Denim",TownTeam1[[#This Row],[Total sales]]*0.85,TownTeam1[[#This Row],[Total sales]])</f>
        <v>1100</v>
      </c>
    </row>
    <row r="10" spans="2:10" x14ac:dyDescent="0.25">
      <c r="B10" s="28">
        <v>6</v>
      </c>
      <c r="C10" s="35">
        <v>43471</v>
      </c>
      <c r="D10" s="29" t="s">
        <v>9</v>
      </c>
      <c r="E10" s="29" t="s">
        <v>10</v>
      </c>
      <c r="F10" s="29" t="s">
        <v>11</v>
      </c>
      <c r="G10" s="28">
        <v>1100</v>
      </c>
      <c r="H10" s="28">
        <v>1</v>
      </c>
      <c r="I10" s="30">
        <f>TownTeam1[[#This Row],[Selling price]]*TownTeam1[[#This Row],[Item quantity]]</f>
        <v>1100</v>
      </c>
      <c r="J10" s="30">
        <f>IF(TownTeam1[[#This Row],[Item name]]=" Jeans - Denim",TownTeam1[[#This Row],[Total sales]]*0.85,TownTeam1[[#This Row],[Total sales]])</f>
        <v>1100</v>
      </c>
    </row>
    <row r="11" spans="2:10" x14ac:dyDescent="0.25">
      <c r="B11" s="28">
        <v>7</v>
      </c>
      <c r="C11" s="35">
        <v>43472</v>
      </c>
      <c r="D11" s="29" t="s">
        <v>9</v>
      </c>
      <c r="E11" s="29" t="s">
        <v>10</v>
      </c>
      <c r="F11" s="29" t="s">
        <v>11</v>
      </c>
      <c r="G11" s="28">
        <v>1100</v>
      </c>
      <c r="H11" s="28">
        <v>2</v>
      </c>
      <c r="I11" s="30">
        <f>TownTeam1[[#This Row],[Selling price]]*TownTeam1[[#This Row],[Item quantity]]</f>
        <v>2200</v>
      </c>
      <c r="J11" s="30">
        <f>IF(TownTeam1[[#This Row],[Item name]]=" Jeans - Denim",TownTeam1[[#This Row],[Total sales]]*0.85,TownTeam1[[#This Row],[Total sales]])</f>
        <v>2200</v>
      </c>
    </row>
    <row r="12" spans="2:10" x14ac:dyDescent="0.25">
      <c r="B12" s="28">
        <v>8</v>
      </c>
      <c r="C12" s="35">
        <v>43473</v>
      </c>
      <c r="D12" s="29" t="s">
        <v>9</v>
      </c>
      <c r="E12" s="29" t="s">
        <v>10</v>
      </c>
      <c r="F12" s="29" t="s">
        <v>11</v>
      </c>
      <c r="G12" s="28">
        <v>1100</v>
      </c>
      <c r="H12" s="28">
        <v>1</v>
      </c>
      <c r="I12" s="30">
        <f>TownTeam1[[#This Row],[Selling price]]*TownTeam1[[#This Row],[Item quantity]]</f>
        <v>1100</v>
      </c>
      <c r="J12" s="30">
        <f>IF(TownTeam1[[#This Row],[Item name]]=" Jeans - Denim",TownTeam1[[#This Row],[Total sales]]*0.85,TownTeam1[[#This Row],[Total sales]])</f>
        <v>1100</v>
      </c>
    </row>
    <row r="13" spans="2:10" x14ac:dyDescent="0.25">
      <c r="B13" s="28">
        <v>9</v>
      </c>
      <c r="C13" s="35">
        <v>43474</v>
      </c>
      <c r="D13" s="29" t="s">
        <v>9</v>
      </c>
      <c r="E13" s="29" t="s">
        <v>10</v>
      </c>
      <c r="F13" s="29" t="s">
        <v>11</v>
      </c>
      <c r="G13" s="28">
        <v>1100</v>
      </c>
      <c r="H13" s="28">
        <v>1</v>
      </c>
      <c r="I13" s="30">
        <f>TownTeam1[[#This Row],[Selling price]]*TownTeam1[[#This Row],[Item quantity]]</f>
        <v>1100</v>
      </c>
      <c r="J13" s="30">
        <f>IF(TownTeam1[[#This Row],[Item name]]=" Jeans - Denim",TownTeam1[[#This Row],[Total sales]]*0.85,TownTeam1[[#This Row],[Total sales]])</f>
        <v>1100</v>
      </c>
    </row>
    <row r="14" spans="2:10" x14ac:dyDescent="0.25">
      <c r="B14" s="28">
        <v>10</v>
      </c>
      <c r="C14" s="35">
        <v>43475</v>
      </c>
      <c r="D14" s="29" t="s">
        <v>9</v>
      </c>
      <c r="E14" s="29" t="s">
        <v>12</v>
      </c>
      <c r="F14" s="29" t="s">
        <v>11</v>
      </c>
      <c r="G14" s="28">
        <v>900</v>
      </c>
      <c r="H14" s="28">
        <v>1</v>
      </c>
      <c r="I14" s="30">
        <f>TownTeam1[[#This Row],[Selling price]]*TownTeam1[[#This Row],[Item quantity]]</f>
        <v>900</v>
      </c>
      <c r="J14" s="30">
        <f>IF(TownTeam1[[#This Row],[Item name]]=" Jeans - Denim",TownTeam1[[#This Row],[Total sales]]*0.85,TownTeam1[[#This Row],[Total sales]])</f>
        <v>765</v>
      </c>
    </row>
    <row r="15" spans="2:10" x14ac:dyDescent="0.25">
      <c r="B15" s="28">
        <v>11</v>
      </c>
      <c r="C15" s="35">
        <v>43476</v>
      </c>
      <c r="D15" s="29" t="s">
        <v>13</v>
      </c>
      <c r="E15" s="29" t="s">
        <v>12</v>
      </c>
      <c r="F15" s="29" t="s">
        <v>11</v>
      </c>
      <c r="G15" s="28">
        <v>900</v>
      </c>
      <c r="H15" s="28">
        <v>1</v>
      </c>
      <c r="I15" s="30">
        <f>TownTeam1[[#This Row],[Selling price]]*TownTeam1[[#This Row],[Item quantity]]</f>
        <v>900</v>
      </c>
      <c r="J15" s="30">
        <f>IF(TownTeam1[[#This Row],[Item name]]=" Jeans - Denim",TownTeam1[[#This Row],[Total sales]]*0.85,TownTeam1[[#This Row],[Total sales]])</f>
        <v>765</v>
      </c>
    </row>
    <row r="16" spans="2:10" x14ac:dyDescent="0.25">
      <c r="B16" s="28">
        <v>12</v>
      </c>
      <c r="C16" s="35">
        <v>43477</v>
      </c>
      <c r="D16" s="29" t="s">
        <v>13</v>
      </c>
      <c r="E16" s="29" t="s">
        <v>12</v>
      </c>
      <c r="F16" s="29" t="s">
        <v>11</v>
      </c>
      <c r="G16" s="28">
        <v>900</v>
      </c>
      <c r="H16" s="28">
        <v>1</v>
      </c>
      <c r="I16" s="30">
        <f>TownTeam1[[#This Row],[Selling price]]*TownTeam1[[#This Row],[Item quantity]]</f>
        <v>900</v>
      </c>
      <c r="J16" s="30">
        <f>IF(TownTeam1[[#This Row],[Item name]]=" Jeans - Denim",TownTeam1[[#This Row],[Total sales]]*0.85,TownTeam1[[#This Row],[Total sales]])</f>
        <v>765</v>
      </c>
    </row>
    <row r="17" spans="2:10" x14ac:dyDescent="0.25">
      <c r="B17" s="28">
        <v>13</v>
      </c>
      <c r="C17" s="35">
        <v>43478</v>
      </c>
      <c r="D17" s="29" t="s">
        <v>13</v>
      </c>
      <c r="E17" s="29" t="s">
        <v>12</v>
      </c>
      <c r="F17" s="29" t="s">
        <v>11</v>
      </c>
      <c r="G17" s="28">
        <v>900</v>
      </c>
      <c r="H17" s="28">
        <v>2</v>
      </c>
      <c r="I17" s="30">
        <f>TownTeam1[[#This Row],[Selling price]]*TownTeam1[[#This Row],[Item quantity]]</f>
        <v>1800</v>
      </c>
      <c r="J17" s="30">
        <f>IF(TownTeam1[[#This Row],[Item name]]=" Jeans - Denim",TownTeam1[[#This Row],[Total sales]]*0.85,TownTeam1[[#This Row],[Total sales]])</f>
        <v>1530</v>
      </c>
    </row>
    <row r="18" spans="2:10" x14ac:dyDescent="0.25">
      <c r="B18" s="28">
        <v>14</v>
      </c>
      <c r="C18" s="35">
        <v>43479</v>
      </c>
      <c r="D18" s="29" t="s">
        <v>13</v>
      </c>
      <c r="E18" s="29" t="s">
        <v>12</v>
      </c>
      <c r="F18" s="29" t="s">
        <v>11</v>
      </c>
      <c r="G18" s="28">
        <v>900</v>
      </c>
      <c r="H18" s="28">
        <v>1</v>
      </c>
      <c r="I18" s="30">
        <f>TownTeam1[[#This Row],[Selling price]]*TownTeam1[[#This Row],[Item quantity]]</f>
        <v>900</v>
      </c>
      <c r="J18" s="30">
        <f>IF(TownTeam1[[#This Row],[Item name]]=" Jeans - Denim",TownTeam1[[#This Row],[Total sales]]*0.85,TownTeam1[[#This Row],[Total sales]])</f>
        <v>765</v>
      </c>
    </row>
    <row r="19" spans="2:10" x14ac:dyDescent="0.25">
      <c r="B19" s="28">
        <v>15</v>
      </c>
      <c r="C19" s="35">
        <v>43480</v>
      </c>
      <c r="D19" s="29" t="s">
        <v>13</v>
      </c>
      <c r="E19" s="29" t="s">
        <v>12</v>
      </c>
      <c r="F19" s="29" t="s">
        <v>11</v>
      </c>
      <c r="G19" s="28">
        <v>900</v>
      </c>
      <c r="H19" s="28">
        <v>1</v>
      </c>
      <c r="I19" s="30">
        <f>TownTeam1[[#This Row],[Selling price]]*TownTeam1[[#This Row],[Item quantity]]</f>
        <v>900</v>
      </c>
      <c r="J19" s="30">
        <f>IF(TownTeam1[[#This Row],[Item name]]=" Jeans - Denim",TownTeam1[[#This Row],[Total sales]]*0.85,TownTeam1[[#This Row],[Total sales]])</f>
        <v>765</v>
      </c>
    </row>
    <row r="20" spans="2:10" x14ac:dyDescent="0.25">
      <c r="B20" s="28">
        <v>16</v>
      </c>
      <c r="C20" s="35">
        <v>43481</v>
      </c>
      <c r="D20" s="29" t="s">
        <v>13</v>
      </c>
      <c r="E20" s="29" t="s">
        <v>10</v>
      </c>
      <c r="F20" s="29" t="s">
        <v>11</v>
      </c>
      <c r="G20" s="28">
        <v>1100</v>
      </c>
      <c r="H20" s="28">
        <v>1</v>
      </c>
      <c r="I20" s="30">
        <f>TownTeam1[[#This Row],[Selling price]]*TownTeam1[[#This Row],[Item quantity]]</f>
        <v>1100</v>
      </c>
      <c r="J20" s="30">
        <f>IF(TownTeam1[[#This Row],[Item name]]=" Jeans - Denim",TownTeam1[[#This Row],[Total sales]]*0.85,TownTeam1[[#This Row],[Total sales]])</f>
        <v>1100</v>
      </c>
    </row>
    <row r="21" spans="2:10" x14ac:dyDescent="0.25">
      <c r="B21" s="28">
        <v>17</v>
      </c>
      <c r="C21" s="35">
        <v>43482</v>
      </c>
      <c r="D21" s="29" t="s">
        <v>13</v>
      </c>
      <c r="E21" s="29" t="s">
        <v>12</v>
      </c>
      <c r="F21" s="29" t="s">
        <v>11</v>
      </c>
      <c r="G21" s="28">
        <v>900</v>
      </c>
      <c r="H21" s="28">
        <v>1</v>
      </c>
      <c r="I21" s="30">
        <f>TownTeam1[[#This Row],[Selling price]]*TownTeam1[[#This Row],[Item quantity]]</f>
        <v>900</v>
      </c>
      <c r="J21" s="30">
        <f>IF(TownTeam1[[#This Row],[Item name]]=" Jeans - Denim",TownTeam1[[#This Row],[Total sales]]*0.85,TownTeam1[[#This Row],[Total sales]])</f>
        <v>765</v>
      </c>
    </row>
    <row r="22" spans="2:10" x14ac:dyDescent="0.25">
      <c r="B22" s="28">
        <v>18</v>
      </c>
      <c r="C22" s="35">
        <v>43483</v>
      </c>
      <c r="D22" s="29" t="s">
        <v>13</v>
      </c>
      <c r="E22" s="29" t="s">
        <v>10</v>
      </c>
      <c r="F22" s="29" t="s">
        <v>11</v>
      </c>
      <c r="G22" s="28">
        <v>1100</v>
      </c>
      <c r="H22" s="28">
        <v>2</v>
      </c>
      <c r="I22" s="30">
        <f>TownTeam1[[#This Row],[Selling price]]*TownTeam1[[#This Row],[Item quantity]]</f>
        <v>2200</v>
      </c>
      <c r="J22" s="30">
        <f>IF(TownTeam1[[#This Row],[Item name]]=" Jeans - Denim",TownTeam1[[#This Row],[Total sales]]*0.85,TownTeam1[[#This Row],[Total sales]])</f>
        <v>2200</v>
      </c>
    </row>
    <row r="23" spans="2:10" x14ac:dyDescent="0.25">
      <c r="B23" s="28">
        <v>19</v>
      </c>
      <c r="C23" s="35">
        <v>43484</v>
      </c>
      <c r="D23" s="29" t="s">
        <v>13</v>
      </c>
      <c r="E23" s="29" t="s">
        <v>10</v>
      </c>
      <c r="F23" s="29" t="s">
        <v>11</v>
      </c>
      <c r="G23" s="28">
        <v>1100</v>
      </c>
      <c r="H23" s="28">
        <v>1</v>
      </c>
      <c r="I23" s="30">
        <f>TownTeam1[[#This Row],[Selling price]]*TownTeam1[[#This Row],[Item quantity]]</f>
        <v>1100</v>
      </c>
      <c r="J23" s="30">
        <f>IF(TownTeam1[[#This Row],[Item name]]=" Jeans - Denim",TownTeam1[[#This Row],[Total sales]]*0.85,TownTeam1[[#This Row],[Total sales]])</f>
        <v>1100</v>
      </c>
    </row>
    <row r="24" spans="2:10" x14ac:dyDescent="0.25">
      <c r="B24" s="28">
        <v>20</v>
      </c>
      <c r="C24" s="35">
        <v>43485</v>
      </c>
      <c r="D24" s="29" t="s">
        <v>9</v>
      </c>
      <c r="E24" s="29" t="s">
        <v>12</v>
      </c>
      <c r="F24" s="29" t="s">
        <v>11</v>
      </c>
      <c r="G24" s="28">
        <v>900</v>
      </c>
      <c r="H24" s="28">
        <v>1</v>
      </c>
      <c r="I24" s="30">
        <f>TownTeam1[[#This Row],[Selling price]]*TownTeam1[[#This Row],[Item quantity]]</f>
        <v>900</v>
      </c>
      <c r="J24" s="30">
        <f>IF(TownTeam1[[#This Row],[Item name]]=" Jeans - Denim",TownTeam1[[#This Row],[Total sales]]*0.85,TownTeam1[[#This Row],[Total sales]])</f>
        <v>765</v>
      </c>
    </row>
    <row r="25" spans="2:10" x14ac:dyDescent="0.25">
      <c r="B25" s="28">
        <v>21</v>
      </c>
      <c r="C25" s="35">
        <v>43486</v>
      </c>
      <c r="D25" s="29" t="s">
        <v>9</v>
      </c>
      <c r="E25" s="29" t="s">
        <v>12</v>
      </c>
      <c r="F25" s="29" t="s">
        <v>11</v>
      </c>
      <c r="G25" s="28">
        <v>900</v>
      </c>
      <c r="H25" s="28">
        <v>1</v>
      </c>
      <c r="I25" s="30">
        <f>TownTeam1[[#This Row],[Selling price]]*TownTeam1[[#This Row],[Item quantity]]</f>
        <v>900</v>
      </c>
      <c r="J25" s="30">
        <f>IF(TownTeam1[[#This Row],[Item name]]=" Jeans - Denim",TownTeam1[[#This Row],[Total sales]]*0.85,TownTeam1[[#This Row],[Total sales]])</f>
        <v>765</v>
      </c>
    </row>
    <row r="26" spans="2:10" x14ac:dyDescent="0.25">
      <c r="B26" s="28">
        <v>22</v>
      </c>
      <c r="C26" s="35">
        <v>43487</v>
      </c>
      <c r="D26" s="29" t="s">
        <v>9</v>
      </c>
      <c r="E26" s="29" t="s">
        <v>14</v>
      </c>
      <c r="F26" s="29" t="s">
        <v>11</v>
      </c>
      <c r="G26" s="28">
        <v>900</v>
      </c>
      <c r="H26" s="28">
        <v>1</v>
      </c>
      <c r="I26" s="30">
        <f>TownTeam1[[#This Row],[Selling price]]*TownTeam1[[#This Row],[Item quantity]]</f>
        <v>900</v>
      </c>
      <c r="J26" s="30">
        <f>IF(TownTeam1[[#This Row],[Item name]]=" Jeans - Denim",TownTeam1[[#This Row],[Total sales]]*0.85,TownTeam1[[#This Row],[Total sales]])</f>
        <v>900</v>
      </c>
    </row>
    <row r="27" spans="2:10" x14ac:dyDescent="0.25">
      <c r="B27" s="28">
        <v>23</v>
      </c>
      <c r="C27" s="35">
        <v>43488</v>
      </c>
      <c r="D27" s="29" t="s">
        <v>9</v>
      </c>
      <c r="E27" s="29" t="s">
        <v>10</v>
      </c>
      <c r="F27" s="29" t="s">
        <v>11</v>
      </c>
      <c r="G27" s="28">
        <v>1100</v>
      </c>
      <c r="H27" s="28">
        <v>1</v>
      </c>
      <c r="I27" s="30">
        <f>TownTeam1[[#This Row],[Selling price]]*TownTeam1[[#This Row],[Item quantity]]</f>
        <v>1100</v>
      </c>
      <c r="J27" s="30">
        <f>IF(TownTeam1[[#This Row],[Item name]]=" Jeans - Denim",TownTeam1[[#This Row],[Total sales]]*0.85,TownTeam1[[#This Row],[Total sales]])</f>
        <v>1100</v>
      </c>
    </row>
    <row r="28" spans="2:10" x14ac:dyDescent="0.25">
      <c r="B28" s="28">
        <v>24</v>
      </c>
      <c r="C28" s="35">
        <v>43489</v>
      </c>
      <c r="D28" s="29" t="s">
        <v>9</v>
      </c>
      <c r="E28" s="29" t="s">
        <v>10</v>
      </c>
      <c r="F28" s="29" t="s">
        <v>11</v>
      </c>
      <c r="G28" s="28">
        <v>1100</v>
      </c>
      <c r="H28" s="28">
        <v>1</v>
      </c>
      <c r="I28" s="30">
        <f>TownTeam1[[#This Row],[Selling price]]*TownTeam1[[#This Row],[Item quantity]]</f>
        <v>1100</v>
      </c>
      <c r="J28" s="30">
        <f>IF(TownTeam1[[#This Row],[Item name]]=" Jeans - Denim",TownTeam1[[#This Row],[Total sales]]*0.85,TownTeam1[[#This Row],[Total sales]])</f>
        <v>1100</v>
      </c>
    </row>
    <row r="29" spans="2:10" x14ac:dyDescent="0.25">
      <c r="B29" s="28">
        <v>25</v>
      </c>
      <c r="C29" s="35">
        <v>43490</v>
      </c>
      <c r="D29" s="29" t="s">
        <v>9</v>
      </c>
      <c r="E29" s="29" t="s">
        <v>14</v>
      </c>
      <c r="F29" s="29" t="s">
        <v>11</v>
      </c>
      <c r="G29" s="28">
        <v>900</v>
      </c>
      <c r="H29" s="28">
        <v>1</v>
      </c>
      <c r="I29" s="30">
        <f>TownTeam1[[#This Row],[Selling price]]*TownTeam1[[#This Row],[Item quantity]]</f>
        <v>900</v>
      </c>
      <c r="J29" s="30">
        <f>IF(TownTeam1[[#This Row],[Item name]]=" Jeans - Denim",TownTeam1[[#This Row],[Total sales]]*0.85,TownTeam1[[#This Row],[Total sales]])</f>
        <v>900</v>
      </c>
    </row>
    <row r="30" spans="2:10" x14ac:dyDescent="0.25">
      <c r="B30" s="28">
        <v>26</v>
      </c>
      <c r="C30" s="35">
        <v>43491</v>
      </c>
      <c r="D30" s="29" t="s">
        <v>9</v>
      </c>
      <c r="E30" s="29" t="s">
        <v>12</v>
      </c>
      <c r="F30" s="29" t="s">
        <v>11</v>
      </c>
      <c r="G30" s="28">
        <v>900</v>
      </c>
      <c r="H30" s="28">
        <v>1</v>
      </c>
      <c r="I30" s="30">
        <f>TownTeam1[[#This Row],[Selling price]]*TownTeam1[[#This Row],[Item quantity]]</f>
        <v>900</v>
      </c>
      <c r="J30" s="30">
        <f>IF(TownTeam1[[#This Row],[Item name]]=" Jeans - Denim",TownTeam1[[#This Row],[Total sales]]*0.85,TownTeam1[[#This Row],[Total sales]])</f>
        <v>765</v>
      </c>
    </row>
    <row r="31" spans="2:10" x14ac:dyDescent="0.25">
      <c r="B31" s="28">
        <v>27</v>
      </c>
      <c r="C31" s="35">
        <v>43492</v>
      </c>
      <c r="D31" s="29" t="s">
        <v>9</v>
      </c>
      <c r="E31" s="29" t="s">
        <v>14</v>
      </c>
      <c r="F31" s="29" t="s">
        <v>11</v>
      </c>
      <c r="G31" s="28">
        <v>900</v>
      </c>
      <c r="H31" s="28">
        <v>1</v>
      </c>
      <c r="I31" s="30">
        <f>TownTeam1[[#This Row],[Selling price]]*TownTeam1[[#This Row],[Item quantity]]</f>
        <v>900</v>
      </c>
      <c r="J31" s="30">
        <f>IF(TownTeam1[[#This Row],[Item name]]=" Jeans - Denim",TownTeam1[[#This Row],[Total sales]]*0.85,TownTeam1[[#This Row],[Total sales]])</f>
        <v>900</v>
      </c>
    </row>
    <row r="32" spans="2:10" x14ac:dyDescent="0.25">
      <c r="B32" s="28">
        <v>28</v>
      </c>
      <c r="C32" s="35">
        <v>43493</v>
      </c>
      <c r="D32" s="29" t="s">
        <v>9</v>
      </c>
      <c r="E32" s="29" t="s">
        <v>10</v>
      </c>
      <c r="F32" s="29" t="s">
        <v>11</v>
      </c>
      <c r="G32" s="28">
        <v>1100</v>
      </c>
      <c r="H32" s="28">
        <v>1</v>
      </c>
      <c r="I32" s="30">
        <f>TownTeam1[[#This Row],[Selling price]]*TownTeam1[[#This Row],[Item quantity]]</f>
        <v>1100</v>
      </c>
      <c r="J32" s="30">
        <f>IF(TownTeam1[[#This Row],[Item name]]=" Jeans - Denim",TownTeam1[[#This Row],[Total sales]]*0.85,TownTeam1[[#This Row],[Total sales]])</f>
        <v>1100</v>
      </c>
    </row>
    <row r="33" spans="2:10" x14ac:dyDescent="0.25">
      <c r="B33" s="28">
        <v>29</v>
      </c>
      <c r="C33" s="35">
        <v>43494</v>
      </c>
      <c r="D33" s="29" t="s">
        <v>9</v>
      </c>
      <c r="E33" s="29" t="s">
        <v>10</v>
      </c>
      <c r="F33" s="29" t="s">
        <v>11</v>
      </c>
      <c r="G33" s="28">
        <v>1100</v>
      </c>
      <c r="H33" s="28">
        <v>1</v>
      </c>
      <c r="I33" s="30">
        <f>TownTeam1[[#This Row],[Selling price]]*TownTeam1[[#This Row],[Item quantity]]</f>
        <v>1100</v>
      </c>
      <c r="J33" s="30">
        <f>IF(TownTeam1[[#This Row],[Item name]]=" Jeans - Denim",TownTeam1[[#This Row],[Total sales]]*0.85,TownTeam1[[#This Row],[Total sales]])</f>
        <v>1100</v>
      </c>
    </row>
    <row r="34" spans="2:10" x14ac:dyDescent="0.25">
      <c r="B34" s="28">
        <v>30</v>
      </c>
      <c r="C34" s="35">
        <v>43495</v>
      </c>
      <c r="D34" s="29" t="s">
        <v>9</v>
      </c>
      <c r="E34" s="29" t="s">
        <v>14</v>
      </c>
      <c r="F34" s="29" t="s">
        <v>11</v>
      </c>
      <c r="G34" s="28">
        <v>900</v>
      </c>
      <c r="H34" s="28">
        <v>1</v>
      </c>
      <c r="I34" s="30">
        <f>TownTeam1[[#This Row],[Selling price]]*TownTeam1[[#This Row],[Item quantity]]</f>
        <v>900</v>
      </c>
      <c r="J34" s="30">
        <f>IF(TownTeam1[[#This Row],[Item name]]=" Jeans - Denim",TownTeam1[[#This Row],[Total sales]]*0.85,TownTeam1[[#This Row],[Total sales]])</f>
        <v>900</v>
      </c>
    </row>
    <row r="35" spans="2:10" x14ac:dyDescent="0.25">
      <c r="B35" s="28">
        <v>31</v>
      </c>
      <c r="C35" s="35">
        <v>43496</v>
      </c>
      <c r="D35" s="29" t="s">
        <v>9</v>
      </c>
      <c r="E35" s="29" t="s">
        <v>14</v>
      </c>
      <c r="F35" s="29" t="s">
        <v>11</v>
      </c>
      <c r="G35" s="28">
        <v>900</v>
      </c>
      <c r="H35" s="28">
        <v>1</v>
      </c>
      <c r="I35" s="30">
        <f>TownTeam1[[#This Row],[Selling price]]*TownTeam1[[#This Row],[Item quantity]]</f>
        <v>900</v>
      </c>
      <c r="J35" s="30">
        <f>IF(TownTeam1[[#This Row],[Item name]]=" Jeans - Denim",TownTeam1[[#This Row],[Total sales]]*0.85,TownTeam1[[#This Row],[Total sales]])</f>
        <v>900</v>
      </c>
    </row>
    <row r="36" spans="2:10" x14ac:dyDescent="0.25">
      <c r="B36" s="28">
        <v>32</v>
      </c>
      <c r="C36" s="35">
        <v>43497</v>
      </c>
      <c r="D36" s="29" t="s">
        <v>9</v>
      </c>
      <c r="E36" s="29" t="s">
        <v>14</v>
      </c>
      <c r="F36" s="29" t="s">
        <v>11</v>
      </c>
      <c r="G36" s="28">
        <v>900</v>
      </c>
      <c r="H36" s="28">
        <v>1</v>
      </c>
      <c r="I36" s="30">
        <f>TownTeam1[[#This Row],[Selling price]]*TownTeam1[[#This Row],[Item quantity]]</f>
        <v>900</v>
      </c>
      <c r="J36" s="30">
        <f>IF(TownTeam1[[#This Row],[Item name]]=" Jeans - Denim",TownTeam1[[#This Row],[Total sales]]*0.85,TownTeam1[[#This Row],[Total sales]])</f>
        <v>900</v>
      </c>
    </row>
    <row r="37" spans="2:10" x14ac:dyDescent="0.25">
      <c r="B37" s="28">
        <v>33</v>
      </c>
      <c r="C37" s="35">
        <v>43498</v>
      </c>
      <c r="D37" s="29" t="s">
        <v>9</v>
      </c>
      <c r="E37" s="29" t="s">
        <v>14</v>
      </c>
      <c r="F37" s="29" t="s">
        <v>11</v>
      </c>
      <c r="G37" s="28">
        <v>900</v>
      </c>
      <c r="H37" s="28">
        <v>1</v>
      </c>
      <c r="I37" s="30">
        <f>TownTeam1[[#This Row],[Selling price]]*TownTeam1[[#This Row],[Item quantity]]</f>
        <v>900</v>
      </c>
      <c r="J37" s="30">
        <f>IF(TownTeam1[[#This Row],[Item name]]=" Jeans - Denim",TownTeam1[[#This Row],[Total sales]]*0.85,TownTeam1[[#This Row],[Total sales]])</f>
        <v>900</v>
      </c>
    </row>
    <row r="38" spans="2:10" x14ac:dyDescent="0.25">
      <c r="B38" s="28">
        <v>34</v>
      </c>
      <c r="C38" s="35">
        <v>43499</v>
      </c>
      <c r="D38" s="29" t="s">
        <v>9</v>
      </c>
      <c r="E38" s="29" t="s">
        <v>14</v>
      </c>
      <c r="F38" s="29" t="s">
        <v>11</v>
      </c>
      <c r="G38" s="28">
        <v>900</v>
      </c>
      <c r="H38" s="28">
        <v>1</v>
      </c>
      <c r="I38" s="30">
        <f>TownTeam1[[#This Row],[Selling price]]*TownTeam1[[#This Row],[Item quantity]]</f>
        <v>900</v>
      </c>
      <c r="J38" s="30">
        <f>IF(TownTeam1[[#This Row],[Item name]]=" Jeans - Denim",TownTeam1[[#This Row],[Total sales]]*0.85,TownTeam1[[#This Row],[Total sales]])</f>
        <v>900</v>
      </c>
    </row>
    <row r="39" spans="2:10" x14ac:dyDescent="0.25">
      <c r="B39" s="28">
        <v>35</v>
      </c>
      <c r="C39" s="35">
        <v>43500</v>
      </c>
      <c r="D39" s="29" t="s">
        <v>9</v>
      </c>
      <c r="E39" s="29" t="s">
        <v>12</v>
      </c>
      <c r="F39" s="29" t="s">
        <v>11</v>
      </c>
      <c r="G39" s="28">
        <v>900</v>
      </c>
      <c r="H39" s="28">
        <v>1</v>
      </c>
      <c r="I39" s="30">
        <f>TownTeam1[[#This Row],[Selling price]]*TownTeam1[[#This Row],[Item quantity]]</f>
        <v>900</v>
      </c>
      <c r="J39" s="30">
        <f>IF(TownTeam1[[#This Row],[Item name]]=" Jeans - Denim",TownTeam1[[#This Row],[Total sales]]*0.85,TownTeam1[[#This Row],[Total sales]])</f>
        <v>765</v>
      </c>
    </row>
    <row r="40" spans="2:10" x14ac:dyDescent="0.25">
      <c r="B40" s="28">
        <v>36</v>
      </c>
      <c r="C40" s="35">
        <v>43501</v>
      </c>
      <c r="D40" s="29" t="s">
        <v>9</v>
      </c>
      <c r="E40" s="29" t="s">
        <v>12</v>
      </c>
      <c r="F40" s="29" t="s">
        <v>11</v>
      </c>
      <c r="G40" s="28">
        <v>900</v>
      </c>
      <c r="H40" s="28">
        <v>1</v>
      </c>
      <c r="I40" s="30">
        <f>TownTeam1[[#This Row],[Selling price]]*TownTeam1[[#This Row],[Item quantity]]</f>
        <v>900</v>
      </c>
      <c r="J40" s="30">
        <f>IF(TownTeam1[[#This Row],[Item name]]=" Jeans - Denim",TownTeam1[[#This Row],[Total sales]]*0.85,TownTeam1[[#This Row],[Total sales]])</f>
        <v>765</v>
      </c>
    </row>
    <row r="41" spans="2:10" x14ac:dyDescent="0.25">
      <c r="B41" s="28">
        <v>37</v>
      </c>
      <c r="C41" s="35">
        <v>43502</v>
      </c>
      <c r="D41" s="29" t="s">
        <v>9</v>
      </c>
      <c r="E41" s="29" t="s">
        <v>12</v>
      </c>
      <c r="F41" s="29" t="s">
        <v>11</v>
      </c>
      <c r="G41" s="28">
        <v>900</v>
      </c>
      <c r="H41" s="28">
        <v>1</v>
      </c>
      <c r="I41" s="30">
        <f>TownTeam1[[#This Row],[Selling price]]*TownTeam1[[#This Row],[Item quantity]]</f>
        <v>900</v>
      </c>
      <c r="J41" s="30">
        <f>IF(TownTeam1[[#This Row],[Item name]]=" Jeans - Denim",TownTeam1[[#This Row],[Total sales]]*0.85,TownTeam1[[#This Row],[Total sales]])</f>
        <v>765</v>
      </c>
    </row>
    <row r="42" spans="2:10" x14ac:dyDescent="0.25">
      <c r="B42" s="28">
        <v>38</v>
      </c>
      <c r="C42" s="35">
        <v>43503</v>
      </c>
      <c r="D42" s="29" t="s">
        <v>9</v>
      </c>
      <c r="E42" s="29" t="s">
        <v>10</v>
      </c>
      <c r="F42" s="29" t="s">
        <v>11</v>
      </c>
      <c r="G42" s="28">
        <v>1100</v>
      </c>
      <c r="H42" s="28">
        <v>1</v>
      </c>
      <c r="I42" s="30">
        <f>TownTeam1[[#This Row],[Selling price]]*TownTeam1[[#This Row],[Item quantity]]</f>
        <v>1100</v>
      </c>
      <c r="J42" s="30">
        <f>IF(TownTeam1[[#This Row],[Item name]]=" Jeans - Denim",TownTeam1[[#This Row],[Total sales]]*0.85,TownTeam1[[#This Row],[Total sales]])</f>
        <v>1100</v>
      </c>
    </row>
    <row r="43" spans="2:10" x14ac:dyDescent="0.25">
      <c r="B43" s="28">
        <v>39</v>
      </c>
      <c r="C43" s="35">
        <v>43504</v>
      </c>
      <c r="D43" s="29" t="s">
        <v>9</v>
      </c>
      <c r="E43" s="29" t="s">
        <v>10</v>
      </c>
      <c r="F43" s="29" t="s">
        <v>11</v>
      </c>
      <c r="G43" s="28">
        <v>1100</v>
      </c>
      <c r="H43" s="28">
        <v>1</v>
      </c>
      <c r="I43" s="30">
        <f>TownTeam1[[#This Row],[Selling price]]*TownTeam1[[#This Row],[Item quantity]]</f>
        <v>1100</v>
      </c>
      <c r="J43" s="30">
        <f>IF(TownTeam1[[#This Row],[Item name]]=" Jeans - Denim",TownTeam1[[#This Row],[Total sales]]*0.85,TownTeam1[[#This Row],[Total sales]])</f>
        <v>1100</v>
      </c>
    </row>
    <row r="44" spans="2:10" x14ac:dyDescent="0.25">
      <c r="B44" s="28">
        <v>40</v>
      </c>
      <c r="C44" s="35">
        <v>43505</v>
      </c>
      <c r="D44" s="29" t="s">
        <v>9</v>
      </c>
      <c r="E44" s="29" t="s">
        <v>15</v>
      </c>
      <c r="F44" s="29" t="s">
        <v>11</v>
      </c>
      <c r="G44" s="28">
        <v>1000</v>
      </c>
      <c r="H44" s="28">
        <v>1</v>
      </c>
      <c r="I44" s="30">
        <f>TownTeam1[[#This Row],[Selling price]]*TownTeam1[[#This Row],[Item quantity]]</f>
        <v>1000</v>
      </c>
      <c r="J44" s="30">
        <f>IF(TownTeam1[[#This Row],[Item name]]=" Jeans - Denim",TownTeam1[[#This Row],[Total sales]]*0.85,TownTeam1[[#This Row],[Total sales]])</f>
        <v>1000</v>
      </c>
    </row>
    <row r="45" spans="2:10" x14ac:dyDescent="0.25">
      <c r="B45" s="28">
        <v>41</v>
      </c>
      <c r="C45" s="35">
        <v>43506</v>
      </c>
      <c r="D45" s="29" t="s">
        <v>9</v>
      </c>
      <c r="E45" s="29" t="s">
        <v>15</v>
      </c>
      <c r="F45" s="29" t="s">
        <v>11</v>
      </c>
      <c r="G45" s="28">
        <v>1000</v>
      </c>
      <c r="H45" s="28">
        <v>1</v>
      </c>
      <c r="I45" s="30">
        <f>TownTeam1[[#This Row],[Selling price]]*TownTeam1[[#This Row],[Item quantity]]</f>
        <v>1000</v>
      </c>
      <c r="J45" s="30">
        <f>IF(TownTeam1[[#This Row],[Item name]]=" Jeans - Denim",TownTeam1[[#This Row],[Total sales]]*0.85,TownTeam1[[#This Row],[Total sales]])</f>
        <v>1000</v>
      </c>
    </row>
    <row r="46" spans="2:10" x14ac:dyDescent="0.25">
      <c r="B46" s="28">
        <v>42</v>
      </c>
      <c r="C46" s="35">
        <v>43507</v>
      </c>
      <c r="D46" s="29" t="s">
        <v>9</v>
      </c>
      <c r="E46" s="29" t="s">
        <v>10</v>
      </c>
      <c r="F46" s="29" t="s">
        <v>11</v>
      </c>
      <c r="G46" s="28">
        <v>1100</v>
      </c>
      <c r="H46" s="28">
        <v>1</v>
      </c>
      <c r="I46" s="30">
        <f>TownTeam1[[#This Row],[Selling price]]*TownTeam1[[#This Row],[Item quantity]]</f>
        <v>1100</v>
      </c>
      <c r="J46" s="30">
        <f>IF(TownTeam1[[#This Row],[Item name]]=" Jeans - Denim",TownTeam1[[#This Row],[Total sales]]*0.85,TownTeam1[[#This Row],[Total sales]])</f>
        <v>1100</v>
      </c>
    </row>
    <row r="47" spans="2:10" x14ac:dyDescent="0.25">
      <c r="B47" s="28">
        <v>43</v>
      </c>
      <c r="C47" s="35">
        <v>43508</v>
      </c>
      <c r="D47" s="29" t="s">
        <v>9</v>
      </c>
      <c r="E47" s="29" t="s">
        <v>15</v>
      </c>
      <c r="F47" s="29" t="s">
        <v>11</v>
      </c>
      <c r="G47" s="28">
        <v>1000</v>
      </c>
      <c r="H47" s="28">
        <v>1</v>
      </c>
      <c r="I47" s="30">
        <f>TownTeam1[[#This Row],[Selling price]]*TownTeam1[[#This Row],[Item quantity]]</f>
        <v>1000</v>
      </c>
      <c r="J47" s="30">
        <f>IF(TownTeam1[[#This Row],[Item name]]=" Jeans - Denim",TownTeam1[[#This Row],[Total sales]]*0.85,TownTeam1[[#This Row],[Total sales]])</f>
        <v>1000</v>
      </c>
    </row>
    <row r="48" spans="2:10" x14ac:dyDescent="0.25">
      <c r="B48" s="28">
        <v>44</v>
      </c>
      <c r="C48" s="35">
        <v>43509</v>
      </c>
      <c r="D48" s="29" t="s">
        <v>9</v>
      </c>
      <c r="E48" s="29" t="s">
        <v>12</v>
      </c>
      <c r="F48" s="29" t="s">
        <v>11</v>
      </c>
      <c r="G48" s="28">
        <v>900</v>
      </c>
      <c r="H48" s="28">
        <v>1</v>
      </c>
      <c r="I48" s="30">
        <f>TownTeam1[[#This Row],[Selling price]]*TownTeam1[[#This Row],[Item quantity]]</f>
        <v>900</v>
      </c>
      <c r="J48" s="30">
        <f>IF(TownTeam1[[#This Row],[Item name]]=" Jeans - Denim",TownTeam1[[#This Row],[Total sales]]*0.85,TownTeam1[[#This Row],[Total sales]])</f>
        <v>765</v>
      </c>
    </row>
    <row r="49" spans="2:10" x14ac:dyDescent="0.25">
      <c r="B49" s="28">
        <v>45</v>
      </c>
      <c r="C49" s="35">
        <v>43510</v>
      </c>
      <c r="D49" s="29" t="s">
        <v>9</v>
      </c>
      <c r="E49" s="29" t="s">
        <v>12</v>
      </c>
      <c r="F49" s="29" t="s">
        <v>11</v>
      </c>
      <c r="G49" s="28">
        <v>900</v>
      </c>
      <c r="H49" s="28">
        <v>2</v>
      </c>
      <c r="I49" s="30">
        <f>TownTeam1[[#This Row],[Selling price]]*TownTeam1[[#This Row],[Item quantity]]</f>
        <v>1800</v>
      </c>
      <c r="J49" s="30">
        <f>IF(TownTeam1[[#This Row],[Item name]]=" Jeans - Denim",TownTeam1[[#This Row],[Total sales]]*0.85,TownTeam1[[#This Row],[Total sales]])</f>
        <v>1530</v>
      </c>
    </row>
    <row r="50" spans="2:10" x14ac:dyDescent="0.25">
      <c r="B50" s="28">
        <v>46</v>
      </c>
      <c r="C50" s="35">
        <v>43511</v>
      </c>
      <c r="D50" s="29" t="s">
        <v>9</v>
      </c>
      <c r="E50" s="29" t="s">
        <v>10</v>
      </c>
      <c r="F50" s="29" t="s">
        <v>11</v>
      </c>
      <c r="G50" s="28">
        <v>1100</v>
      </c>
      <c r="H50" s="28">
        <v>1</v>
      </c>
      <c r="I50" s="30">
        <f>TownTeam1[[#This Row],[Selling price]]*TownTeam1[[#This Row],[Item quantity]]</f>
        <v>1100</v>
      </c>
      <c r="J50" s="30">
        <f>IF(TownTeam1[[#This Row],[Item name]]=" Jeans - Denim",TownTeam1[[#This Row],[Total sales]]*0.85,TownTeam1[[#This Row],[Total sales]])</f>
        <v>1100</v>
      </c>
    </row>
    <row r="51" spans="2:10" x14ac:dyDescent="0.25">
      <c r="B51" s="28">
        <v>47</v>
      </c>
      <c r="C51" s="35">
        <v>43512</v>
      </c>
      <c r="D51" s="29" t="s">
        <v>9</v>
      </c>
      <c r="E51" s="29" t="s">
        <v>12</v>
      </c>
      <c r="F51" s="29" t="s">
        <v>11</v>
      </c>
      <c r="G51" s="28">
        <v>900</v>
      </c>
      <c r="H51" s="28">
        <v>1</v>
      </c>
      <c r="I51" s="30">
        <f>TownTeam1[[#This Row],[Selling price]]*TownTeam1[[#This Row],[Item quantity]]</f>
        <v>900</v>
      </c>
      <c r="J51" s="30">
        <f>IF(TownTeam1[[#This Row],[Item name]]=" Jeans - Denim",TownTeam1[[#This Row],[Total sales]]*0.85,TownTeam1[[#This Row],[Total sales]])</f>
        <v>765</v>
      </c>
    </row>
    <row r="52" spans="2:10" x14ac:dyDescent="0.25">
      <c r="B52" s="28">
        <v>48</v>
      </c>
      <c r="C52" s="35">
        <v>43513</v>
      </c>
      <c r="D52" s="29" t="s">
        <v>9</v>
      </c>
      <c r="E52" s="29" t="s">
        <v>10</v>
      </c>
      <c r="F52" s="29" t="s">
        <v>11</v>
      </c>
      <c r="G52" s="28">
        <v>1100</v>
      </c>
      <c r="H52" s="28">
        <v>1</v>
      </c>
      <c r="I52" s="30">
        <f>TownTeam1[[#This Row],[Selling price]]*TownTeam1[[#This Row],[Item quantity]]</f>
        <v>1100</v>
      </c>
      <c r="J52" s="30">
        <f>IF(TownTeam1[[#This Row],[Item name]]=" Jeans - Denim",TownTeam1[[#This Row],[Total sales]]*0.85,TownTeam1[[#This Row],[Total sales]])</f>
        <v>1100</v>
      </c>
    </row>
    <row r="53" spans="2:10" x14ac:dyDescent="0.25">
      <c r="B53" s="28">
        <v>49</v>
      </c>
      <c r="C53" s="35">
        <v>43514</v>
      </c>
      <c r="D53" s="29" t="s">
        <v>9</v>
      </c>
      <c r="E53" s="29" t="s">
        <v>16</v>
      </c>
      <c r="F53" s="29" t="s">
        <v>17</v>
      </c>
      <c r="G53" s="28">
        <v>800</v>
      </c>
      <c r="H53" s="28">
        <v>1</v>
      </c>
      <c r="I53" s="30">
        <f>TownTeam1[[#This Row],[Selling price]]*TownTeam1[[#This Row],[Item quantity]]</f>
        <v>800</v>
      </c>
      <c r="J53" s="30">
        <f>IF(TownTeam1[[#This Row],[Item name]]=" Jeans - Denim",TownTeam1[[#This Row],[Total sales]]*0.85,TownTeam1[[#This Row],[Total sales]])</f>
        <v>800</v>
      </c>
    </row>
    <row r="54" spans="2:10" x14ac:dyDescent="0.25">
      <c r="B54" s="28">
        <v>50</v>
      </c>
      <c r="C54" s="35">
        <v>43515</v>
      </c>
      <c r="D54" s="29" t="s">
        <v>9</v>
      </c>
      <c r="E54" s="29" t="s">
        <v>16</v>
      </c>
      <c r="F54" s="29" t="s">
        <v>17</v>
      </c>
      <c r="G54" s="28">
        <v>800</v>
      </c>
      <c r="H54" s="28">
        <v>2</v>
      </c>
      <c r="I54" s="30">
        <f>TownTeam1[[#This Row],[Selling price]]*TownTeam1[[#This Row],[Item quantity]]</f>
        <v>1600</v>
      </c>
      <c r="J54" s="30">
        <f>IF(TownTeam1[[#This Row],[Item name]]=" Jeans - Denim",TownTeam1[[#This Row],[Total sales]]*0.85,TownTeam1[[#This Row],[Total sales]])</f>
        <v>1600</v>
      </c>
    </row>
    <row r="55" spans="2:10" x14ac:dyDescent="0.25">
      <c r="B55" s="28">
        <v>51</v>
      </c>
      <c r="C55" s="35">
        <v>43516</v>
      </c>
      <c r="D55" s="29" t="s">
        <v>9</v>
      </c>
      <c r="E55" s="29" t="s">
        <v>14</v>
      </c>
      <c r="F55" s="29" t="s">
        <v>11</v>
      </c>
      <c r="G55" s="28">
        <v>900</v>
      </c>
      <c r="H55" s="28">
        <v>1</v>
      </c>
      <c r="I55" s="30">
        <f>TownTeam1[[#This Row],[Selling price]]*TownTeam1[[#This Row],[Item quantity]]</f>
        <v>900</v>
      </c>
      <c r="J55" s="30">
        <f>IF(TownTeam1[[#This Row],[Item name]]=" Jeans - Denim",TownTeam1[[#This Row],[Total sales]]*0.85,TownTeam1[[#This Row],[Total sales]])</f>
        <v>900</v>
      </c>
    </row>
    <row r="56" spans="2:10" x14ac:dyDescent="0.25">
      <c r="B56" s="28">
        <v>52</v>
      </c>
      <c r="C56" s="35">
        <v>43517</v>
      </c>
      <c r="D56" s="29" t="s">
        <v>9</v>
      </c>
      <c r="E56" s="29" t="s">
        <v>10</v>
      </c>
      <c r="F56" s="29" t="s">
        <v>11</v>
      </c>
      <c r="G56" s="28">
        <v>1100</v>
      </c>
      <c r="H56" s="28">
        <v>1</v>
      </c>
      <c r="I56" s="30">
        <f>TownTeam1[[#This Row],[Selling price]]*TownTeam1[[#This Row],[Item quantity]]</f>
        <v>1100</v>
      </c>
      <c r="J56" s="30">
        <f>IF(TownTeam1[[#This Row],[Item name]]=" Jeans - Denim",TownTeam1[[#This Row],[Total sales]]*0.85,TownTeam1[[#This Row],[Total sales]])</f>
        <v>1100</v>
      </c>
    </row>
    <row r="57" spans="2:10" x14ac:dyDescent="0.25">
      <c r="B57" s="28">
        <v>53</v>
      </c>
      <c r="C57" s="35">
        <v>43518</v>
      </c>
      <c r="D57" s="29" t="s">
        <v>9</v>
      </c>
      <c r="E57" s="29" t="s">
        <v>16</v>
      </c>
      <c r="F57" s="29" t="s">
        <v>17</v>
      </c>
      <c r="G57" s="28">
        <v>800</v>
      </c>
      <c r="H57" s="28">
        <v>1</v>
      </c>
      <c r="I57" s="30">
        <f>TownTeam1[[#This Row],[Selling price]]*TownTeam1[[#This Row],[Item quantity]]</f>
        <v>800</v>
      </c>
      <c r="J57" s="30">
        <f>IF(TownTeam1[[#This Row],[Item name]]=" Jeans - Denim",TownTeam1[[#This Row],[Total sales]]*0.85,TownTeam1[[#This Row],[Total sales]])</f>
        <v>800</v>
      </c>
    </row>
    <row r="58" spans="2:10" x14ac:dyDescent="0.25">
      <c r="B58" s="28">
        <v>54</v>
      </c>
      <c r="C58" s="35">
        <v>43519</v>
      </c>
      <c r="D58" s="29" t="s">
        <v>9</v>
      </c>
      <c r="E58" s="29" t="s">
        <v>15</v>
      </c>
      <c r="F58" s="29" t="s">
        <v>11</v>
      </c>
      <c r="G58" s="28">
        <v>1000</v>
      </c>
      <c r="H58" s="28">
        <v>1</v>
      </c>
      <c r="I58" s="30">
        <f>TownTeam1[[#This Row],[Selling price]]*TownTeam1[[#This Row],[Item quantity]]</f>
        <v>1000</v>
      </c>
      <c r="J58" s="30">
        <f>IF(TownTeam1[[#This Row],[Item name]]=" Jeans - Denim",TownTeam1[[#This Row],[Total sales]]*0.85,TownTeam1[[#This Row],[Total sales]])</f>
        <v>1000</v>
      </c>
    </row>
    <row r="59" spans="2:10" x14ac:dyDescent="0.25">
      <c r="B59" s="28">
        <v>55</v>
      </c>
      <c r="C59" s="35">
        <v>43520</v>
      </c>
      <c r="D59" s="29" t="s">
        <v>9</v>
      </c>
      <c r="E59" s="29" t="s">
        <v>16</v>
      </c>
      <c r="F59" s="29" t="s">
        <v>17</v>
      </c>
      <c r="G59" s="28">
        <v>800</v>
      </c>
      <c r="H59" s="28">
        <v>1</v>
      </c>
      <c r="I59" s="30">
        <f>TownTeam1[[#This Row],[Selling price]]*TownTeam1[[#This Row],[Item quantity]]</f>
        <v>800</v>
      </c>
      <c r="J59" s="30">
        <f>IF(TownTeam1[[#This Row],[Item name]]=" Jeans - Denim",TownTeam1[[#This Row],[Total sales]]*0.85,TownTeam1[[#This Row],[Total sales]])</f>
        <v>800</v>
      </c>
    </row>
    <row r="60" spans="2:10" x14ac:dyDescent="0.25">
      <c r="B60" s="28">
        <v>56</v>
      </c>
      <c r="C60" s="35">
        <v>43521</v>
      </c>
      <c r="D60" s="29" t="s">
        <v>9</v>
      </c>
      <c r="E60" s="29" t="s">
        <v>18</v>
      </c>
      <c r="F60" s="29" t="s">
        <v>17</v>
      </c>
      <c r="G60" s="28">
        <v>600</v>
      </c>
      <c r="H60" s="28">
        <v>1</v>
      </c>
      <c r="I60" s="30">
        <f>TownTeam1[[#This Row],[Selling price]]*TownTeam1[[#This Row],[Item quantity]]</f>
        <v>600</v>
      </c>
      <c r="J60" s="30">
        <f>IF(TownTeam1[[#This Row],[Item name]]=" Jeans - Denim",TownTeam1[[#This Row],[Total sales]]*0.85,TownTeam1[[#This Row],[Total sales]])</f>
        <v>600</v>
      </c>
    </row>
    <row r="61" spans="2:10" x14ac:dyDescent="0.25">
      <c r="B61" s="28">
        <v>57</v>
      </c>
      <c r="C61" s="35">
        <v>43522</v>
      </c>
      <c r="D61" s="29" t="s">
        <v>9</v>
      </c>
      <c r="E61" s="29" t="s">
        <v>12</v>
      </c>
      <c r="F61" s="29" t="s">
        <v>11</v>
      </c>
      <c r="G61" s="28">
        <v>900</v>
      </c>
      <c r="H61" s="28">
        <v>1</v>
      </c>
      <c r="I61" s="30">
        <f>TownTeam1[[#This Row],[Selling price]]*TownTeam1[[#This Row],[Item quantity]]</f>
        <v>900</v>
      </c>
      <c r="J61" s="30">
        <f>IF(TownTeam1[[#This Row],[Item name]]=" Jeans - Denim",TownTeam1[[#This Row],[Total sales]]*0.85,TownTeam1[[#This Row],[Total sales]])</f>
        <v>765</v>
      </c>
    </row>
    <row r="62" spans="2:10" x14ac:dyDescent="0.25">
      <c r="B62" s="28">
        <v>58</v>
      </c>
      <c r="C62" s="35">
        <v>43523</v>
      </c>
      <c r="D62" s="29" t="s">
        <v>9</v>
      </c>
      <c r="E62" s="29" t="s">
        <v>10</v>
      </c>
      <c r="F62" s="29" t="s">
        <v>11</v>
      </c>
      <c r="G62" s="28">
        <v>1100</v>
      </c>
      <c r="H62" s="28">
        <v>1</v>
      </c>
      <c r="I62" s="30">
        <f>TownTeam1[[#This Row],[Selling price]]*TownTeam1[[#This Row],[Item quantity]]</f>
        <v>1100</v>
      </c>
      <c r="J62" s="30">
        <f>IF(TownTeam1[[#This Row],[Item name]]=" Jeans - Denim",TownTeam1[[#This Row],[Total sales]]*0.85,TownTeam1[[#This Row],[Total sales]])</f>
        <v>1100</v>
      </c>
    </row>
    <row r="63" spans="2:10" x14ac:dyDescent="0.25">
      <c r="B63" s="28">
        <v>59</v>
      </c>
      <c r="C63" s="35">
        <v>43524</v>
      </c>
      <c r="D63" s="29" t="s">
        <v>9</v>
      </c>
      <c r="E63" s="29" t="s">
        <v>15</v>
      </c>
      <c r="F63" s="29" t="s">
        <v>11</v>
      </c>
      <c r="G63" s="28">
        <v>1000</v>
      </c>
      <c r="H63" s="28">
        <v>1</v>
      </c>
      <c r="I63" s="30">
        <f>TownTeam1[[#This Row],[Selling price]]*TownTeam1[[#This Row],[Item quantity]]</f>
        <v>1000</v>
      </c>
      <c r="J63" s="30">
        <f>IF(TownTeam1[[#This Row],[Item name]]=" Jeans - Denim",TownTeam1[[#This Row],[Total sales]]*0.85,TownTeam1[[#This Row],[Total sales]])</f>
        <v>1000</v>
      </c>
    </row>
    <row r="64" spans="2:10" x14ac:dyDescent="0.25">
      <c r="B64" s="28">
        <v>60</v>
      </c>
      <c r="C64" s="35">
        <v>43525</v>
      </c>
      <c r="D64" s="29" t="s">
        <v>9</v>
      </c>
      <c r="E64" s="29" t="s">
        <v>12</v>
      </c>
      <c r="F64" s="29" t="s">
        <v>11</v>
      </c>
      <c r="G64" s="28">
        <v>900</v>
      </c>
      <c r="H64" s="28">
        <v>1</v>
      </c>
      <c r="I64" s="30">
        <f>TownTeam1[[#This Row],[Selling price]]*TownTeam1[[#This Row],[Item quantity]]</f>
        <v>900</v>
      </c>
      <c r="J64" s="30">
        <f>IF(TownTeam1[[#This Row],[Item name]]=" Jeans - Denim",TownTeam1[[#This Row],[Total sales]]*0.85,TownTeam1[[#This Row],[Total sales]])</f>
        <v>765</v>
      </c>
    </row>
    <row r="65" spans="2:10" x14ac:dyDescent="0.25">
      <c r="B65" s="28">
        <v>61</v>
      </c>
      <c r="C65" s="35">
        <v>43526</v>
      </c>
      <c r="D65" s="29" t="s">
        <v>9</v>
      </c>
      <c r="E65" s="29" t="s">
        <v>10</v>
      </c>
      <c r="F65" s="29" t="s">
        <v>11</v>
      </c>
      <c r="G65" s="28">
        <v>1100</v>
      </c>
      <c r="H65" s="28">
        <v>2</v>
      </c>
      <c r="I65" s="30">
        <f>TownTeam1[[#This Row],[Selling price]]*TownTeam1[[#This Row],[Item quantity]]</f>
        <v>2200</v>
      </c>
      <c r="J65" s="30">
        <f>IF(TownTeam1[[#This Row],[Item name]]=" Jeans - Denim",TownTeam1[[#This Row],[Total sales]]*0.85,TownTeam1[[#This Row],[Total sales]])</f>
        <v>2200</v>
      </c>
    </row>
    <row r="66" spans="2:10" x14ac:dyDescent="0.25">
      <c r="B66" s="28">
        <v>62</v>
      </c>
      <c r="C66" s="35">
        <v>43527</v>
      </c>
      <c r="D66" s="29" t="s">
        <v>9</v>
      </c>
      <c r="E66" s="29" t="s">
        <v>18</v>
      </c>
      <c r="F66" s="29" t="s">
        <v>17</v>
      </c>
      <c r="G66" s="28">
        <v>600</v>
      </c>
      <c r="H66" s="28">
        <v>1</v>
      </c>
      <c r="I66" s="30">
        <f>TownTeam1[[#This Row],[Selling price]]*TownTeam1[[#This Row],[Item quantity]]</f>
        <v>600</v>
      </c>
      <c r="J66" s="30">
        <f>IF(TownTeam1[[#This Row],[Item name]]=" Jeans - Denim",TownTeam1[[#This Row],[Total sales]]*0.85,TownTeam1[[#This Row],[Total sales]])</f>
        <v>600</v>
      </c>
    </row>
    <row r="67" spans="2:10" x14ac:dyDescent="0.25">
      <c r="B67" s="28">
        <v>63</v>
      </c>
      <c r="C67" s="35">
        <v>43528</v>
      </c>
      <c r="D67" s="29" t="s">
        <v>9</v>
      </c>
      <c r="E67" s="29" t="s">
        <v>18</v>
      </c>
      <c r="F67" s="29" t="s">
        <v>17</v>
      </c>
      <c r="G67" s="28">
        <v>600</v>
      </c>
      <c r="H67" s="28">
        <v>1</v>
      </c>
      <c r="I67" s="30">
        <f>TownTeam1[[#This Row],[Selling price]]*TownTeam1[[#This Row],[Item quantity]]</f>
        <v>600</v>
      </c>
      <c r="J67" s="30">
        <f>IF(TownTeam1[[#This Row],[Item name]]=" Jeans - Denim",TownTeam1[[#This Row],[Total sales]]*0.85,TownTeam1[[#This Row],[Total sales]])</f>
        <v>600</v>
      </c>
    </row>
    <row r="68" spans="2:10" x14ac:dyDescent="0.25">
      <c r="B68" s="28">
        <v>64</v>
      </c>
      <c r="C68" s="35">
        <v>43529</v>
      </c>
      <c r="D68" s="29" t="s">
        <v>9</v>
      </c>
      <c r="E68" s="29" t="s">
        <v>18</v>
      </c>
      <c r="F68" s="29" t="s">
        <v>17</v>
      </c>
      <c r="G68" s="28">
        <v>600</v>
      </c>
      <c r="H68" s="28">
        <v>1</v>
      </c>
      <c r="I68" s="30">
        <f>TownTeam1[[#This Row],[Selling price]]*TownTeam1[[#This Row],[Item quantity]]</f>
        <v>600</v>
      </c>
      <c r="J68" s="30">
        <f>IF(TownTeam1[[#This Row],[Item name]]=" Jeans - Denim",TownTeam1[[#This Row],[Total sales]]*0.85,TownTeam1[[#This Row],[Total sales]])</f>
        <v>600</v>
      </c>
    </row>
    <row r="69" spans="2:10" x14ac:dyDescent="0.25">
      <c r="B69" s="28">
        <v>65</v>
      </c>
      <c r="C69" s="35">
        <v>43530</v>
      </c>
      <c r="D69" s="29" t="s">
        <v>9</v>
      </c>
      <c r="E69" s="29" t="s">
        <v>12</v>
      </c>
      <c r="F69" s="29" t="s">
        <v>11</v>
      </c>
      <c r="G69" s="28">
        <v>900</v>
      </c>
      <c r="H69" s="28">
        <v>1</v>
      </c>
      <c r="I69" s="30">
        <f>TownTeam1[[#This Row],[Selling price]]*TownTeam1[[#This Row],[Item quantity]]</f>
        <v>900</v>
      </c>
      <c r="J69" s="30">
        <f>IF(TownTeam1[[#This Row],[Item name]]=" Jeans - Denim",TownTeam1[[#This Row],[Total sales]]*0.85,TownTeam1[[#This Row],[Total sales]])</f>
        <v>765</v>
      </c>
    </row>
    <row r="70" spans="2:10" x14ac:dyDescent="0.25">
      <c r="B70" s="28">
        <v>66</v>
      </c>
      <c r="C70" s="35">
        <v>43531</v>
      </c>
      <c r="D70" s="29" t="s">
        <v>9</v>
      </c>
      <c r="E70" s="29" t="s">
        <v>18</v>
      </c>
      <c r="F70" s="29" t="s">
        <v>17</v>
      </c>
      <c r="G70" s="28">
        <v>600</v>
      </c>
      <c r="H70" s="28">
        <v>1</v>
      </c>
      <c r="I70" s="30">
        <f>TownTeam1[[#This Row],[Selling price]]*TownTeam1[[#This Row],[Item quantity]]</f>
        <v>600</v>
      </c>
      <c r="J70" s="30">
        <f>IF(TownTeam1[[#This Row],[Item name]]=" Jeans - Denim",TownTeam1[[#This Row],[Total sales]]*0.85,TownTeam1[[#This Row],[Total sales]])</f>
        <v>600</v>
      </c>
    </row>
    <row r="71" spans="2:10" x14ac:dyDescent="0.25">
      <c r="B71" s="28">
        <v>67</v>
      </c>
      <c r="C71" s="35">
        <v>43532</v>
      </c>
      <c r="D71" s="29" t="s">
        <v>9</v>
      </c>
      <c r="E71" s="29" t="s">
        <v>18</v>
      </c>
      <c r="F71" s="29" t="s">
        <v>17</v>
      </c>
      <c r="G71" s="28">
        <v>600</v>
      </c>
      <c r="H71" s="28">
        <v>1</v>
      </c>
      <c r="I71" s="30">
        <f>TownTeam1[[#This Row],[Selling price]]*TownTeam1[[#This Row],[Item quantity]]</f>
        <v>600</v>
      </c>
      <c r="J71" s="30">
        <f>IF(TownTeam1[[#This Row],[Item name]]=" Jeans - Denim",TownTeam1[[#This Row],[Total sales]]*0.85,TownTeam1[[#This Row],[Total sales]])</f>
        <v>600</v>
      </c>
    </row>
    <row r="72" spans="2:10" x14ac:dyDescent="0.25">
      <c r="B72" s="28">
        <v>68</v>
      </c>
      <c r="C72" s="35">
        <v>43533</v>
      </c>
      <c r="D72" s="29" t="s">
        <v>9</v>
      </c>
      <c r="E72" s="29" t="s">
        <v>10</v>
      </c>
      <c r="F72" s="29" t="s">
        <v>11</v>
      </c>
      <c r="G72" s="28">
        <v>1100</v>
      </c>
      <c r="H72" s="28">
        <v>1</v>
      </c>
      <c r="I72" s="30">
        <f>TownTeam1[[#This Row],[Selling price]]*TownTeam1[[#This Row],[Item quantity]]</f>
        <v>1100</v>
      </c>
      <c r="J72" s="30">
        <f>IF(TownTeam1[[#This Row],[Item name]]=" Jeans - Denim",TownTeam1[[#This Row],[Total sales]]*0.85,TownTeam1[[#This Row],[Total sales]])</f>
        <v>1100</v>
      </c>
    </row>
    <row r="73" spans="2:10" x14ac:dyDescent="0.25">
      <c r="B73" s="28">
        <v>69</v>
      </c>
      <c r="C73" s="35">
        <v>43534</v>
      </c>
      <c r="D73" s="29" t="s">
        <v>9</v>
      </c>
      <c r="E73" s="29" t="s">
        <v>14</v>
      </c>
      <c r="F73" s="29" t="s">
        <v>11</v>
      </c>
      <c r="G73" s="28">
        <v>900</v>
      </c>
      <c r="H73" s="28">
        <v>3</v>
      </c>
      <c r="I73" s="30">
        <f>TownTeam1[[#This Row],[Selling price]]*TownTeam1[[#This Row],[Item quantity]]</f>
        <v>2700</v>
      </c>
      <c r="J73" s="30">
        <f>IF(TownTeam1[[#This Row],[Item name]]=" Jeans - Denim",TownTeam1[[#This Row],[Total sales]]*0.85,TownTeam1[[#This Row],[Total sales]])</f>
        <v>2700</v>
      </c>
    </row>
    <row r="74" spans="2:10" x14ac:dyDescent="0.25">
      <c r="B74" s="28">
        <v>70</v>
      </c>
      <c r="C74" s="35">
        <v>43535</v>
      </c>
      <c r="D74" s="29" t="s">
        <v>9</v>
      </c>
      <c r="E74" s="29" t="s">
        <v>10</v>
      </c>
      <c r="F74" s="29" t="s">
        <v>11</v>
      </c>
      <c r="G74" s="28">
        <v>1100</v>
      </c>
      <c r="H74" s="28">
        <v>2</v>
      </c>
      <c r="I74" s="30">
        <f>TownTeam1[[#This Row],[Selling price]]*TownTeam1[[#This Row],[Item quantity]]</f>
        <v>2200</v>
      </c>
      <c r="J74" s="30">
        <f>IF(TownTeam1[[#This Row],[Item name]]=" Jeans - Denim",TownTeam1[[#This Row],[Total sales]]*0.85,TownTeam1[[#This Row],[Total sales]])</f>
        <v>2200</v>
      </c>
    </row>
    <row r="75" spans="2:10" x14ac:dyDescent="0.25">
      <c r="B75" s="28">
        <v>71</v>
      </c>
      <c r="C75" s="35">
        <v>43536</v>
      </c>
      <c r="D75" s="29" t="s">
        <v>9</v>
      </c>
      <c r="E75" s="29" t="s">
        <v>10</v>
      </c>
      <c r="F75" s="29" t="s">
        <v>11</v>
      </c>
      <c r="G75" s="28">
        <v>1100</v>
      </c>
      <c r="H75" s="28">
        <v>1</v>
      </c>
      <c r="I75" s="30">
        <f>TownTeam1[[#This Row],[Selling price]]*TownTeam1[[#This Row],[Item quantity]]</f>
        <v>1100</v>
      </c>
      <c r="J75" s="30">
        <f>IF(TownTeam1[[#This Row],[Item name]]=" Jeans - Denim",TownTeam1[[#This Row],[Total sales]]*0.85,TownTeam1[[#This Row],[Total sales]])</f>
        <v>1100</v>
      </c>
    </row>
    <row r="76" spans="2:10" x14ac:dyDescent="0.25">
      <c r="B76" s="28">
        <v>72</v>
      </c>
      <c r="C76" s="35">
        <v>43537</v>
      </c>
      <c r="D76" s="29" t="s">
        <v>9</v>
      </c>
      <c r="E76" s="29" t="s">
        <v>18</v>
      </c>
      <c r="F76" s="29" t="s">
        <v>17</v>
      </c>
      <c r="G76" s="28">
        <v>600</v>
      </c>
      <c r="H76" s="28">
        <v>1</v>
      </c>
      <c r="I76" s="30">
        <f>TownTeam1[[#This Row],[Selling price]]*TownTeam1[[#This Row],[Item quantity]]</f>
        <v>600</v>
      </c>
      <c r="J76" s="30">
        <f>IF(TownTeam1[[#This Row],[Item name]]=" Jeans - Denim",TownTeam1[[#This Row],[Total sales]]*0.85,TownTeam1[[#This Row],[Total sales]])</f>
        <v>600</v>
      </c>
    </row>
    <row r="77" spans="2:10" x14ac:dyDescent="0.25">
      <c r="B77" s="28">
        <v>73</v>
      </c>
      <c r="C77" s="35">
        <v>43538</v>
      </c>
      <c r="D77" s="29" t="s">
        <v>9</v>
      </c>
      <c r="E77" s="29" t="s">
        <v>12</v>
      </c>
      <c r="F77" s="29" t="s">
        <v>11</v>
      </c>
      <c r="G77" s="28">
        <v>900</v>
      </c>
      <c r="H77" s="28">
        <v>1</v>
      </c>
      <c r="I77" s="30">
        <f>TownTeam1[[#This Row],[Selling price]]*TownTeam1[[#This Row],[Item quantity]]</f>
        <v>900</v>
      </c>
      <c r="J77" s="30">
        <f>IF(TownTeam1[[#This Row],[Item name]]=" Jeans - Denim",TownTeam1[[#This Row],[Total sales]]*0.85,TownTeam1[[#This Row],[Total sales]])</f>
        <v>765</v>
      </c>
    </row>
    <row r="78" spans="2:10" x14ac:dyDescent="0.25">
      <c r="B78" s="28">
        <v>74</v>
      </c>
      <c r="C78" s="35">
        <v>43539</v>
      </c>
      <c r="D78" s="29" t="s">
        <v>9</v>
      </c>
      <c r="E78" s="29" t="s">
        <v>18</v>
      </c>
      <c r="F78" s="29" t="s">
        <v>17</v>
      </c>
      <c r="G78" s="28">
        <v>600</v>
      </c>
      <c r="H78" s="28">
        <v>1</v>
      </c>
      <c r="I78" s="30">
        <f>TownTeam1[[#This Row],[Selling price]]*TownTeam1[[#This Row],[Item quantity]]</f>
        <v>600</v>
      </c>
      <c r="J78" s="30">
        <f>IF(TownTeam1[[#This Row],[Item name]]=" Jeans - Denim",TownTeam1[[#This Row],[Total sales]]*0.85,TownTeam1[[#This Row],[Total sales]])</f>
        <v>600</v>
      </c>
    </row>
    <row r="79" spans="2:10" x14ac:dyDescent="0.25">
      <c r="B79" s="28">
        <v>75</v>
      </c>
      <c r="C79" s="35">
        <v>43540</v>
      </c>
      <c r="D79" s="29" t="s">
        <v>9</v>
      </c>
      <c r="E79" s="29" t="s">
        <v>18</v>
      </c>
      <c r="F79" s="29" t="s">
        <v>17</v>
      </c>
      <c r="G79" s="28">
        <v>600</v>
      </c>
      <c r="H79" s="28">
        <v>1</v>
      </c>
      <c r="I79" s="30">
        <f>TownTeam1[[#This Row],[Selling price]]*TownTeam1[[#This Row],[Item quantity]]</f>
        <v>600</v>
      </c>
      <c r="J79" s="30">
        <f>IF(TownTeam1[[#This Row],[Item name]]=" Jeans - Denim",TownTeam1[[#This Row],[Total sales]]*0.85,TownTeam1[[#This Row],[Total sales]])</f>
        <v>600</v>
      </c>
    </row>
    <row r="80" spans="2:10" x14ac:dyDescent="0.25">
      <c r="B80" s="28">
        <v>76</v>
      </c>
      <c r="C80" s="35">
        <v>43541</v>
      </c>
      <c r="D80" s="29" t="s">
        <v>9</v>
      </c>
      <c r="E80" s="29" t="s">
        <v>12</v>
      </c>
      <c r="F80" s="29" t="s">
        <v>11</v>
      </c>
      <c r="G80" s="28">
        <v>900</v>
      </c>
      <c r="H80" s="28">
        <v>3</v>
      </c>
      <c r="I80" s="30">
        <f>TownTeam1[[#This Row],[Selling price]]*TownTeam1[[#This Row],[Item quantity]]</f>
        <v>2700</v>
      </c>
      <c r="J80" s="30">
        <f>IF(TownTeam1[[#This Row],[Item name]]=" Jeans - Denim",TownTeam1[[#This Row],[Total sales]]*0.85,TownTeam1[[#This Row],[Total sales]])</f>
        <v>2295</v>
      </c>
    </row>
    <row r="81" spans="2:10" x14ac:dyDescent="0.25">
      <c r="B81" s="28">
        <v>77</v>
      </c>
      <c r="C81" s="35">
        <v>43542</v>
      </c>
      <c r="D81" s="29" t="s">
        <v>9</v>
      </c>
      <c r="E81" s="29" t="s">
        <v>18</v>
      </c>
      <c r="F81" s="29" t="s">
        <v>17</v>
      </c>
      <c r="G81" s="28">
        <v>600</v>
      </c>
      <c r="H81" s="28">
        <v>1</v>
      </c>
      <c r="I81" s="30">
        <f>TownTeam1[[#This Row],[Selling price]]*TownTeam1[[#This Row],[Item quantity]]</f>
        <v>600</v>
      </c>
      <c r="J81" s="30">
        <f>IF(TownTeam1[[#This Row],[Item name]]=" Jeans - Denim",TownTeam1[[#This Row],[Total sales]]*0.85,TownTeam1[[#This Row],[Total sales]])</f>
        <v>600</v>
      </c>
    </row>
    <row r="82" spans="2:10" x14ac:dyDescent="0.25">
      <c r="B82" s="28">
        <v>78</v>
      </c>
      <c r="C82" s="35">
        <v>43543</v>
      </c>
      <c r="D82" s="29" t="s">
        <v>9</v>
      </c>
      <c r="E82" s="29" t="s">
        <v>16</v>
      </c>
      <c r="F82" s="29" t="s">
        <v>17</v>
      </c>
      <c r="G82" s="28">
        <v>800</v>
      </c>
      <c r="H82" s="28">
        <v>1</v>
      </c>
      <c r="I82" s="30">
        <f>TownTeam1[[#This Row],[Selling price]]*TownTeam1[[#This Row],[Item quantity]]</f>
        <v>800</v>
      </c>
      <c r="J82" s="30">
        <f>IF(TownTeam1[[#This Row],[Item name]]=" Jeans - Denim",TownTeam1[[#This Row],[Total sales]]*0.85,TownTeam1[[#This Row],[Total sales]])</f>
        <v>800</v>
      </c>
    </row>
    <row r="83" spans="2:10" x14ac:dyDescent="0.25">
      <c r="B83" s="28">
        <v>79</v>
      </c>
      <c r="C83" s="35">
        <v>43544</v>
      </c>
      <c r="D83" s="29" t="s">
        <v>9</v>
      </c>
      <c r="E83" s="29" t="s">
        <v>18</v>
      </c>
      <c r="F83" s="29" t="s">
        <v>17</v>
      </c>
      <c r="G83" s="28">
        <v>600</v>
      </c>
      <c r="H83" s="28">
        <v>1</v>
      </c>
      <c r="I83" s="30">
        <f>TownTeam1[[#This Row],[Selling price]]*TownTeam1[[#This Row],[Item quantity]]</f>
        <v>600</v>
      </c>
      <c r="J83" s="30">
        <f>IF(TownTeam1[[#This Row],[Item name]]=" Jeans - Denim",TownTeam1[[#This Row],[Total sales]]*0.85,TownTeam1[[#This Row],[Total sales]])</f>
        <v>600</v>
      </c>
    </row>
    <row r="84" spans="2:10" x14ac:dyDescent="0.25">
      <c r="B84" s="28">
        <v>80</v>
      </c>
      <c r="C84" s="35">
        <v>43545</v>
      </c>
      <c r="D84" s="29" t="s">
        <v>9</v>
      </c>
      <c r="E84" s="29" t="s">
        <v>10</v>
      </c>
      <c r="F84" s="29" t="s">
        <v>11</v>
      </c>
      <c r="G84" s="28">
        <v>1100</v>
      </c>
      <c r="H84" s="28">
        <v>1</v>
      </c>
      <c r="I84" s="30">
        <f>TownTeam1[[#This Row],[Selling price]]*TownTeam1[[#This Row],[Item quantity]]</f>
        <v>1100</v>
      </c>
      <c r="J84" s="30">
        <f>IF(TownTeam1[[#This Row],[Item name]]=" Jeans - Denim",TownTeam1[[#This Row],[Total sales]]*0.85,TownTeam1[[#This Row],[Total sales]])</f>
        <v>1100</v>
      </c>
    </row>
    <row r="85" spans="2:10" x14ac:dyDescent="0.25">
      <c r="B85" s="28">
        <v>81</v>
      </c>
      <c r="C85" s="35">
        <v>43546</v>
      </c>
      <c r="D85" s="29" t="s">
        <v>9</v>
      </c>
      <c r="E85" s="29" t="s">
        <v>14</v>
      </c>
      <c r="F85" s="29" t="s">
        <v>11</v>
      </c>
      <c r="G85" s="28">
        <v>900</v>
      </c>
      <c r="H85" s="28">
        <v>1</v>
      </c>
      <c r="I85" s="30">
        <f>TownTeam1[[#This Row],[Selling price]]*TownTeam1[[#This Row],[Item quantity]]</f>
        <v>900</v>
      </c>
      <c r="J85" s="30">
        <f>IF(TownTeam1[[#This Row],[Item name]]=" Jeans - Denim",TownTeam1[[#This Row],[Total sales]]*0.85,TownTeam1[[#This Row],[Total sales]])</f>
        <v>900</v>
      </c>
    </row>
    <row r="86" spans="2:10" x14ac:dyDescent="0.25">
      <c r="B86" s="28">
        <v>82</v>
      </c>
      <c r="C86" s="35">
        <v>43547</v>
      </c>
      <c r="D86" s="29" t="s">
        <v>9</v>
      </c>
      <c r="E86" s="29" t="s">
        <v>10</v>
      </c>
      <c r="F86" s="29" t="s">
        <v>11</v>
      </c>
      <c r="G86" s="28">
        <v>1100</v>
      </c>
      <c r="H86" s="28">
        <v>1</v>
      </c>
      <c r="I86" s="30">
        <f>TownTeam1[[#This Row],[Selling price]]*TownTeam1[[#This Row],[Item quantity]]</f>
        <v>1100</v>
      </c>
      <c r="J86" s="30">
        <f>IF(TownTeam1[[#This Row],[Item name]]=" Jeans - Denim",TownTeam1[[#This Row],[Total sales]]*0.85,TownTeam1[[#This Row],[Total sales]])</f>
        <v>1100</v>
      </c>
    </row>
    <row r="87" spans="2:10" x14ac:dyDescent="0.25">
      <c r="B87" s="28">
        <v>83</v>
      </c>
      <c r="C87" s="35">
        <v>43548</v>
      </c>
      <c r="D87" s="29" t="s">
        <v>9</v>
      </c>
      <c r="E87" s="29" t="s">
        <v>10</v>
      </c>
      <c r="F87" s="29" t="s">
        <v>11</v>
      </c>
      <c r="G87" s="28">
        <v>1100</v>
      </c>
      <c r="H87" s="28">
        <v>1</v>
      </c>
      <c r="I87" s="30">
        <f>TownTeam1[[#This Row],[Selling price]]*TownTeam1[[#This Row],[Item quantity]]</f>
        <v>1100</v>
      </c>
      <c r="J87" s="30">
        <f>IF(TownTeam1[[#This Row],[Item name]]=" Jeans - Denim",TownTeam1[[#This Row],[Total sales]]*0.85,TownTeam1[[#This Row],[Total sales]])</f>
        <v>1100</v>
      </c>
    </row>
    <row r="88" spans="2:10" x14ac:dyDescent="0.25">
      <c r="B88" s="28">
        <v>84</v>
      </c>
      <c r="C88" s="35">
        <v>43549</v>
      </c>
      <c r="D88" s="29" t="s">
        <v>9</v>
      </c>
      <c r="E88" s="29" t="s">
        <v>10</v>
      </c>
      <c r="F88" s="29" t="s">
        <v>11</v>
      </c>
      <c r="G88" s="28">
        <v>1100</v>
      </c>
      <c r="H88" s="28">
        <v>1</v>
      </c>
      <c r="I88" s="30">
        <f>TownTeam1[[#This Row],[Selling price]]*TownTeam1[[#This Row],[Item quantity]]</f>
        <v>1100</v>
      </c>
      <c r="J88" s="30">
        <f>IF(TownTeam1[[#This Row],[Item name]]=" Jeans - Denim",TownTeam1[[#This Row],[Total sales]]*0.85,TownTeam1[[#This Row],[Total sales]])</f>
        <v>1100</v>
      </c>
    </row>
    <row r="89" spans="2:10" x14ac:dyDescent="0.25">
      <c r="B89" s="28">
        <v>85</v>
      </c>
      <c r="C89" s="35">
        <v>43550</v>
      </c>
      <c r="D89" s="29" t="s">
        <v>9</v>
      </c>
      <c r="E89" s="29" t="s">
        <v>15</v>
      </c>
      <c r="F89" s="29" t="s">
        <v>11</v>
      </c>
      <c r="G89" s="28">
        <v>1000</v>
      </c>
      <c r="H89" s="28">
        <v>1</v>
      </c>
      <c r="I89" s="30">
        <f>TownTeam1[[#This Row],[Selling price]]*TownTeam1[[#This Row],[Item quantity]]</f>
        <v>1000</v>
      </c>
      <c r="J89" s="30">
        <f>IF(TownTeam1[[#This Row],[Item name]]=" Jeans - Denim",TownTeam1[[#This Row],[Total sales]]*0.85,TownTeam1[[#This Row],[Total sales]])</f>
        <v>1000</v>
      </c>
    </row>
    <row r="90" spans="2:10" x14ac:dyDescent="0.25">
      <c r="B90" s="28">
        <v>86</v>
      </c>
      <c r="C90" s="35">
        <v>43551</v>
      </c>
      <c r="D90" s="29" t="s">
        <v>9</v>
      </c>
      <c r="E90" s="29" t="s">
        <v>18</v>
      </c>
      <c r="F90" s="29" t="s">
        <v>17</v>
      </c>
      <c r="G90" s="28">
        <v>600</v>
      </c>
      <c r="H90" s="28">
        <v>1</v>
      </c>
      <c r="I90" s="30">
        <f>TownTeam1[[#This Row],[Selling price]]*TownTeam1[[#This Row],[Item quantity]]</f>
        <v>600</v>
      </c>
      <c r="J90" s="30">
        <f>IF(TownTeam1[[#This Row],[Item name]]=" Jeans - Denim",TownTeam1[[#This Row],[Total sales]]*0.85,TownTeam1[[#This Row],[Total sales]])</f>
        <v>600</v>
      </c>
    </row>
    <row r="91" spans="2:10" x14ac:dyDescent="0.25">
      <c r="B91" s="28">
        <v>87</v>
      </c>
      <c r="C91" s="35">
        <v>43552</v>
      </c>
      <c r="D91" s="29" t="s">
        <v>9</v>
      </c>
      <c r="E91" s="29" t="s">
        <v>16</v>
      </c>
      <c r="F91" s="29" t="s">
        <v>17</v>
      </c>
      <c r="G91" s="28">
        <v>800</v>
      </c>
      <c r="H91" s="28">
        <v>1</v>
      </c>
      <c r="I91" s="30">
        <f>TownTeam1[[#This Row],[Selling price]]*TownTeam1[[#This Row],[Item quantity]]</f>
        <v>800</v>
      </c>
      <c r="J91" s="30">
        <f>IF(TownTeam1[[#This Row],[Item name]]=" Jeans - Denim",TownTeam1[[#This Row],[Total sales]]*0.85,TownTeam1[[#This Row],[Total sales]])</f>
        <v>800</v>
      </c>
    </row>
    <row r="92" spans="2:10" x14ac:dyDescent="0.25">
      <c r="B92" s="28">
        <v>88</v>
      </c>
      <c r="C92" s="35">
        <v>43553</v>
      </c>
      <c r="D92" s="29" t="s">
        <v>9</v>
      </c>
      <c r="E92" s="29" t="s">
        <v>10</v>
      </c>
      <c r="F92" s="29" t="s">
        <v>11</v>
      </c>
      <c r="G92" s="28">
        <v>1100</v>
      </c>
      <c r="H92" s="28">
        <v>1</v>
      </c>
      <c r="I92" s="30">
        <f>TownTeam1[[#This Row],[Selling price]]*TownTeam1[[#This Row],[Item quantity]]</f>
        <v>1100</v>
      </c>
      <c r="J92" s="30">
        <f>IF(TownTeam1[[#This Row],[Item name]]=" Jeans - Denim",TownTeam1[[#This Row],[Total sales]]*0.85,TownTeam1[[#This Row],[Total sales]])</f>
        <v>1100</v>
      </c>
    </row>
    <row r="93" spans="2:10" x14ac:dyDescent="0.25">
      <c r="B93" s="28">
        <v>89</v>
      </c>
      <c r="C93" s="35">
        <v>43554</v>
      </c>
      <c r="D93" s="29" t="s">
        <v>9</v>
      </c>
      <c r="E93" s="29" t="s">
        <v>18</v>
      </c>
      <c r="F93" s="29" t="s">
        <v>17</v>
      </c>
      <c r="G93" s="28">
        <v>600</v>
      </c>
      <c r="H93" s="28">
        <v>1</v>
      </c>
      <c r="I93" s="30">
        <f>TownTeam1[[#This Row],[Selling price]]*TownTeam1[[#This Row],[Item quantity]]</f>
        <v>600</v>
      </c>
      <c r="J93" s="30">
        <f>IF(TownTeam1[[#This Row],[Item name]]=" Jeans - Denim",TownTeam1[[#This Row],[Total sales]]*0.85,TownTeam1[[#This Row],[Total sales]])</f>
        <v>600</v>
      </c>
    </row>
    <row r="94" spans="2:10" x14ac:dyDescent="0.25">
      <c r="B94" s="28">
        <v>90</v>
      </c>
      <c r="C94" s="35">
        <v>43555</v>
      </c>
      <c r="D94" s="29" t="s">
        <v>9</v>
      </c>
      <c r="E94" s="29" t="s">
        <v>19</v>
      </c>
      <c r="F94" s="29" t="s">
        <v>20</v>
      </c>
      <c r="G94" s="28">
        <v>850</v>
      </c>
      <c r="H94" s="28">
        <v>1</v>
      </c>
      <c r="I94" s="30">
        <f>TownTeam1[[#This Row],[Selling price]]*TownTeam1[[#This Row],[Item quantity]]</f>
        <v>850</v>
      </c>
      <c r="J94" s="30">
        <f>IF(TownTeam1[[#This Row],[Item name]]=" Jeans - Denim",TownTeam1[[#This Row],[Total sales]]*0.85,TownTeam1[[#This Row],[Total sales]])</f>
        <v>850</v>
      </c>
    </row>
    <row r="95" spans="2:10" x14ac:dyDescent="0.25">
      <c r="B95" s="28">
        <v>91</v>
      </c>
      <c r="C95" s="35">
        <v>43556</v>
      </c>
      <c r="D95" s="29" t="s">
        <v>9</v>
      </c>
      <c r="E95" s="29" t="s">
        <v>14</v>
      </c>
      <c r="F95" s="29" t="s">
        <v>11</v>
      </c>
      <c r="G95" s="28">
        <v>900</v>
      </c>
      <c r="H95" s="28">
        <v>1</v>
      </c>
      <c r="I95" s="30">
        <f>TownTeam1[[#This Row],[Selling price]]*TownTeam1[[#This Row],[Item quantity]]</f>
        <v>900</v>
      </c>
      <c r="J95" s="30">
        <f>IF(TownTeam1[[#This Row],[Item name]]=" Jeans - Denim",TownTeam1[[#This Row],[Total sales]]*0.85,TownTeam1[[#This Row],[Total sales]])</f>
        <v>900</v>
      </c>
    </row>
    <row r="96" spans="2:10" x14ac:dyDescent="0.25">
      <c r="B96" s="28">
        <v>92</v>
      </c>
      <c r="C96" s="35">
        <v>43557</v>
      </c>
      <c r="D96" s="29" t="s">
        <v>9</v>
      </c>
      <c r="E96" s="29" t="s">
        <v>15</v>
      </c>
      <c r="F96" s="29" t="s">
        <v>11</v>
      </c>
      <c r="G96" s="28">
        <v>1000</v>
      </c>
      <c r="H96" s="28">
        <v>1</v>
      </c>
      <c r="I96" s="30">
        <f>TownTeam1[[#This Row],[Selling price]]*TownTeam1[[#This Row],[Item quantity]]</f>
        <v>1000</v>
      </c>
      <c r="J96" s="30">
        <f>IF(TownTeam1[[#This Row],[Item name]]=" Jeans - Denim",TownTeam1[[#This Row],[Total sales]]*0.85,TownTeam1[[#This Row],[Total sales]])</f>
        <v>1000</v>
      </c>
    </row>
    <row r="97" spans="2:10" x14ac:dyDescent="0.25">
      <c r="B97" s="28">
        <v>93</v>
      </c>
      <c r="C97" s="35">
        <v>43558</v>
      </c>
      <c r="D97" s="29" t="s">
        <v>9</v>
      </c>
      <c r="E97" s="29" t="s">
        <v>19</v>
      </c>
      <c r="F97" s="29" t="s">
        <v>20</v>
      </c>
      <c r="G97" s="28">
        <v>850</v>
      </c>
      <c r="H97" s="28">
        <v>1</v>
      </c>
      <c r="I97" s="30">
        <f>TownTeam1[[#This Row],[Selling price]]*TownTeam1[[#This Row],[Item quantity]]</f>
        <v>850</v>
      </c>
      <c r="J97" s="30">
        <f>IF(TownTeam1[[#This Row],[Item name]]=" Jeans - Denim",TownTeam1[[#This Row],[Total sales]]*0.85,TownTeam1[[#This Row],[Total sales]])</f>
        <v>850</v>
      </c>
    </row>
    <row r="98" spans="2:10" x14ac:dyDescent="0.25">
      <c r="B98" s="28">
        <v>94</v>
      </c>
      <c r="C98" s="35">
        <v>43559</v>
      </c>
      <c r="D98" s="29" t="s">
        <v>9</v>
      </c>
      <c r="E98" s="29" t="s">
        <v>19</v>
      </c>
      <c r="F98" s="29" t="s">
        <v>20</v>
      </c>
      <c r="G98" s="28">
        <v>850</v>
      </c>
      <c r="H98" s="28">
        <v>1</v>
      </c>
      <c r="I98" s="30">
        <f>TownTeam1[[#This Row],[Selling price]]*TownTeam1[[#This Row],[Item quantity]]</f>
        <v>850</v>
      </c>
      <c r="J98" s="30">
        <f>IF(TownTeam1[[#This Row],[Item name]]=" Jeans - Denim",TownTeam1[[#This Row],[Total sales]]*0.85,TownTeam1[[#This Row],[Total sales]])</f>
        <v>850</v>
      </c>
    </row>
    <row r="99" spans="2:10" x14ac:dyDescent="0.25">
      <c r="B99" s="28">
        <v>95</v>
      </c>
      <c r="C99" s="35">
        <v>43560</v>
      </c>
      <c r="D99" s="29" t="s">
        <v>9</v>
      </c>
      <c r="E99" s="29" t="s">
        <v>15</v>
      </c>
      <c r="F99" s="29" t="s">
        <v>11</v>
      </c>
      <c r="G99" s="28">
        <v>1000</v>
      </c>
      <c r="H99" s="28">
        <v>1</v>
      </c>
      <c r="I99" s="30">
        <f>TownTeam1[[#This Row],[Selling price]]*TownTeam1[[#This Row],[Item quantity]]</f>
        <v>1000</v>
      </c>
      <c r="J99" s="30">
        <f>IF(TownTeam1[[#This Row],[Item name]]=" Jeans - Denim",TownTeam1[[#This Row],[Total sales]]*0.85,TownTeam1[[#This Row],[Total sales]])</f>
        <v>1000</v>
      </c>
    </row>
    <row r="100" spans="2:10" x14ac:dyDescent="0.25">
      <c r="B100" s="28">
        <v>96</v>
      </c>
      <c r="C100" s="35">
        <v>43561</v>
      </c>
      <c r="D100" s="29" t="s">
        <v>9</v>
      </c>
      <c r="E100" s="29" t="s">
        <v>16</v>
      </c>
      <c r="F100" s="29" t="s">
        <v>17</v>
      </c>
      <c r="G100" s="28">
        <v>800</v>
      </c>
      <c r="H100" s="28">
        <v>1</v>
      </c>
      <c r="I100" s="30">
        <f>TownTeam1[[#This Row],[Selling price]]*TownTeam1[[#This Row],[Item quantity]]</f>
        <v>800</v>
      </c>
      <c r="J100" s="30">
        <f>IF(TownTeam1[[#This Row],[Item name]]=" Jeans - Denim",TownTeam1[[#This Row],[Total sales]]*0.85,TownTeam1[[#This Row],[Total sales]])</f>
        <v>800</v>
      </c>
    </row>
    <row r="101" spans="2:10" x14ac:dyDescent="0.25">
      <c r="B101" s="28">
        <v>97</v>
      </c>
      <c r="C101" s="35">
        <v>43562</v>
      </c>
      <c r="D101" s="29" t="s">
        <v>9</v>
      </c>
      <c r="E101" s="29" t="s">
        <v>18</v>
      </c>
      <c r="F101" s="29" t="s">
        <v>17</v>
      </c>
      <c r="G101" s="28">
        <v>600</v>
      </c>
      <c r="H101" s="28">
        <v>1</v>
      </c>
      <c r="I101" s="30">
        <f>TownTeam1[[#This Row],[Selling price]]*TownTeam1[[#This Row],[Item quantity]]</f>
        <v>600</v>
      </c>
      <c r="J101" s="30">
        <f>IF(TownTeam1[[#This Row],[Item name]]=" Jeans - Denim",TownTeam1[[#This Row],[Total sales]]*0.85,TownTeam1[[#This Row],[Total sales]])</f>
        <v>600</v>
      </c>
    </row>
    <row r="102" spans="2:10" x14ac:dyDescent="0.25">
      <c r="B102" s="28">
        <v>98</v>
      </c>
      <c r="C102" s="35">
        <v>43563</v>
      </c>
      <c r="D102" s="29" t="s">
        <v>9</v>
      </c>
      <c r="E102" s="29" t="s">
        <v>16</v>
      </c>
      <c r="F102" s="29" t="s">
        <v>17</v>
      </c>
      <c r="G102" s="28">
        <v>800</v>
      </c>
      <c r="H102" s="28">
        <v>1</v>
      </c>
      <c r="I102" s="30">
        <f>TownTeam1[[#This Row],[Selling price]]*TownTeam1[[#This Row],[Item quantity]]</f>
        <v>800</v>
      </c>
      <c r="J102" s="30">
        <f>IF(TownTeam1[[#This Row],[Item name]]=" Jeans - Denim",TownTeam1[[#This Row],[Total sales]]*0.85,TownTeam1[[#This Row],[Total sales]])</f>
        <v>800</v>
      </c>
    </row>
    <row r="103" spans="2:10" x14ac:dyDescent="0.25">
      <c r="B103" s="28">
        <v>99</v>
      </c>
      <c r="C103" s="35">
        <v>43564</v>
      </c>
      <c r="D103" s="29" t="s">
        <v>9</v>
      </c>
      <c r="E103" s="29" t="s">
        <v>10</v>
      </c>
      <c r="F103" s="29" t="s">
        <v>11</v>
      </c>
      <c r="G103" s="28">
        <v>1100</v>
      </c>
      <c r="H103" s="28">
        <v>1</v>
      </c>
      <c r="I103" s="30">
        <f>TownTeam1[[#This Row],[Selling price]]*TownTeam1[[#This Row],[Item quantity]]</f>
        <v>1100</v>
      </c>
      <c r="J103" s="30">
        <f>IF(TownTeam1[[#This Row],[Item name]]=" Jeans - Denim",TownTeam1[[#This Row],[Total sales]]*0.85,TownTeam1[[#This Row],[Total sales]])</f>
        <v>1100</v>
      </c>
    </row>
    <row r="104" spans="2:10" x14ac:dyDescent="0.25">
      <c r="B104" s="28">
        <v>100</v>
      </c>
      <c r="C104" s="35">
        <v>43565</v>
      </c>
      <c r="D104" s="29" t="s">
        <v>9</v>
      </c>
      <c r="E104" s="29" t="s">
        <v>19</v>
      </c>
      <c r="F104" s="29" t="s">
        <v>20</v>
      </c>
      <c r="G104" s="28">
        <v>850</v>
      </c>
      <c r="H104" s="28">
        <v>1</v>
      </c>
      <c r="I104" s="30">
        <f>TownTeam1[[#This Row],[Selling price]]*TownTeam1[[#This Row],[Item quantity]]</f>
        <v>850</v>
      </c>
      <c r="J104" s="30">
        <f>IF(TownTeam1[[#This Row],[Item name]]=" Jeans - Denim",TownTeam1[[#This Row],[Total sales]]*0.85,TownTeam1[[#This Row],[Total sales]])</f>
        <v>850</v>
      </c>
    </row>
    <row r="105" spans="2:10" x14ac:dyDescent="0.25">
      <c r="B105" s="28">
        <v>101</v>
      </c>
      <c r="C105" s="35">
        <v>43566</v>
      </c>
      <c r="D105" s="29" t="s">
        <v>9</v>
      </c>
      <c r="E105" s="29" t="s">
        <v>19</v>
      </c>
      <c r="F105" s="29" t="s">
        <v>20</v>
      </c>
      <c r="G105" s="28">
        <v>850</v>
      </c>
      <c r="H105" s="28">
        <v>1</v>
      </c>
      <c r="I105" s="30">
        <f>TownTeam1[[#This Row],[Selling price]]*TownTeam1[[#This Row],[Item quantity]]</f>
        <v>850</v>
      </c>
      <c r="J105" s="30">
        <f>IF(TownTeam1[[#This Row],[Item name]]=" Jeans - Denim",TownTeam1[[#This Row],[Total sales]]*0.85,TownTeam1[[#This Row],[Total sales]])</f>
        <v>850</v>
      </c>
    </row>
    <row r="106" spans="2:10" x14ac:dyDescent="0.25">
      <c r="B106" s="28">
        <v>102</v>
      </c>
      <c r="C106" s="35">
        <v>43567</v>
      </c>
      <c r="D106" s="29" t="s">
        <v>9</v>
      </c>
      <c r="E106" s="29" t="s">
        <v>19</v>
      </c>
      <c r="F106" s="29" t="s">
        <v>20</v>
      </c>
      <c r="G106" s="28">
        <v>850</v>
      </c>
      <c r="H106" s="28">
        <v>1</v>
      </c>
      <c r="I106" s="30">
        <f>TownTeam1[[#This Row],[Selling price]]*TownTeam1[[#This Row],[Item quantity]]</f>
        <v>850</v>
      </c>
      <c r="J106" s="30">
        <f>IF(TownTeam1[[#This Row],[Item name]]=" Jeans - Denim",TownTeam1[[#This Row],[Total sales]]*0.85,TownTeam1[[#This Row],[Total sales]])</f>
        <v>850</v>
      </c>
    </row>
    <row r="107" spans="2:10" x14ac:dyDescent="0.25">
      <c r="B107" s="28">
        <v>103</v>
      </c>
      <c r="C107" s="35">
        <v>43568</v>
      </c>
      <c r="D107" s="29" t="s">
        <v>9</v>
      </c>
      <c r="E107" s="29" t="s">
        <v>18</v>
      </c>
      <c r="F107" s="29" t="s">
        <v>17</v>
      </c>
      <c r="G107" s="28">
        <v>600</v>
      </c>
      <c r="H107" s="28">
        <v>1</v>
      </c>
      <c r="I107" s="30">
        <f>TownTeam1[[#This Row],[Selling price]]*TownTeam1[[#This Row],[Item quantity]]</f>
        <v>600</v>
      </c>
      <c r="J107" s="30">
        <f>IF(TownTeam1[[#This Row],[Item name]]=" Jeans - Denim",TownTeam1[[#This Row],[Total sales]]*0.85,TownTeam1[[#This Row],[Total sales]])</f>
        <v>600</v>
      </c>
    </row>
    <row r="108" spans="2:10" x14ac:dyDescent="0.25">
      <c r="B108" s="28">
        <v>104</v>
      </c>
      <c r="C108" s="35">
        <v>43569</v>
      </c>
      <c r="D108" s="29" t="s">
        <v>9</v>
      </c>
      <c r="E108" s="29" t="s">
        <v>19</v>
      </c>
      <c r="F108" s="29" t="s">
        <v>20</v>
      </c>
      <c r="G108" s="28">
        <v>850</v>
      </c>
      <c r="H108" s="28">
        <v>1</v>
      </c>
      <c r="I108" s="30">
        <f>TownTeam1[[#This Row],[Selling price]]*TownTeam1[[#This Row],[Item quantity]]</f>
        <v>850</v>
      </c>
      <c r="J108" s="30">
        <f>IF(TownTeam1[[#This Row],[Item name]]=" Jeans - Denim",TownTeam1[[#This Row],[Total sales]]*0.85,TownTeam1[[#This Row],[Total sales]])</f>
        <v>850</v>
      </c>
    </row>
    <row r="109" spans="2:10" x14ac:dyDescent="0.25">
      <c r="B109" s="28">
        <v>105</v>
      </c>
      <c r="C109" s="35">
        <v>43570</v>
      </c>
      <c r="D109" s="29" t="s">
        <v>9</v>
      </c>
      <c r="E109" s="29" t="s">
        <v>19</v>
      </c>
      <c r="F109" s="29" t="s">
        <v>20</v>
      </c>
      <c r="G109" s="28">
        <v>850</v>
      </c>
      <c r="H109" s="28">
        <v>1</v>
      </c>
      <c r="I109" s="30">
        <f>TownTeam1[[#This Row],[Selling price]]*TownTeam1[[#This Row],[Item quantity]]</f>
        <v>850</v>
      </c>
      <c r="J109" s="30">
        <f>IF(TownTeam1[[#This Row],[Item name]]=" Jeans - Denim",TownTeam1[[#This Row],[Total sales]]*0.85,TownTeam1[[#This Row],[Total sales]])</f>
        <v>850</v>
      </c>
    </row>
    <row r="110" spans="2:10" x14ac:dyDescent="0.25">
      <c r="B110" s="28">
        <v>106</v>
      </c>
      <c r="C110" s="35">
        <v>43571</v>
      </c>
      <c r="D110" s="29" t="s">
        <v>9</v>
      </c>
      <c r="E110" s="29" t="s">
        <v>10</v>
      </c>
      <c r="F110" s="29" t="s">
        <v>11</v>
      </c>
      <c r="G110" s="28">
        <v>1100</v>
      </c>
      <c r="H110" s="28">
        <v>1</v>
      </c>
      <c r="I110" s="30">
        <f>TownTeam1[[#This Row],[Selling price]]*TownTeam1[[#This Row],[Item quantity]]</f>
        <v>1100</v>
      </c>
      <c r="J110" s="30">
        <f>IF(TownTeam1[[#This Row],[Item name]]=" Jeans - Denim",TownTeam1[[#This Row],[Total sales]]*0.85,TownTeam1[[#This Row],[Total sales]])</f>
        <v>1100</v>
      </c>
    </row>
    <row r="111" spans="2:10" x14ac:dyDescent="0.25">
      <c r="B111" s="28">
        <v>107</v>
      </c>
      <c r="C111" s="35">
        <v>43572</v>
      </c>
      <c r="D111" s="29" t="s">
        <v>9</v>
      </c>
      <c r="E111" s="29" t="s">
        <v>15</v>
      </c>
      <c r="F111" s="29" t="s">
        <v>11</v>
      </c>
      <c r="G111" s="28">
        <v>1000</v>
      </c>
      <c r="H111" s="28">
        <v>1</v>
      </c>
      <c r="I111" s="30">
        <f>TownTeam1[[#This Row],[Selling price]]*TownTeam1[[#This Row],[Item quantity]]</f>
        <v>1000</v>
      </c>
      <c r="J111" s="30">
        <f>IF(TownTeam1[[#This Row],[Item name]]=" Jeans - Denim",TownTeam1[[#This Row],[Total sales]]*0.85,TownTeam1[[#This Row],[Total sales]])</f>
        <v>1000</v>
      </c>
    </row>
    <row r="112" spans="2:10" x14ac:dyDescent="0.25">
      <c r="B112" s="28">
        <v>108</v>
      </c>
      <c r="C112" s="35">
        <v>43573</v>
      </c>
      <c r="D112" s="29" t="s">
        <v>9</v>
      </c>
      <c r="E112" s="29" t="s">
        <v>10</v>
      </c>
      <c r="F112" s="29" t="s">
        <v>11</v>
      </c>
      <c r="G112" s="28">
        <v>1100</v>
      </c>
      <c r="H112" s="28">
        <v>1</v>
      </c>
      <c r="I112" s="30">
        <f>TownTeam1[[#This Row],[Selling price]]*TownTeam1[[#This Row],[Item quantity]]</f>
        <v>1100</v>
      </c>
      <c r="J112" s="30">
        <f>IF(TownTeam1[[#This Row],[Item name]]=" Jeans - Denim",TownTeam1[[#This Row],[Total sales]]*0.85,TownTeam1[[#This Row],[Total sales]])</f>
        <v>1100</v>
      </c>
    </row>
    <row r="113" spans="2:10" x14ac:dyDescent="0.25">
      <c r="B113" s="28">
        <v>109</v>
      </c>
      <c r="C113" s="35">
        <v>43574</v>
      </c>
      <c r="D113" s="29" t="s">
        <v>9</v>
      </c>
      <c r="E113" s="29" t="s">
        <v>18</v>
      </c>
      <c r="F113" s="29" t="s">
        <v>17</v>
      </c>
      <c r="G113" s="28">
        <v>600</v>
      </c>
      <c r="H113" s="28">
        <v>1</v>
      </c>
      <c r="I113" s="30">
        <f>TownTeam1[[#This Row],[Selling price]]*TownTeam1[[#This Row],[Item quantity]]</f>
        <v>600</v>
      </c>
      <c r="J113" s="30">
        <f>IF(TownTeam1[[#This Row],[Item name]]=" Jeans - Denim",TownTeam1[[#This Row],[Total sales]]*0.85,TownTeam1[[#This Row],[Total sales]])</f>
        <v>600</v>
      </c>
    </row>
    <row r="114" spans="2:10" x14ac:dyDescent="0.25">
      <c r="B114" s="28">
        <v>110</v>
      </c>
      <c r="C114" s="35">
        <v>43575</v>
      </c>
      <c r="D114" s="29" t="s">
        <v>9</v>
      </c>
      <c r="E114" s="29" t="s">
        <v>18</v>
      </c>
      <c r="F114" s="29" t="s">
        <v>17</v>
      </c>
      <c r="G114" s="28">
        <v>600</v>
      </c>
      <c r="H114" s="28">
        <v>2</v>
      </c>
      <c r="I114" s="30">
        <f>TownTeam1[[#This Row],[Selling price]]*TownTeam1[[#This Row],[Item quantity]]</f>
        <v>1200</v>
      </c>
      <c r="J114" s="30">
        <f>IF(TownTeam1[[#This Row],[Item name]]=" Jeans - Denim",TownTeam1[[#This Row],[Total sales]]*0.85,TownTeam1[[#This Row],[Total sales]])</f>
        <v>1200</v>
      </c>
    </row>
    <row r="115" spans="2:10" x14ac:dyDescent="0.25">
      <c r="B115" s="28">
        <v>111</v>
      </c>
      <c r="C115" s="35">
        <v>43576</v>
      </c>
      <c r="D115" s="29" t="s">
        <v>9</v>
      </c>
      <c r="E115" s="29" t="s">
        <v>18</v>
      </c>
      <c r="F115" s="29" t="s">
        <v>17</v>
      </c>
      <c r="G115" s="28">
        <v>600</v>
      </c>
      <c r="H115" s="28">
        <v>1</v>
      </c>
      <c r="I115" s="30">
        <f>TownTeam1[[#This Row],[Selling price]]*TownTeam1[[#This Row],[Item quantity]]</f>
        <v>600</v>
      </c>
      <c r="J115" s="30">
        <f>IF(TownTeam1[[#This Row],[Item name]]=" Jeans - Denim",TownTeam1[[#This Row],[Total sales]]*0.85,TownTeam1[[#This Row],[Total sales]])</f>
        <v>600</v>
      </c>
    </row>
    <row r="116" spans="2:10" x14ac:dyDescent="0.25">
      <c r="B116" s="28">
        <v>112</v>
      </c>
      <c r="C116" s="35">
        <v>43577</v>
      </c>
      <c r="D116" s="29" t="s">
        <v>9</v>
      </c>
      <c r="E116" s="29" t="s">
        <v>18</v>
      </c>
      <c r="F116" s="29" t="s">
        <v>17</v>
      </c>
      <c r="G116" s="28">
        <v>600</v>
      </c>
      <c r="H116" s="28">
        <v>1</v>
      </c>
      <c r="I116" s="30">
        <f>TownTeam1[[#This Row],[Selling price]]*TownTeam1[[#This Row],[Item quantity]]</f>
        <v>600</v>
      </c>
      <c r="J116" s="30">
        <f>IF(TownTeam1[[#This Row],[Item name]]=" Jeans - Denim",TownTeam1[[#This Row],[Total sales]]*0.85,TownTeam1[[#This Row],[Total sales]])</f>
        <v>600</v>
      </c>
    </row>
    <row r="117" spans="2:10" x14ac:dyDescent="0.25">
      <c r="B117" s="28">
        <v>113</v>
      </c>
      <c r="C117" s="35">
        <v>43578</v>
      </c>
      <c r="D117" s="29" t="s">
        <v>9</v>
      </c>
      <c r="E117" s="29" t="s">
        <v>10</v>
      </c>
      <c r="F117" s="29" t="s">
        <v>11</v>
      </c>
      <c r="G117" s="28">
        <v>1100</v>
      </c>
      <c r="H117" s="28">
        <v>1</v>
      </c>
      <c r="I117" s="30">
        <f>TownTeam1[[#This Row],[Selling price]]*TownTeam1[[#This Row],[Item quantity]]</f>
        <v>1100</v>
      </c>
      <c r="J117" s="30">
        <f>IF(TownTeam1[[#This Row],[Item name]]=" Jeans - Denim",TownTeam1[[#This Row],[Total sales]]*0.85,TownTeam1[[#This Row],[Total sales]])</f>
        <v>1100</v>
      </c>
    </row>
    <row r="118" spans="2:10" x14ac:dyDescent="0.25">
      <c r="B118" s="28">
        <v>114</v>
      </c>
      <c r="C118" s="35">
        <v>43579</v>
      </c>
      <c r="D118" s="29" t="s">
        <v>9</v>
      </c>
      <c r="E118" s="29" t="s">
        <v>14</v>
      </c>
      <c r="F118" s="29" t="s">
        <v>11</v>
      </c>
      <c r="G118" s="28">
        <v>900</v>
      </c>
      <c r="H118" s="28">
        <v>1</v>
      </c>
      <c r="I118" s="30">
        <f>TownTeam1[[#This Row],[Selling price]]*TownTeam1[[#This Row],[Item quantity]]</f>
        <v>900</v>
      </c>
      <c r="J118" s="30">
        <f>IF(TownTeam1[[#This Row],[Item name]]=" Jeans - Denim",TownTeam1[[#This Row],[Total sales]]*0.85,TownTeam1[[#This Row],[Total sales]])</f>
        <v>900</v>
      </c>
    </row>
    <row r="119" spans="2:10" x14ac:dyDescent="0.25">
      <c r="B119" s="28">
        <v>115</v>
      </c>
      <c r="C119" s="35">
        <v>43580</v>
      </c>
      <c r="D119" s="29" t="s">
        <v>9</v>
      </c>
      <c r="E119" s="29" t="s">
        <v>18</v>
      </c>
      <c r="F119" s="29" t="s">
        <v>17</v>
      </c>
      <c r="G119" s="28">
        <v>600</v>
      </c>
      <c r="H119" s="28">
        <v>1</v>
      </c>
      <c r="I119" s="30">
        <f>TownTeam1[[#This Row],[Selling price]]*TownTeam1[[#This Row],[Item quantity]]</f>
        <v>600</v>
      </c>
      <c r="J119" s="30">
        <f>IF(TownTeam1[[#This Row],[Item name]]=" Jeans - Denim",TownTeam1[[#This Row],[Total sales]]*0.85,TownTeam1[[#This Row],[Total sales]])</f>
        <v>600</v>
      </c>
    </row>
    <row r="120" spans="2:10" x14ac:dyDescent="0.25">
      <c r="B120" s="28">
        <v>116</v>
      </c>
      <c r="C120" s="35">
        <v>43581</v>
      </c>
      <c r="D120" s="29" t="s">
        <v>9</v>
      </c>
      <c r="E120" s="29" t="s">
        <v>14</v>
      </c>
      <c r="F120" s="29" t="s">
        <v>11</v>
      </c>
      <c r="G120" s="28">
        <v>900</v>
      </c>
      <c r="H120" s="28">
        <v>1</v>
      </c>
      <c r="I120" s="30">
        <f>TownTeam1[[#This Row],[Selling price]]*TownTeam1[[#This Row],[Item quantity]]</f>
        <v>900</v>
      </c>
      <c r="J120" s="30">
        <f>IF(TownTeam1[[#This Row],[Item name]]=" Jeans - Denim",TownTeam1[[#This Row],[Total sales]]*0.85,TownTeam1[[#This Row],[Total sales]])</f>
        <v>900</v>
      </c>
    </row>
    <row r="121" spans="2:10" x14ac:dyDescent="0.25">
      <c r="B121" s="28">
        <v>117</v>
      </c>
      <c r="C121" s="35">
        <v>43582</v>
      </c>
      <c r="D121" s="29" t="s">
        <v>9</v>
      </c>
      <c r="E121" s="29" t="s">
        <v>12</v>
      </c>
      <c r="F121" s="29" t="s">
        <v>11</v>
      </c>
      <c r="G121" s="28">
        <v>900</v>
      </c>
      <c r="H121" s="28">
        <v>1</v>
      </c>
      <c r="I121" s="30">
        <f>TownTeam1[[#This Row],[Selling price]]*TownTeam1[[#This Row],[Item quantity]]</f>
        <v>900</v>
      </c>
      <c r="J121" s="30">
        <f>IF(TownTeam1[[#This Row],[Item name]]=" Jeans - Denim",TownTeam1[[#This Row],[Total sales]]*0.85,TownTeam1[[#This Row],[Total sales]])</f>
        <v>765</v>
      </c>
    </row>
    <row r="122" spans="2:10" x14ac:dyDescent="0.25">
      <c r="B122" s="28">
        <v>118</v>
      </c>
      <c r="C122" s="35">
        <v>43583</v>
      </c>
      <c r="D122" s="29" t="s">
        <v>9</v>
      </c>
      <c r="E122" s="29" t="s">
        <v>18</v>
      </c>
      <c r="F122" s="29" t="s">
        <v>17</v>
      </c>
      <c r="G122" s="28">
        <v>600</v>
      </c>
      <c r="H122" s="28">
        <v>1</v>
      </c>
      <c r="I122" s="30">
        <f>TownTeam1[[#This Row],[Selling price]]*TownTeam1[[#This Row],[Item quantity]]</f>
        <v>600</v>
      </c>
      <c r="J122" s="30">
        <f>IF(TownTeam1[[#This Row],[Item name]]=" Jeans - Denim",TownTeam1[[#This Row],[Total sales]]*0.85,TownTeam1[[#This Row],[Total sales]])</f>
        <v>600</v>
      </c>
    </row>
    <row r="123" spans="2:10" x14ac:dyDescent="0.25">
      <c r="B123" s="28">
        <v>119</v>
      </c>
      <c r="C123" s="35">
        <v>43584</v>
      </c>
      <c r="D123" s="29" t="s">
        <v>9</v>
      </c>
      <c r="E123" s="29" t="s">
        <v>18</v>
      </c>
      <c r="F123" s="29" t="s">
        <v>17</v>
      </c>
      <c r="G123" s="28">
        <v>600</v>
      </c>
      <c r="H123" s="28">
        <v>1</v>
      </c>
      <c r="I123" s="30">
        <f>TownTeam1[[#This Row],[Selling price]]*TownTeam1[[#This Row],[Item quantity]]</f>
        <v>600</v>
      </c>
      <c r="J123" s="30">
        <f>IF(TownTeam1[[#This Row],[Item name]]=" Jeans - Denim",TownTeam1[[#This Row],[Total sales]]*0.85,TownTeam1[[#This Row],[Total sales]])</f>
        <v>600</v>
      </c>
    </row>
    <row r="124" spans="2:10" x14ac:dyDescent="0.25">
      <c r="B124" s="28">
        <v>120</v>
      </c>
      <c r="C124" s="35">
        <v>43585</v>
      </c>
      <c r="D124" s="29" t="s">
        <v>9</v>
      </c>
      <c r="E124" s="29" t="s">
        <v>18</v>
      </c>
      <c r="F124" s="29" t="s">
        <v>17</v>
      </c>
      <c r="G124" s="28">
        <v>600</v>
      </c>
      <c r="H124" s="28">
        <v>1</v>
      </c>
      <c r="I124" s="30">
        <f>TownTeam1[[#This Row],[Selling price]]*TownTeam1[[#This Row],[Item quantity]]</f>
        <v>600</v>
      </c>
      <c r="J124" s="30">
        <f>IF(TownTeam1[[#This Row],[Item name]]=" Jeans - Denim",TownTeam1[[#This Row],[Total sales]]*0.85,TownTeam1[[#This Row],[Total sales]])</f>
        <v>600</v>
      </c>
    </row>
    <row r="125" spans="2:10" x14ac:dyDescent="0.25">
      <c r="B125" s="28">
        <v>121</v>
      </c>
      <c r="C125" s="35">
        <v>43586</v>
      </c>
      <c r="D125" s="29" t="s">
        <v>9</v>
      </c>
      <c r="E125" s="29" t="s">
        <v>10</v>
      </c>
      <c r="F125" s="29" t="s">
        <v>11</v>
      </c>
      <c r="G125" s="28">
        <v>1100</v>
      </c>
      <c r="H125" s="28">
        <v>1</v>
      </c>
      <c r="I125" s="30">
        <f>TownTeam1[[#This Row],[Selling price]]*TownTeam1[[#This Row],[Item quantity]]</f>
        <v>1100</v>
      </c>
      <c r="J125" s="30">
        <f>IF(TownTeam1[[#This Row],[Item name]]=" Jeans - Denim",TownTeam1[[#This Row],[Total sales]]*0.85,TownTeam1[[#This Row],[Total sales]])</f>
        <v>1100</v>
      </c>
    </row>
    <row r="126" spans="2:10" x14ac:dyDescent="0.25">
      <c r="B126" s="28">
        <v>122</v>
      </c>
      <c r="C126" s="35">
        <v>43587</v>
      </c>
      <c r="D126" s="29" t="s">
        <v>9</v>
      </c>
      <c r="E126" s="29" t="s">
        <v>18</v>
      </c>
      <c r="F126" s="29" t="s">
        <v>17</v>
      </c>
      <c r="G126" s="28">
        <v>600</v>
      </c>
      <c r="H126" s="28">
        <v>1</v>
      </c>
      <c r="I126" s="30">
        <f>TownTeam1[[#This Row],[Selling price]]*TownTeam1[[#This Row],[Item quantity]]</f>
        <v>600</v>
      </c>
      <c r="J126" s="30">
        <f>IF(TownTeam1[[#This Row],[Item name]]=" Jeans - Denim",TownTeam1[[#This Row],[Total sales]]*0.85,TownTeam1[[#This Row],[Total sales]])</f>
        <v>600</v>
      </c>
    </row>
    <row r="127" spans="2:10" x14ac:dyDescent="0.25">
      <c r="B127" s="28">
        <v>123</v>
      </c>
      <c r="C127" s="35">
        <v>43588</v>
      </c>
      <c r="D127" s="29" t="s">
        <v>9</v>
      </c>
      <c r="E127" s="29" t="s">
        <v>18</v>
      </c>
      <c r="F127" s="29" t="s">
        <v>17</v>
      </c>
      <c r="G127" s="28">
        <v>600</v>
      </c>
      <c r="H127" s="28">
        <v>1</v>
      </c>
      <c r="I127" s="30">
        <f>TownTeam1[[#This Row],[Selling price]]*TownTeam1[[#This Row],[Item quantity]]</f>
        <v>600</v>
      </c>
      <c r="J127" s="30">
        <f>IF(TownTeam1[[#This Row],[Item name]]=" Jeans - Denim",TownTeam1[[#This Row],[Total sales]]*0.85,TownTeam1[[#This Row],[Total sales]])</f>
        <v>600</v>
      </c>
    </row>
    <row r="128" spans="2:10" x14ac:dyDescent="0.25">
      <c r="B128" s="28">
        <v>124</v>
      </c>
      <c r="C128" s="35">
        <v>43589</v>
      </c>
      <c r="D128" s="29" t="s">
        <v>9</v>
      </c>
      <c r="E128" s="29" t="s">
        <v>18</v>
      </c>
      <c r="F128" s="29" t="s">
        <v>17</v>
      </c>
      <c r="G128" s="28">
        <v>600</v>
      </c>
      <c r="H128" s="28">
        <v>1</v>
      </c>
      <c r="I128" s="30">
        <f>TownTeam1[[#This Row],[Selling price]]*TownTeam1[[#This Row],[Item quantity]]</f>
        <v>600</v>
      </c>
      <c r="J128" s="30">
        <f>IF(TownTeam1[[#This Row],[Item name]]=" Jeans - Denim",TownTeam1[[#This Row],[Total sales]]*0.85,TownTeam1[[#This Row],[Total sales]])</f>
        <v>600</v>
      </c>
    </row>
    <row r="129" spans="2:10" x14ac:dyDescent="0.25">
      <c r="B129" s="28">
        <v>125</v>
      </c>
      <c r="C129" s="35">
        <v>43590</v>
      </c>
      <c r="D129" s="29" t="s">
        <v>9</v>
      </c>
      <c r="E129" s="29" t="s">
        <v>12</v>
      </c>
      <c r="F129" s="29" t="s">
        <v>11</v>
      </c>
      <c r="G129" s="28">
        <v>900</v>
      </c>
      <c r="H129" s="28">
        <v>1</v>
      </c>
      <c r="I129" s="30">
        <f>TownTeam1[[#This Row],[Selling price]]*TownTeam1[[#This Row],[Item quantity]]</f>
        <v>900</v>
      </c>
      <c r="J129" s="30">
        <f>IF(TownTeam1[[#This Row],[Item name]]=" Jeans - Denim",TownTeam1[[#This Row],[Total sales]]*0.85,TownTeam1[[#This Row],[Total sales]])</f>
        <v>765</v>
      </c>
    </row>
    <row r="130" spans="2:10" x14ac:dyDescent="0.25">
      <c r="B130" s="28">
        <v>126</v>
      </c>
      <c r="C130" s="35">
        <v>43591</v>
      </c>
      <c r="D130" s="29" t="s">
        <v>9</v>
      </c>
      <c r="E130" s="29" t="s">
        <v>18</v>
      </c>
      <c r="F130" s="29" t="s">
        <v>17</v>
      </c>
      <c r="G130" s="28">
        <v>600</v>
      </c>
      <c r="H130" s="28">
        <v>1</v>
      </c>
      <c r="I130" s="30">
        <f>TownTeam1[[#This Row],[Selling price]]*TownTeam1[[#This Row],[Item quantity]]</f>
        <v>600</v>
      </c>
      <c r="J130" s="30">
        <f>IF(TownTeam1[[#This Row],[Item name]]=" Jeans - Denim",TownTeam1[[#This Row],[Total sales]]*0.85,TownTeam1[[#This Row],[Total sales]])</f>
        <v>600</v>
      </c>
    </row>
    <row r="131" spans="2:10" x14ac:dyDescent="0.25">
      <c r="B131" s="28">
        <v>127</v>
      </c>
      <c r="C131" s="35">
        <v>43592</v>
      </c>
      <c r="D131" s="29" t="s">
        <v>9</v>
      </c>
      <c r="E131" s="29" t="s">
        <v>14</v>
      </c>
      <c r="F131" s="29" t="s">
        <v>11</v>
      </c>
      <c r="G131" s="28">
        <v>900</v>
      </c>
      <c r="H131" s="28">
        <v>1</v>
      </c>
      <c r="I131" s="30">
        <f>TownTeam1[[#This Row],[Selling price]]*TownTeam1[[#This Row],[Item quantity]]</f>
        <v>900</v>
      </c>
      <c r="J131" s="30">
        <f>IF(TownTeam1[[#This Row],[Item name]]=" Jeans - Denim",TownTeam1[[#This Row],[Total sales]]*0.85,TownTeam1[[#This Row],[Total sales]])</f>
        <v>900</v>
      </c>
    </row>
    <row r="132" spans="2:10" x14ac:dyDescent="0.25">
      <c r="B132" s="28">
        <v>128</v>
      </c>
      <c r="C132" s="35">
        <v>43593</v>
      </c>
      <c r="D132" s="29" t="s">
        <v>9</v>
      </c>
      <c r="E132" s="29" t="s">
        <v>21</v>
      </c>
      <c r="F132" s="29" t="s">
        <v>20</v>
      </c>
      <c r="G132" s="28">
        <v>1200</v>
      </c>
      <c r="H132" s="28">
        <v>1</v>
      </c>
      <c r="I132" s="30">
        <f>TownTeam1[[#This Row],[Selling price]]*TownTeam1[[#This Row],[Item quantity]]</f>
        <v>1200</v>
      </c>
      <c r="J132" s="30">
        <f>IF(TownTeam1[[#This Row],[Item name]]=" Jeans - Denim",TownTeam1[[#This Row],[Total sales]]*0.85,TownTeam1[[#This Row],[Total sales]])</f>
        <v>1200</v>
      </c>
    </row>
    <row r="133" spans="2:10" x14ac:dyDescent="0.25">
      <c r="B133" s="28">
        <v>129</v>
      </c>
      <c r="C133" s="35">
        <v>43594</v>
      </c>
      <c r="D133" s="29" t="s">
        <v>9</v>
      </c>
      <c r="E133" s="29" t="s">
        <v>10</v>
      </c>
      <c r="F133" s="29" t="s">
        <v>11</v>
      </c>
      <c r="G133" s="28">
        <v>1100</v>
      </c>
      <c r="H133" s="28">
        <v>1</v>
      </c>
      <c r="I133" s="30">
        <f>TownTeam1[[#This Row],[Selling price]]*TownTeam1[[#This Row],[Item quantity]]</f>
        <v>1100</v>
      </c>
      <c r="J133" s="30">
        <f>IF(TownTeam1[[#This Row],[Item name]]=" Jeans - Denim",TownTeam1[[#This Row],[Total sales]]*0.85,TownTeam1[[#This Row],[Total sales]])</f>
        <v>1100</v>
      </c>
    </row>
    <row r="134" spans="2:10" x14ac:dyDescent="0.25">
      <c r="B134" s="28">
        <v>130</v>
      </c>
      <c r="C134" s="35">
        <v>43595</v>
      </c>
      <c r="D134" s="29" t="s">
        <v>9</v>
      </c>
      <c r="E134" s="29" t="s">
        <v>10</v>
      </c>
      <c r="F134" s="29" t="s">
        <v>11</v>
      </c>
      <c r="G134" s="28">
        <v>1100</v>
      </c>
      <c r="H134" s="28">
        <v>1</v>
      </c>
      <c r="I134" s="30">
        <f>TownTeam1[[#This Row],[Selling price]]*TownTeam1[[#This Row],[Item quantity]]</f>
        <v>1100</v>
      </c>
      <c r="J134" s="30">
        <f>IF(TownTeam1[[#This Row],[Item name]]=" Jeans - Denim",TownTeam1[[#This Row],[Total sales]]*0.85,TownTeam1[[#This Row],[Total sales]])</f>
        <v>1100</v>
      </c>
    </row>
    <row r="135" spans="2:10" x14ac:dyDescent="0.25">
      <c r="B135" s="28">
        <v>131</v>
      </c>
      <c r="C135" s="35">
        <v>43596</v>
      </c>
      <c r="D135" s="29" t="s">
        <v>9</v>
      </c>
      <c r="E135" s="29" t="s">
        <v>18</v>
      </c>
      <c r="F135" s="29" t="s">
        <v>17</v>
      </c>
      <c r="G135" s="28">
        <v>600</v>
      </c>
      <c r="H135" s="28">
        <v>1</v>
      </c>
      <c r="I135" s="30">
        <f>TownTeam1[[#This Row],[Selling price]]*TownTeam1[[#This Row],[Item quantity]]</f>
        <v>600</v>
      </c>
      <c r="J135" s="30">
        <f>IF(TownTeam1[[#This Row],[Item name]]=" Jeans - Denim",TownTeam1[[#This Row],[Total sales]]*0.85,TownTeam1[[#This Row],[Total sales]])</f>
        <v>600</v>
      </c>
    </row>
    <row r="136" spans="2:10" x14ac:dyDescent="0.25">
      <c r="B136" s="28">
        <v>132</v>
      </c>
      <c r="C136" s="35">
        <v>43597</v>
      </c>
      <c r="D136" s="29" t="s">
        <v>9</v>
      </c>
      <c r="E136" s="29" t="s">
        <v>18</v>
      </c>
      <c r="F136" s="29" t="s">
        <v>17</v>
      </c>
      <c r="G136" s="28">
        <v>600</v>
      </c>
      <c r="H136" s="28">
        <v>2</v>
      </c>
      <c r="I136" s="30">
        <f>TownTeam1[[#This Row],[Selling price]]*TownTeam1[[#This Row],[Item quantity]]</f>
        <v>1200</v>
      </c>
      <c r="J136" s="30">
        <f>IF(TownTeam1[[#This Row],[Item name]]=" Jeans - Denim",TownTeam1[[#This Row],[Total sales]]*0.85,TownTeam1[[#This Row],[Total sales]])</f>
        <v>1200</v>
      </c>
    </row>
    <row r="137" spans="2:10" x14ac:dyDescent="0.25">
      <c r="B137" s="28">
        <v>133</v>
      </c>
      <c r="C137" s="35">
        <v>43598</v>
      </c>
      <c r="D137" s="29" t="s">
        <v>9</v>
      </c>
      <c r="E137" s="29" t="s">
        <v>21</v>
      </c>
      <c r="F137" s="29" t="s">
        <v>20</v>
      </c>
      <c r="G137" s="28">
        <v>1200</v>
      </c>
      <c r="H137" s="28">
        <v>1</v>
      </c>
      <c r="I137" s="30">
        <f>TownTeam1[[#This Row],[Selling price]]*TownTeam1[[#This Row],[Item quantity]]</f>
        <v>1200</v>
      </c>
      <c r="J137" s="30">
        <f>IF(TownTeam1[[#This Row],[Item name]]=" Jeans - Denim",TownTeam1[[#This Row],[Total sales]]*0.85,TownTeam1[[#This Row],[Total sales]])</f>
        <v>1200</v>
      </c>
    </row>
    <row r="138" spans="2:10" x14ac:dyDescent="0.25">
      <c r="B138" s="28">
        <v>134</v>
      </c>
      <c r="C138" s="35">
        <v>43599</v>
      </c>
      <c r="D138" s="29" t="s">
        <v>9</v>
      </c>
      <c r="E138" s="29" t="s">
        <v>21</v>
      </c>
      <c r="F138" s="29" t="s">
        <v>20</v>
      </c>
      <c r="G138" s="28">
        <v>1200</v>
      </c>
      <c r="H138" s="28">
        <v>1</v>
      </c>
      <c r="I138" s="30">
        <f>TownTeam1[[#This Row],[Selling price]]*TownTeam1[[#This Row],[Item quantity]]</f>
        <v>1200</v>
      </c>
      <c r="J138" s="30">
        <f>IF(TownTeam1[[#This Row],[Item name]]=" Jeans - Denim",TownTeam1[[#This Row],[Total sales]]*0.85,TownTeam1[[#This Row],[Total sales]])</f>
        <v>1200</v>
      </c>
    </row>
    <row r="139" spans="2:10" x14ac:dyDescent="0.25">
      <c r="B139" s="28">
        <v>135</v>
      </c>
      <c r="C139" s="35">
        <v>43600</v>
      </c>
      <c r="D139" s="29" t="s">
        <v>9</v>
      </c>
      <c r="E139" s="29" t="s">
        <v>15</v>
      </c>
      <c r="F139" s="29" t="s">
        <v>11</v>
      </c>
      <c r="G139" s="28">
        <v>1000</v>
      </c>
      <c r="H139" s="28">
        <v>1</v>
      </c>
      <c r="I139" s="30">
        <f>TownTeam1[[#This Row],[Selling price]]*TownTeam1[[#This Row],[Item quantity]]</f>
        <v>1000</v>
      </c>
      <c r="J139" s="30">
        <f>IF(TownTeam1[[#This Row],[Item name]]=" Jeans - Denim",TownTeam1[[#This Row],[Total sales]]*0.85,TownTeam1[[#This Row],[Total sales]])</f>
        <v>1000</v>
      </c>
    </row>
    <row r="140" spans="2:10" x14ac:dyDescent="0.25">
      <c r="B140" s="28">
        <v>136</v>
      </c>
      <c r="C140" s="35">
        <v>43601</v>
      </c>
      <c r="D140" s="29" t="s">
        <v>9</v>
      </c>
      <c r="E140" s="29" t="s">
        <v>16</v>
      </c>
      <c r="F140" s="29" t="s">
        <v>17</v>
      </c>
      <c r="G140" s="28">
        <v>800</v>
      </c>
      <c r="H140" s="28">
        <v>2</v>
      </c>
      <c r="I140" s="30">
        <f>TownTeam1[[#This Row],[Selling price]]*TownTeam1[[#This Row],[Item quantity]]</f>
        <v>1600</v>
      </c>
      <c r="J140" s="30">
        <f>IF(TownTeam1[[#This Row],[Item name]]=" Jeans - Denim",TownTeam1[[#This Row],[Total sales]]*0.85,TownTeam1[[#This Row],[Total sales]])</f>
        <v>1600</v>
      </c>
    </row>
    <row r="141" spans="2:10" x14ac:dyDescent="0.25">
      <c r="B141" s="28">
        <v>137</v>
      </c>
      <c r="C141" s="35">
        <v>43602</v>
      </c>
      <c r="D141" s="29" t="s">
        <v>9</v>
      </c>
      <c r="E141" s="29" t="s">
        <v>21</v>
      </c>
      <c r="F141" s="29" t="s">
        <v>20</v>
      </c>
      <c r="G141" s="28">
        <v>1200</v>
      </c>
      <c r="H141" s="28">
        <v>1</v>
      </c>
      <c r="I141" s="30">
        <f>TownTeam1[[#This Row],[Selling price]]*TownTeam1[[#This Row],[Item quantity]]</f>
        <v>1200</v>
      </c>
      <c r="J141" s="30">
        <f>IF(TownTeam1[[#This Row],[Item name]]=" Jeans - Denim",TownTeam1[[#This Row],[Total sales]]*0.85,TownTeam1[[#This Row],[Total sales]])</f>
        <v>1200</v>
      </c>
    </row>
    <row r="142" spans="2:10" x14ac:dyDescent="0.25">
      <c r="B142" s="28">
        <v>138</v>
      </c>
      <c r="C142" s="35">
        <v>43603</v>
      </c>
      <c r="D142" s="29" t="s">
        <v>9</v>
      </c>
      <c r="E142" s="29" t="s">
        <v>14</v>
      </c>
      <c r="F142" s="29" t="s">
        <v>11</v>
      </c>
      <c r="G142" s="28">
        <v>900</v>
      </c>
      <c r="H142" s="28">
        <v>1</v>
      </c>
      <c r="I142" s="30">
        <f>TownTeam1[[#This Row],[Selling price]]*TownTeam1[[#This Row],[Item quantity]]</f>
        <v>900</v>
      </c>
      <c r="J142" s="30">
        <f>IF(TownTeam1[[#This Row],[Item name]]=" Jeans - Denim",TownTeam1[[#This Row],[Total sales]]*0.85,TownTeam1[[#This Row],[Total sales]])</f>
        <v>900</v>
      </c>
    </row>
    <row r="143" spans="2:10" x14ac:dyDescent="0.25">
      <c r="B143" s="28">
        <v>139</v>
      </c>
      <c r="C143" s="35">
        <v>43604</v>
      </c>
      <c r="D143" s="29" t="s">
        <v>9</v>
      </c>
      <c r="E143" s="29" t="s">
        <v>15</v>
      </c>
      <c r="F143" s="29" t="s">
        <v>11</v>
      </c>
      <c r="G143" s="28">
        <v>1000</v>
      </c>
      <c r="H143" s="28">
        <v>1</v>
      </c>
      <c r="I143" s="30">
        <f>TownTeam1[[#This Row],[Selling price]]*TownTeam1[[#This Row],[Item quantity]]</f>
        <v>1000</v>
      </c>
      <c r="J143" s="30">
        <f>IF(TownTeam1[[#This Row],[Item name]]=" Jeans - Denim",TownTeam1[[#This Row],[Total sales]]*0.85,TownTeam1[[#This Row],[Total sales]])</f>
        <v>1000</v>
      </c>
    </row>
    <row r="144" spans="2:10" x14ac:dyDescent="0.25">
      <c r="B144" s="28">
        <v>140</v>
      </c>
      <c r="C144" s="35">
        <v>43605</v>
      </c>
      <c r="D144" s="29" t="s">
        <v>9</v>
      </c>
      <c r="E144" s="29" t="s">
        <v>16</v>
      </c>
      <c r="F144" s="29" t="s">
        <v>17</v>
      </c>
      <c r="G144" s="28">
        <v>800</v>
      </c>
      <c r="H144" s="28">
        <v>1</v>
      </c>
      <c r="I144" s="30">
        <f>TownTeam1[[#This Row],[Selling price]]*TownTeam1[[#This Row],[Item quantity]]</f>
        <v>800</v>
      </c>
      <c r="J144" s="30">
        <f>IF(TownTeam1[[#This Row],[Item name]]=" Jeans - Denim",TownTeam1[[#This Row],[Total sales]]*0.85,TownTeam1[[#This Row],[Total sales]])</f>
        <v>800</v>
      </c>
    </row>
    <row r="145" spans="2:10" x14ac:dyDescent="0.25">
      <c r="B145" s="28">
        <v>141</v>
      </c>
      <c r="C145" s="35">
        <v>43606</v>
      </c>
      <c r="D145" s="29" t="s">
        <v>9</v>
      </c>
      <c r="E145" s="29" t="s">
        <v>21</v>
      </c>
      <c r="F145" s="29" t="s">
        <v>20</v>
      </c>
      <c r="G145" s="28">
        <v>1200</v>
      </c>
      <c r="H145" s="28">
        <v>1</v>
      </c>
      <c r="I145" s="30">
        <f>TownTeam1[[#This Row],[Selling price]]*TownTeam1[[#This Row],[Item quantity]]</f>
        <v>1200</v>
      </c>
      <c r="J145" s="30">
        <f>IF(TownTeam1[[#This Row],[Item name]]=" Jeans - Denim",TownTeam1[[#This Row],[Total sales]]*0.85,TownTeam1[[#This Row],[Total sales]])</f>
        <v>1200</v>
      </c>
    </row>
    <row r="146" spans="2:10" x14ac:dyDescent="0.25">
      <c r="B146" s="28">
        <v>142</v>
      </c>
      <c r="C146" s="35">
        <v>43607</v>
      </c>
      <c r="D146" s="29" t="s">
        <v>9</v>
      </c>
      <c r="E146" s="29" t="s">
        <v>21</v>
      </c>
      <c r="F146" s="29" t="s">
        <v>20</v>
      </c>
      <c r="G146" s="28">
        <v>1200</v>
      </c>
      <c r="H146" s="28">
        <v>1</v>
      </c>
      <c r="I146" s="30">
        <f>TownTeam1[[#This Row],[Selling price]]*TownTeam1[[#This Row],[Item quantity]]</f>
        <v>1200</v>
      </c>
      <c r="J146" s="30">
        <f>IF(TownTeam1[[#This Row],[Item name]]=" Jeans - Denim",TownTeam1[[#This Row],[Total sales]]*0.85,TownTeam1[[#This Row],[Total sales]])</f>
        <v>1200</v>
      </c>
    </row>
    <row r="147" spans="2:10" x14ac:dyDescent="0.25">
      <c r="B147" s="28">
        <v>143</v>
      </c>
      <c r="C147" s="35">
        <v>43608</v>
      </c>
      <c r="D147" s="29" t="s">
        <v>9</v>
      </c>
      <c r="E147" s="29" t="s">
        <v>16</v>
      </c>
      <c r="F147" s="29" t="s">
        <v>17</v>
      </c>
      <c r="G147" s="28">
        <v>800</v>
      </c>
      <c r="H147" s="28">
        <v>2</v>
      </c>
      <c r="I147" s="30">
        <f>TownTeam1[[#This Row],[Selling price]]*TownTeam1[[#This Row],[Item quantity]]</f>
        <v>1600</v>
      </c>
      <c r="J147" s="30">
        <f>IF(TownTeam1[[#This Row],[Item name]]=" Jeans - Denim",TownTeam1[[#This Row],[Total sales]]*0.85,TownTeam1[[#This Row],[Total sales]])</f>
        <v>1600</v>
      </c>
    </row>
    <row r="148" spans="2:10" x14ac:dyDescent="0.25">
      <c r="B148" s="28">
        <v>144</v>
      </c>
      <c r="C148" s="35">
        <v>43609</v>
      </c>
      <c r="D148" s="29" t="s">
        <v>9</v>
      </c>
      <c r="E148" s="29" t="s">
        <v>12</v>
      </c>
      <c r="F148" s="29" t="s">
        <v>11</v>
      </c>
      <c r="G148" s="28">
        <v>900</v>
      </c>
      <c r="H148" s="28">
        <v>1</v>
      </c>
      <c r="I148" s="30">
        <f>TownTeam1[[#This Row],[Selling price]]*TownTeam1[[#This Row],[Item quantity]]</f>
        <v>900</v>
      </c>
      <c r="J148" s="30">
        <f>IF(TownTeam1[[#This Row],[Item name]]=" Jeans - Denim",TownTeam1[[#This Row],[Total sales]]*0.85,TownTeam1[[#This Row],[Total sales]])</f>
        <v>765</v>
      </c>
    </row>
    <row r="149" spans="2:10" x14ac:dyDescent="0.25">
      <c r="B149" s="28">
        <v>145</v>
      </c>
      <c r="C149" s="35">
        <v>43610</v>
      </c>
      <c r="D149" s="29" t="s">
        <v>9</v>
      </c>
      <c r="E149" s="29" t="s">
        <v>15</v>
      </c>
      <c r="F149" s="29" t="s">
        <v>11</v>
      </c>
      <c r="G149" s="28">
        <v>1000</v>
      </c>
      <c r="H149" s="28">
        <v>1</v>
      </c>
      <c r="I149" s="30">
        <f>TownTeam1[[#This Row],[Selling price]]*TownTeam1[[#This Row],[Item quantity]]</f>
        <v>1000</v>
      </c>
      <c r="J149" s="30">
        <f>IF(TownTeam1[[#This Row],[Item name]]=" Jeans - Denim",TownTeam1[[#This Row],[Total sales]]*0.85,TownTeam1[[#This Row],[Total sales]])</f>
        <v>1000</v>
      </c>
    </row>
    <row r="150" spans="2:10" x14ac:dyDescent="0.25">
      <c r="B150" s="28">
        <v>146</v>
      </c>
      <c r="C150" s="35">
        <v>43611</v>
      </c>
      <c r="D150" s="29" t="s">
        <v>9</v>
      </c>
      <c r="E150" s="29" t="s">
        <v>15</v>
      </c>
      <c r="F150" s="29" t="s">
        <v>11</v>
      </c>
      <c r="G150" s="28">
        <v>1000</v>
      </c>
      <c r="H150" s="28">
        <v>1</v>
      </c>
      <c r="I150" s="30">
        <f>TownTeam1[[#This Row],[Selling price]]*TownTeam1[[#This Row],[Item quantity]]</f>
        <v>1000</v>
      </c>
      <c r="J150" s="30">
        <f>IF(TownTeam1[[#This Row],[Item name]]=" Jeans - Denim",TownTeam1[[#This Row],[Total sales]]*0.85,TownTeam1[[#This Row],[Total sales]])</f>
        <v>1000</v>
      </c>
    </row>
    <row r="151" spans="2:10" x14ac:dyDescent="0.25">
      <c r="B151" s="28">
        <v>147</v>
      </c>
      <c r="C151" s="35">
        <v>43612</v>
      </c>
      <c r="D151" s="29" t="s">
        <v>9</v>
      </c>
      <c r="E151" s="29" t="s">
        <v>18</v>
      </c>
      <c r="F151" s="29" t="s">
        <v>17</v>
      </c>
      <c r="G151" s="28">
        <v>600</v>
      </c>
      <c r="H151" s="28">
        <v>1</v>
      </c>
      <c r="I151" s="30">
        <f>TownTeam1[[#This Row],[Selling price]]*TownTeam1[[#This Row],[Item quantity]]</f>
        <v>600</v>
      </c>
      <c r="J151" s="30">
        <f>IF(TownTeam1[[#This Row],[Item name]]=" Jeans - Denim",TownTeam1[[#This Row],[Total sales]]*0.85,TownTeam1[[#This Row],[Total sales]])</f>
        <v>600</v>
      </c>
    </row>
    <row r="152" spans="2:10" x14ac:dyDescent="0.25">
      <c r="B152" s="28">
        <v>148</v>
      </c>
      <c r="C152" s="35">
        <v>43613</v>
      </c>
      <c r="D152" s="29" t="s">
        <v>9</v>
      </c>
      <c r="E152" s="29" t="s">
        <v>19</v>
      </c>
      <c r="F152" s="29" t="s">
        <v>20</v>
      </c>
      <c r="G152" s="28">
        <v>850</v>
      </c>
      <c r="H152" s="28">
        <v>1</v>
      </c>
      <c r="I152" s="30">
        <f>TownTeam1[[#This Row],[Selling price]]*TownTeam1[[#This Row],[Item quantity]]</f>
        <v>850</v>
      </c>
      <c r="J152" s="30">
        <f>IF(TownTeam1[[#This Row],[Item name]]=" Jeans - Denim",TownTeam1[[#This Row],[Total sales]]*0.85,TownTeam1[[#This Row],[Total sales]])</f>
        <v>850</v>
      </c>
    </row>
    <row r="153" spans="2:10" x14ac:dyDescent="0.25">
      <c r="B153" s="28">
        <v>149</v>
      </c>
      <c r="C153" s="35">
        <v>43614</v>
      </c>
      <c r="D153" s="29" t="s">
        <v>9</v>
      </c>
      <c r="E153" s="29" t="s">
        <v>18</v>
      </c>
      <c r="F153" s="29" t="s">
        <v>17</v>
      </c>
      <c r="G153" s="28">
        <v>600</v>
      </c>
      <c r="H153" s="28">
        <v>1</v>
      </c>
      <c r="I153" s="30">
        <f>TownTeam1[[#This Row],[Selling price]]*TownTeam1[[#This Row],[Item quantity]]</f>
        <v>600</v>
      </c>
      <c r="J153" s="30">
        <f>IF(TownTeam1[[#This Row],[Item name]]=" Jeans - Denim",TownTeam1[[#This Row],[Total sales]]*0.85,TownTeam1[[#This Row],[Total sales]])</f>
        <v>600</v>
      </c>
    </row>
    <row r="154" spans="2:10" x14ac:dyDescent="0.25">
      <c r="B154" s="28">
        <v>150</v>
      </c>
      <c r="C154" s="35">
        <v>43615</v>
      </c>
      <c r="D154" s="29" t="s">
        <v>9</v>
      </c>
      <c r="E154" s="29" t="s">
        <v>19</v>
      </c>
      <c r="F154" s="29" t="s">
        <v>20</v>
      </c>
      <c r="G154" s="28">
        <v>850</v>
      </c>
      <c r="H154" s="28">
        <v>1</v>
      </c>
      <c r="I154" s="30">
        <f>TownTeam1[[#This Row],[Selling price]]*TownTeam1[[#This Row],[Item quantity]]</f>
        <v>850</v>
      </c>
      <c r="J154" s="30">
        <f>IF(TownTeam1[[#This Row],[Item name]]=" Jeans - Denim",TownTeam1[[#This Row],[Total sales]]*0.85,TownTeam1[[#This Row],[Total sales]])</f>
        <v>850</v>
      </c>
    </row>
    <row r="155" spans="2:10" x14ac:dyDescent="0.25">
      <c r="B155" s="28">
        <v>151</v>
      </c>
      <c r="C155" s="35">
        <v>43616</v>
      </c>
      <c r="D155" s="29" t="s">
        <v>9</v>
      </c>
      <c r="E155" s="29" t="s">
        <v>19</v>
      </c>
      <c r="F155" s="29" t="s">
        <v>20</v>
      </c>
      <c r="G155" s="28">
        <v>850</v>
      </c>
      <c r="H155" s="28">
        <v>1</v>
      </c>
      <c r="I155" s="30">
        <f>TownTeam1[[#This Row],[Selling price]]*TownTeam1[[#This Row],[Item quantity]]</f>
        <v>850</v>
      </c>
      <c r="J155" s="30">
        <f>IF(TownTeam1[[#This Row],[Item name]]=" Jeans - Denim",TownTeam1[[#This Row],[Total sales]]*0.85,TownTeam1[[#This Row],[Total sales]])</f>
        <v>850</v>
      </c>
    </row>
    <row r="156" spans="2:10" x14ac:dyDescent="0.25">
      <c r="B156" s="28">
        <v>152</v>
      </c>
      <c r="C156" s="35">
        <v>43617</v>
      </c>
      <c r="D156" s="29" t="s">
        <v>9</v>
      </c>
      <c r="E156" s="29" t="s">
        <v>12</v>
      </c>
      <c r="F156" s="29" t="s">
        <v>11</v>
      </c>
      <c r="G156" s="28">
        <v>900</v>
      </c>
      <c r="H156" s="28">
        <v>1</v>
      </c>
      <c r="I156" s="30">
        <f>TownTeam1[[#This Row],[Selling price]]*TownTeam1[[#This Row],[Item quantity]]</f>
        <v>900</v>
      </c>
      <c r="J156" s="30">
        <f>IF(TownTeam1[[#This Row],[Item name]]=" Jeans - Denim",TownTeam1[[#This Row],[Total sales]]*0.85,TownTeam1[[#This Row],[Total sales]])</f>
        <v>765</v>
      </c>
    </row>
    <row r="157" spans="2:10" x14ac:dyDescent="0.25">
      <c r="B157" s="28">
        <v>153</v>
      </c>
      <c r="C157" s="35">
        <v>43618</v>
      </c>
      <c r="D157" s="29" t="s">
        <v>9</v>
      </c>
      <c r="E157" s="29" t="s">
        <v>21</v>
      </c>
      <c r="F157" s="29" t="s">
        <v>20</v>
      </c>
      <c r="G157" s="28">
        <v>1200</v>
      </c>
      <c r="H157" s="28">
        <v>2</v>
      </c>
      <c r="I157" s="30">
        <f>TownTeam1[[#This Row],[Selling price]]*TownTeam1[[#This Row],[Item quantity]]</f>
        <v>2400</v>
      </c>
      <c r="J157" s="30">
        <f>IF(TownTeam1[[#This Row],[Item name]]=" Jeans - Denim",TownTeam1[[#This Row],[Total sales]]*0.85,TownTeam1[[#This Row],[Total sales]])</f>
        <v>2400</v>
      </c>
    </row>
    <row r="158" spans="2:10" x14ac:dyDescent="0.25">
      <c r="B158" s="28">
        <v>154</v>
      </c>
      <c r="C158" s="35">
        <v>43619</v>
      </c>
      <c r="D158" s="29" t="s">
        <v>9</v>
      </c>
      <c r="E158" s="29" t="s">
        <v>16</v>
      </c>
      <c r="F158" s="29" t="s">
        <v>17</v>
      </c>
      <c r="G158" s="28">
        <v>800</v>
      </c>
      <c r="H158" s="28">
        <v>1</v>
      </c>
      <c r="I158" s="30">
        <f>TownTeam1[[#This Row],[Selling price]]*TownTeam1[[#This Row],[Item quantity]]</f>
        <v>800</v>
      </c>
      <c r="J158" s="30">
        <f>IF(TownTeam1[[#This Row],[Item name]]=" Jeans - Denim",TownTeam1[[#This Row],[Total sales]]*0.85,TownTeam1[[#This Row],[Total sales]])</f>
        <v>800</v>
      </c>
    </row>
    <row r="159" spans="2:10" x14ac:dyDescent="0.25">
      <c r="B159" s="28">
        <v>155</v>
      </c>
      <c r="C159" s="35">
        <v>43620</v>
      </c>
      <c r="D159" s="29" t="s">
        <v>9</v>
      </c>
      <c r="E159" s="29" t="s">
        <v>16</v>
      </c>
      <c r="F159" s="29" t="s">
        <v>17</v>
      </c>
      <c r="G159" s="28">
        <v>800</v>
      </c>
      <c r="H159" s="28">
        <v>1</v>
      </c>
      <c r="I159" s="30">
        <f>TownTeam1[[#This Row],[Selling price]]*TownTeam1[[#This Row],[Item quantity]]</f>
        <v>800</v>
      </c>
      <c r="J159" s="30">
        <f>IF(TownTeam1[[#This Row],[Item name]]=" Jeans - Denim",TownTeam1[[#This Row],[Total sales]]*0.85,TownTeam1[[#This Row],[Total sales]])</f>
        <v>800</v>
      </c>
    </row>
    <row r="160" spans="2:10" x14ac:dyDescent="0.25">
      <c r="B160" s="28">
        <v>156</v>
      </c>
      <c r="C160" s="35">
        <v>43621</v>
      </c>
      <c r="D160" s="29" t="s">
        <v>9</v>
      </c>
      <c r="E160" s="29" t="s">
        <v>14</v>
      </c>
      <c r="F160" s="29" t="s">
        <v>11</v>
      </c>
      <c r="G160" s="28">
        <v>900</v>
      </c>
      <c r="H160" s="28">
        <v>1</v>
      </c>
      <c r="I160" s="30">
        <f>TownTeam1[[#This Row],[Selling price]]*TownTeam1[[#This Row],[Item quantity]]</f>
        <v>900</v>
      </c>
      <c r="J160" s="30">
        <f>IF(TownTeam1[[#This Row],[Item name]]=" Jeans - Denim",TownTeam1[[#This Row],[Total sales]]*0.85,TownTeam1[[#This Row],[Total sales]])</f>
        <v>900</v>
      </c>
    </row>
    <row r="161" spans="2:10" x14ac:dyDescent="0.25">
      <c r="B161" s="28">
        <v>157</v>
      </c>
      <c r="C161" s="35">
        <v>43622</v>
      </c>
      <c r="D161" s="29" t="s">
        <v>9</v>
      </c>
      <c r="E161" s="29" t="s">
        <v>16</v>
      </c>
      <c r="F161" s="29" t="s">
        <v>17</v>
      </c>
      <c r="G161" s="28">
        <v>800</v>
      </c>
      <c r="H161" s="28">
        <v>1</v>
      </c>
      <c r="I161" s="30">
        <f>TownTeam1[[#This Row],[Selling price]]*TownTeam1[[#This Row],[Item quantity]]</f>
        <v>800</v>
      </c>
      <c r="J161" s="30">
        <f>IF(TownTeam1[[#This Row],[Item name]]=" Jeans - Denim",TownTeam1[[#This Row],[Total sales]]*0.85,TownTeam1[[#This Row],[Total sales]])</f>
        <v>800</v>
      </c>
    </row>
    <row r="162" spans="2:10" x14ac:dyDescent="0.25">
      <c r="B162" s="28">
        <v>158</v>
      </c>
      <c r="C162" s="35">
        <v>43623</v>
      </c>
      <c r="D162" s="29" t="s">
        <v>9</v>
      </c>
      <c r="E162" s="29" t="s">
        <v>18</v>
      </c>
      <c r="F162" s="29" t="s">
        <v>17</v>
      </c>
      <c r="G162" s="28">
        <v>600</v>
      </c>
      <c r="H162" s="28">
        <v>1</v>
      </c>
      <c r="I162" s="30">
        <f>TownTeam1[[#This Row],[Selling price]]*TownTeam1[[#This Row],[Item quantity]]</f>
        <v>600</v>
      </c>
      <c r="J162" s="30">
        <f>IF(TownTeam1[[#This Row],[Item name]]=" Jeans - Denim",TownTeam1[[#This Row],[Total sales]]*0.85,TownTeam1[[#This Row],[Total sales]])</f>
        <v>600</v>
      </c>
    </row>
    <row r="163" spans="2:10" x14ac:dyDescent="0.25">
      <c r="B163" s="28">
        <v>159</v>
      </c>
      <c r="C163" s="35">
        <v>43624</v>
      </c>
      <c r="D163" s="29" t="s">
        <v>9</v>
      </c>
      <c r="E163" s="29" t="s">
        <v>12</v>
      </c>
      <c r="F163" s="29" t="s">
        <v>11</v>
      </c>
      <c r="G163" s="28">
        <v>900</v>
      </c>
      <c r="H163" s="28">
        <v>3</v>
      </c>
      <c r="I163" s="30">
        <f>TownTeam1[[#This Row],[Selling price]]*TownTeam1[[#This Row],[Item quantity]]</f>
        <v>2700</v>
      </c>
      <c r="J163" s="30">
        <f>IF(TownTeam1[[#This Row],[Item name]]=" Jeans - Denim",TownTeam1[[#This Row],[Total sales]]*0.85,TownTeam1[[#This Row],[Total sales]])</f>
        <v>2295</v>
      </c>
    </row>
    <row r="164" spans="2:10" x14ac:dyDescent="0.25">
      <c r="B164" s="28">
        <v>160</v>
      </c>
      <c r="C164" s="35">
        <v>43625</v>
      </c>
      <c r="D164" s="29" t="s">
        <v>9</v>
      </c>
      <c r="E164" s="29" t="s">
        <v>18</v>
      </c>
      <c r="F164" s="29" t="s">
        <v>17</v>
      </c>
      <c r="G164" s="28">
        <v>600</v>
      </c>
      <c r="H164" s="28">
        <v>1</v>
      </c>
      <c r="I164" s="30">
        <f>TownTeam1[[#This Row],[Selling price]]*TownTeam1[[#This Row],[Item quantity]]</f>
        <v>600</v>
      </c>
      <c r="J164" s="30">
        <f>IF(TownTeam1[[#This Row],[Item name]]=" Jeans - Denim",TownTeam1[[#This Row],[Total sales]]*0.85,TownTeam1[[#This Row],[Total sales]])</f>
        <v>600</v>
      </c>
    </row>
    <row r="165" spans="2:10" x14ac:dyDescent="0.25">
      <c r="B165" s="28">
        <v>161</v>
      </c>
      <c r="C165" s="35">
        <v>43626</v>
      </c>
      <c r="D165" s="29" t="s">
        <v>9</v>
      </c>
      <c r="E165" s="29" t="s">
        <v>16</v>
      </c>
      <c r="F165" s="29" t="s">
        <v>17</v>
      </c>
      <c r="G165" s="28">
        <v>800</v>
      </c>
      <c r="H165" s="28">
        <v>1</v>
      </c>
      <c r="I165" s="30">
        <f>TownTeam1[[#This Row],[Selling price]]*TownTeam1[[#This Row],[Item quantity]]</f>
        <v>800</v>
      </c>
      <c r="J165" s="30">
        <f>IF(TownTeam1[[#This Row],[Item name]]=" Jeans - Denim",TownTeam1[[#This Row],[Total sales]]*0.85,TownTeam1[[#This Row],[Total sales]])</f>
        <v>800</v>
      </c>
    </row>
    <row r="166" spans="2:10" x14ac:dyDescent="0.25">
      <c r="B166" s="28">
        <v>162</v>
      </c>
      <c r="C166" s="35">
        <v>43627</v>
      </c>
      <c r="D166" s="29" t="s">
        <v>9</v>
      </c>
      <c r="E166" s="29" t="s">
        <v>18</v>
      </c>
      <c r="F166" s="29" t="s">
        <v>17</v>
      </c>
      <c r="G166" s="28">
        <v>600</v>
      </c>
      <c r="H166" s="28">
        <v>1</v>
      </c>
      <c r="I166" s="30">
        <f>TownTeam1[[#This Row],[Selling price]]*TownTeam1[[#This Row],[Item quantity]]</f>
        <v>600</v>
      </c>
      <c r="J166" s="30">
        <f>IF(TownTeam1[[#This Row],[Item name]]=" Jeans - Denim",TownTeam1[[#This Row],[Total sales]]*0.85,TownTeam1[[#This Row],[Total sales]])</f>
        <v>600</v>
      </c>
    </row>
    <row r="167" spans="2:10" x14ac:dyDescent="0.25">
      <c r="B167" s="28">
        <v>163</v>
      </c>
      <c r="C167" s="35">
        <v>43628</v>
      </c>
      <c r="D167" s="29" t="s">
        <v>9</v>
      </c>
      <c r="E167" s="29" t="s">
        <v>10</v>
      </c>
      <c r="F167" s="29" t="s">
        <v>11</v>
      </c>
      <c r="G167" s="28">
        <v>1100</v>
      </c>
      <c r="H167" s="28">
        <v>1</v>
      </c>
      <c r="I167" s="30">
        <f>TownTeam1[[#This Row],[Selling price]]*TownTeam1[[#This Row],[Item quantity]]</f>
        <v>1100</v>
      </c>
      <c r="J167" s="30">
        <f>IF(TownTeam1[[#This Row],[Item name]]=" Jeans - Denim",TownTeam1[[#This Row],[Total sales]]*0.85,TownTeam1[[#This Row],[Total sales]])</f>
        <v>1100</v>
      </c>
    </row>
    <row r="168" spans="2:10" x14ac:dyDescent="0.25">
      <c r="B168" s="28">
        <v>164</v>
      </c>
      <c r="C168" s="35">
        <v>43629</v>
      </c>
      <c r="D168" s="29" t="s">
        <v>9</v>
      </c>
      <c r="E168" s="29" t="s">
        <v>14</v>
      </c>
      <c r="F168" s="29" t="s">
        <v>11</v>
      </c>
      <c r="G168" s="28">
        <v>900</v>
      </c>
      <c r="H168" s="28">
        <v>1</v>
      </c>
      <c r="I168" s="30">
        <f>TownTeam1[[#This Row],[Selling price]]*TownTeam1[[#This Row],[Item quantity]]</f>
        <v>900</v>
      </c>
      <c r="J168" s="30">
        <f>IF(TownTeam1[[#This Row],[Item name]]=" Jeans - Denim",TownTeam1[[#This Row],[Total sales]]*0.85,TownTeam1[[#This Row],[Total sales]])</f>
        <v>900</v>
      </c>
    </row>
    <row r="169" spans="2:10" x14ac:dyDescent="0.25">
      <c r="B169" s="28">
        <v>165</v>
      </c>
      <c r="C169" s="35">
        <v>43630</v>
      </c>
      <c r="D169" s="29" t="s">
        <v>9</v>
      </c>
      <c r="E169" s="29" t="s">
        <v>10</v>
      </c>
      <c r="F169" s="29" t="s">
        <v>11</v>
      </c>
      <c r="G169" s="28">
        <v>1100</v>
      </c>
      <c r="H169" s="28">
        <v>1</v>
      </c>
      <c r="I169" s="30">
        <f>TownTeam1[[#This Row],[Selling price]]*TownTeam1[[#This Row],[Item quantity]]</f>
        <v>1100</v>
      </c>
      <c r="J169" s="30">
        <f>IF(TownTeam1[[#This Row],[Item name]]=" Jeans - Denim",TownTeam1[[#This Row],[Total sales]]*0.85,TownTeam1[[#This Row],[Total sales]])</f>
        <v>1100</v>
      </c>
    </row>
    <row r="170" spans="2:10" x14ac:dyDescent="0.25">
      <c r="B170" s="28">
        <v>166</v>
      </c>
      <c r="C170" s="35">
        <v>43631</v>
      </c>
      <c r="D170" s="29" t="s">
        <v>9</v>
      </c>
      <c r="E170" s="29" t="s">
        <v>10</v>
      </c>
      <c r="F170" s="29" t="s">
        <v>11</v>
      </c>
      <c r="G170" s="28">
        <v>1100</v>
      </c>
      <c r="H170" s="28">
        <v>1</v>
      </c>
      <c r="I170" s="30">
        <f>TownTeam1[[#This Row],[Selling price]]*TownTeam1[[#This Row],[Item quantity]]</f>
        <v>1100</v>
      </c>
      <c r="J170" s="30">
        <f>IF(TownTeam1[[#This Row],[Item name]]=" Jeans - Denim",TownTeam1[[#This Row],[Total sales]]*0.85,TownTeam1[[#This Row],[Total sales]])</f>
        <v>1100</v>
      </c>
    </row>
    <row r="171" spans="2:10" x14ac:dyDescent="0.25">
      <c r="B171" s="28">
        <v>167</v>
      </c>
      <c r="C171" s="35">
        <v>43632</v>
      </c>
      <c r="D171" s="29" t="s">
        <v>9</v>
      </c>
      <c r="E171" s="29" t="s">
        <v>21</v>
      </c>
      <c r="F171" s="29" t="s">
        <v>20</v>
      </c>
      <c r="G171" s="28">
        <v>1200</v>
      </c>
      <c r="H171" s="28">
        <v>1</v>
      </c>
      <c r="I171" s="30">
        <f>TownTeam1[[#This Row],[Selling price]]*TownTeam1[[#This Row],[Item quantity]]</f>
        <v>1200</v>
      </c>
      <c r="J171" s="30">
        <f>IF(TownTeam1[[#This Row],[Item name]]=" Jeans - Denim",TownTeam1[[#This Row],[Total sales]]*0.85,TownTeam1[[#This Row],[Total sales]])</f>
        <v>1200</v>
      </c>
    </row>
    <row r="172" spans="2:10" x14ac:dyDescent="0.25">
      <c r="B172" s="28">
        <v>168</v>
      </c>
      <c r="C172" s="35">
        <v>43633</v>
      </c>
      <c r="D172" s="29" t="s">
        <v>9</v>
      </c>
      <c r="E172" s="29" t="s">
        <v>21</v>
      </c>
      <c r="F172" s="29" t="s">
        <v>20</v>
      </c>
      <c r="G172" s="28">
        <v>1200</v>
      </c>
      <c r="H172" s="28">
        <v>1</v>
      </c>
      <c r="I172" s="30">
        <f>TownTeam1[[#This Row],[Selling price]]*TownTeam1[[#This Row],[Item quantity]]</f>
        <v>1200</v>
      </c>
      <c r="J172" s="30">
        <f>IF(TownTeam1[[#This Row],[Item name]]=" Jeans - Denim",TownTeam1[[#This Row],[Total sales]]*0.85,TownTeam1[[#This Row],[Total sales]])</f>
        <v>1200</v>
      </c>
    </row>
    <row r="173" spans="2:10" x14ac:dyDescent="0.25">
      <c r="B173" s="28">
        <v>169</v>
      </c>
      <c r="C173" s="35">
        <v>43634</v>
      </c>
      <c r="D173" s="29" t="s">
        <v>9</v>
      </c>
      <c r="E173" s="29" t="s">
        <v>10</v>
      </c>
      <c r="F173" s="29" t="s">
        <v>11</v>
      </c>
      <c r="G173" s="28">
        <v>1100</v>
      </c>
      <c r="H173" s="28">
        <v>1</v>
      </c>
      <c r="I173" s="30">
        <f>TownTeam1[[#This Row],[Selling price]]*TownTeam1[[#This Row],[Item quantity]]</f>
        <v>1100</v>
      </c>
      <c r="J173" s="30">
        <f>IF(TownTeam1[[#This Row],[Item name]]=" Jeans - Denim",TownTeam1[[#This Row],[Total sales]]*0.85,TownTeam1[[#This Row],[Total sales]])</f>
        <v>1100</v>
      </c>
    </row>
    <row r="174" spans="2:10" x14ac:dyDescent="0.25">
      <c r="B174" s="28">
        <v>170</v>
      </c>
      <c r="C174" s="35">
        <v>43635</v>
      </c>
      <c r="D174" s="29" t="s">
        <v>9</v>
      </c>
      <c r="E174" s="29" t="s">
        <v>10</v>
      </c>
      <c r="F174" s="29" t="s">
        <v>11</v>
      </c>
      <c r="G174" s="28">
        <v>1100</v>
      </c>
      <c r="H174" s="28">
        <v>1</v>
      </c>
      <c r="I174" s="30">
        <f>TownTeam1[[#This Row],[Selling price]]*TownTeam1[[#This Row],[Item quantity]]</f>
        <v>1100</v>
      </c>
      <c r="J174" s="30">
        <f>IF(TownTeam1[[#This Row],[Item name]]=" Jeans - Denim",TownTeam1[[#This Row],[Total sales]]*0.85,TownTeam1[[#This Row],[Total sales]])</f>
        <v>1100</v>
      </c>
    </row>
    <row r="175" spans="2:10" x14ac:dyDescent="0.25">
      <c r="B175" s="28">
        <v>171</v>
      </c>
      <c r="C175" s="35">
        <v>43636</v>
      </c>
      <c r="D175" s="29" t="s">
        <v>9</v>
      </c>
      <c r="E175" s="29" t="s">
        <v>22</v>
      </c>
      <c r="F175" s="29" t="s">
        <v>23</v>
      </c>
      <c r="G175" s="28">
        <v>900</v>
      </c>
      <c r="H175" s="28">
        <v>1</v>
      </c>
      <c r="I175" s="30">
        <f>TownTeam1[[#This Row],[Selling price]]*TownTeam1[[#This Row],[Item quantity]]</f>
        <v>900</v>
      </c>
      <c r="J175" s="30">
        <f>IF(TownTeam1[[#This Row],[Item name]]=" Jeans - Denim",TownTeam1[[#This Row],[Total sales]]*0.85,TownTeam1[[#This Row],[Total sales]])</f>
        <v>900</v>
      </c>
    </row>
    <row r="176" spans="2:10" x14ac:dyDescent="0.25">
      <c r="B176" s="28">
        <v>172</v>
      </c>
      <c r="C176" s="35">
        <v>43637</v>
      </c>
      <c r="D176" s="29" t="s">
        <v>9</v>
      </c>
      <c r="E176" s="29" t="s">
        <v>14</v>
      </c>
      <c r="F176" s="29" t="s">
        <v>11</v>
      </c>
      <c r="G176" s="28">
        <v>900</v>
      </c>
      <c r="H176" s="28">
        <v>1</v>
      </c>
      <c r="I176" s="30">
        <f>TownTeam1[[#This Row],[Selling price]]*TownTeam1[[#This Row],[Item quantity]]</f>
        <v>900</v>
      </c>
      <c r="J176" s="30">
        <f>IF(TownTeam1[[#This Row],[Item name]]=" Jeans - Denim",TownTeam1[[#This Row],[Total sales]]*0.85,TownTeam1[[#This Row],[Total sales]])</f>
        <v>900</v>
      </c>
    </row>
    <row r="177" spans="2:10" x14ac:dyDescent="0.25">
      <c r="B177" s="28">
        <v>173</v>
      </c>
      <c r="C177" s="35">
        <v>43638</v>
      </c>
      <c r="D177" s="29" t="s">
        <v>9</v>
      </c>
      <c r="E177" s="29" t="s">
        <v>22</v>
      </c>
      <c r="F177" s="29" t="s">
        <v>23</v>
      </c>
      <c r="G177" s="28">
        <v>800</v>
      </c>
      <c r="H177" s="28">
        <v>1</v>
      </c>
      <c r="I177" s="30">
        <f>TownTeam1[[#This Row],[Selling price]]*TownTeam1[[#This Row],[Item quantity]]</f>
        <v>800</v>
      </c>
      <c r="J177" s="30">
        <f>IF(TownTeam1[[#This Row],[Item name]]=" Jeans - Denim",TownTeam1[[#This Row],[Total sales]]*0.85,TownTeam1[[#This Row],[Total sales]])</f>
        <v>800</v>
      </c>
    </row>
    <row r="178" spans="2:10" x14ac:dyDescent="0.25">
      <c r="B178" s="28">
        <v>174</v>
      </c>
      <c r="C178" s="35">
        <v>43639</v>
      </c>
      <c r="D178" s="29" t="s">
        <v>9</v>
      </c>
      <c r="E178" s="29" t="s">
        <v>18</v>
      </c>
      <c r="F178" s="29" t="s">
        <v>17</v>
      </c>
      <c r="G178" s="28">
        <v>600</v>
      </c>
      <c r="H178" s="28">
        <v>1</v>
      </c>
      <c r="I178" s="30">
        <f>TownTeam1[[#This Row],[Selling price]]*TownTeam1[[#This Row],[Item quantity]]</f>
        <v>600</v>
      </c>
      <c r="J178" s="30">
        <f>IF(TownTeam1[[#This Row],[Item name]]=" Jeans - Denim",TownTeam1[[#This Row],[Total sales]]*0.85,TownTeam1[[#This Row],[Total sales]])</f>
        <v>600</v>
      </c>
    </row>
    <row r="179" spans="2:10" x14ac:dyDescent="0.25">
      <c r="B179" s="28">
        <v>175</v>
      </c>
      <c r="C179" s="35">
        <v>43640</v>
      </c>
      <c r="D179" s="29" t="s">
        <v>9</v>
      </c>
      <c r="E179" s="29" t="s">
        <v>22</v>
      </c>
      <c r="F179" s="29" t="s">
        <v>23</v>
      </c>
      <c r="G179" s="28">
        <v>800</v>
      </c>
      <c r="H179" s="28">
        <v>1</v>
      </c>
      <c r="I179" s="30">
        <f>TownTeam1[[#This Row],[Selling price]]*TownTeam1[[#This Row],[Item quantity]]</f>
        <v>800</v>
      </c>
      <c r="J179" s="30">
        <f>IF(TownTeam1[[#This Row],[Item name]]=" Jeans - Denim",TownTeam1[[#This Row],[Total sales]]*0.85,TownTeam1[[#This Row],[Total sales]])</f>
        <v>800</v>
      </c>
    </row>
    <row r="180" spans="2:10" x14ac:dyDescent="0.25">
      <c r="B180" s="28">
        <v>176</v>
      </c>
      <c r="C180" s="35">
        <v>43641</v>
      </c>
      <c r="D180" s="29" t="s">
        <v>9</v>
      </c>
      <c r="E180" s="29" t="s">
        <v>14</v>
      </c>
      <c r="F180" s="29" t="s">
        <v>11</v>
      </c>
      <c r="G180" s="28">
        <v>900</v>
      </c>
      <c r="H180" s="28">
        <v>1</v>
      </c>
      <c r="I180" s="30">
        <f>TownTeam1[[#This Row],[Selling price]]*TownTeam1[[#This Row],[Item quantity]]</f>
        <v>900</v>
      </c>
      <c r="J180" s="30">
        <f>IF(TownTeam1[[#This Row],[Item name]]=" Jeans - Denim",TownTeam1[[#This Row],[Total sales]]*0.85,TownTeam1[[#This Row],[Total sales]])</f>
        <v>900</v>
      </c>
    </row>
    <row r="181" spans="2:10" x14ac:dyDescent="0.25">
      <c r="B181" s="28">
        <v>177</v>
      </c>
      <c r="C181" s="35">
        <v>43642</v>
      </c>
      <c r="D181" s="29" t="s">
        <v>9</v>
      </c>
      <c r="E181" s="29" t="s">
        <v>21</v>
      </c>
      <c r="F181" s="29" t="s">
        <v>20</v>
      </c>
      <c r="G181" s="28">
        <v>1200</v>
      </c>
      <c r="H181" s="28">
        <v>1</v>
      </c>
      <c r="I181" s="30">
        <f>TownTeam1[[#This Row],[Selling price]]*TownTeam1[[#This Row],[Item quantity]]</f>
        <v>1200</v>
      </c>
      <c r="J181" s="30">
        <f>IF(TownTeam1[[#This Row],[Item name]]=" Jeans - Denim",TownTeam1[[#This Row],[Total sales]]*0.85,TownTeam1[[#This Row],[Total sales]])</f>
        <v>1200</v>
      </c>
    </row>
    <row r="182" spans="2:10" x14ac:dyDescent="0.25">
      <c r="B182" s="28">
        <v>178</v>
      </c>
      <c r="C182" s="35">
        <v>43643</v>
      </c>
      <c r="D182" s="29" t="s">
        <v>9</v>
      </c>
      <c r="E182" s="29" t="s">
        <v>22</v>
      </c>
      <c r="F182" s="29" t="s">
        <v>23</v>
      </c>
      <c r="G182" s="28">
        <v>800</v>
      </c>
      <c r="H182" s="28">
        <v>1</v>
      </c>
      <c r="I182" s="30">
        <f>TownTeam1[[#This Row],[Selling price]]*TownTeam1[[#This Row],[Item quantity]]</f>
        <v>800</v>
      </c>
      <c r="J182" s="30">
        <f>IF(TownTeam1[[#This Row],[Item name]]=" Jeans - Denim",TownTeam1[[#This Row],[Total sales]]*0.85,TownTeam1[[#This Row],[Total sales]])</f>
        <v>800</v>
      </c>
    </row>
    <row r="183" spans="2:10" x14ac:dyDescent="0.25">
      <c r="B183" s="28">
        <v>179</v>
      </c>
      <c r="C183" s="35">
        <v>43644</v>
      </c>
      <c r="D183" s="29" t="s">
        <v>9</v>
      </c>
      <c r="E183" s="29" t="s">
        <v>12</v>
      </c>
      <c r="F183" s="29" t="s">
        <v>11</v>
      </c>
      <c r="G183" s="28">
        <v>900</v>
      </c>
      <c r="H183" s="28">
        <v>1</v>
      </c>
      <c r="I183" s="30">
        <f>TownTeam1[[#This Row],[Selling price]]*TownTeam1[[#This Row],[Item quantity]]</f>
        <v>900</v>
      </c>
      <c r="J183" s="30">
        <f>IF(TownTeam1[[#This Row],[Item name]]=" Jeans - Denim",TownTeam1[[#This Row],[Total sales]]*0.85,TownTeam1[[#This Row],[Total sales]])</f>
        <v>765</v>
      </c>
    </row>
    <row r="184" spans="2:10" x14ac:dyDescent="0.25">
      <c r="B184" s="28">
        <v>180</v>
      </c>
      <c r="C184" s="35">
        <v>43645</v>
      </c>
      <c r="D184" s="29" t="s">
        <v>9</v>
      </c>
      <c r="E184" s="29" t="s">
        <v>21</v>
      </c>
      <c r="F184" s="29" t="s">
        <v>20</v>
      </c>
      <c r="G184" s="28">
        <v>1200</v>
      </c>
      <c r="H184" s="28">
        <v>1</v>
      </c>
      <c r="I184" s="30">
        <f>TownTeam1[[#This Row],[Selling price]]*TownTeam1[[#This Row],[Item quantity]]</f>
        <v>1200</v>
      </c>
      <c r="J184" s="30">
        <f>IF(TownTeam1[[#This Row],[Item name]]=" Jeans - Denim",TownTeam1[[#This Row],[Total sales]]*0.85,TownTeam1[[#This Row],[Total sales]])</f>
        <v>1200</v>
      </c>
    </row>
    <row r="185" spans="2:10" x14ac:dyDescent="0.25">
      <c r="B185" s="28">
        <v>181</v>
      </c>
      <c r="C185" s="35">
        <v>43646</v>
      </c>
      <c r="D185" s="29" t="s">
        <v>9</v>
      </c>
      <c r="E185" s="29" t="s">
        <v>10</v>
      </c>
      <c r="F185" s="29" t="s">
        <v>11</v>
      </c>
      <c r="G185" s="28">
        <v>1100</v>
      </c>
      <c r="H185" s="28">
        <v>1</v>
      </c>
      <c r="I185" s="30">
        <f>TownTeam1[[#This Row],[Selling price]]*TownTeam1[[#This Row],[Item quantity]]</f>
        <v>1100</v>
      </c>
      <c r="J185" s="30">
        <f>IF(TownTeam1[[#This Row],[Item name]]=" Jeans - Denim",TownTeam1[[#This Row],[Total sales]]*0.85,TownTeam1[[#This Row],[Total sales]])</f>
        <v>1100</v>
      </c>
    </row>
    <row r="186" spans="2:10" x14ac:dyDescent="0.25">
      <c r="B186" s="28">
        <v>182</v>
      </c>
      <c r="C186" s="35">
        <v>43647</v>
      </c>
      <c r="D186" s="29" t="s">
        <v>9</v>
      </c>
      <c r="E186" s="29" t="s">
        <v>21</v>
      </c>
      <c r="F186" s="29" t="s">
        <v>20</v>
      </c>
      <c r="G186" s="28">
        <v>1200</v>
      </c>
      <c r="H186" s="28">
        <v>1</v>
      </c>
      <c r="I186" s="30">
        <f>TownTeam1[[#This Row],[Selling price]]*TownTeam1[[#This Row],[Item quantity]]</f>
        <v>1200</v>
      </c>
      <c r="J186" s="30">
        <f>IF(TownTeam1[[#This Row],[Item name]]=" Jeans - Denim",TownTeam1[[#This Row],[Total sales]]*0.85,TownTeam1[[#This Row],[Total sales]])</f>
        <v>1200</v>
      </c>
    </row>
    <row r="187" spans="2:10" x14ac:dyDescent="0.25">
      <c r="B187" s="28">
        <v>183</v>
      </c>
      <c r="C187" s="35">
        <v>43648</v>
      </c>
      <c r="D187" s="29" t="s">
        <v>9</v>
      </c>
      <c r="E187" s="29" t="s">
        <v>14</v>
      </c>
      <c r="F187" s="29" t="s">
        <v>11</v>
      </c>
      <c r="G187" s="28">
        <v>900</v>
      </c>
      <c r="H187" s="28">
        <v>1</v>
      </c>
      <c r="I187" s="30">
        <f>TownTeam1[[#This Row],[Selling price]]*TownTeam1[[#This Row],[Item quantity]]</f>
        <v>900</v>
      </c>
      <c r="J187" s="30">
        <f>IF(TownTeam1[[#This Row],[Item name]]=" Jeans - Denim",TownTeam1[[#This Row],[Total sales]]*0.85,TownTeam1[[#This Row],[Total sales]])</f>
        <v>900</v>
      </c>
    </row>
    <row r="188" spans="2:10" x14ac:dyDescent="0.25">
      <c r="B188" s="28">
        <v>184</v>
      </c>
      <c r="C188" s="35">
        <v>43649</v>
      </c>
      <c r="D188" s="29" t="s">
        <v>9</v>
      </c>
      <c r="E188" s="29" t="s">
        <v>10</v>
      </c>
      <c r="F188" s="29" t="s">
        <v>11</v>
      </c>
      <c r="G188" s="28">
        <v>1100</v>
      </c>
      <c r="H188" s="28">
        <v>2</v>
      </c>
      <c r="I188" s="30">
        <f>TownTeam1[[#This Row],[Selling price]]*TownTeam1[[#This Row],[Item quantity]]</f>
        <v>2200</v>
      </c>
      <c r="J188" s="30">
        <f>IF(TownTeam1[[#This Row],[Item name]]=" Jeans - Denim",TownTeam1[[#This Row],[Total sales]]*0.85,TownTeam1[[#This Row],[Total sales]])</f>
        <v>2200</v>
      </c>
    </row>
    <row r="189" spans="2:10" x14ac:dyDescent="0.25">
      <c r="B189" s="28">
        <v>185</v>
      </c>
      <c r="C189" s="35">
        <v>43650</v>
      </c>
      <c r="D189" s="29" t="s">
        <v>9</v>
      </c>
      <c r="E189" s="29" t="s">
        <v>21</v>
      </c>
      <c r="F189" s="29" t="s">
        <v>20</v>
      </c>
      <c r="G189" s="28">
        <v>1200</v>
      </c>
      <c r="H189" s="28">
        <v>1</v>
      </c>
      <c r="I189" s="30">
        <f>TownTeam1[[#This Row],[Selling price]]*TownTeam1[[#This Row],[Item quantity]]</f>
        <v>1200</v>
      </c>
      <c r="J189" s="30">
        <f>IF(TownTeam1[[#This Row],[Item name]]=" Jeans - Denim",TownTeam1[[#This Row],[Total sales]]*0.85,TownTeam1[[#This Row],[Total sales]])</f>
        <v>1200</v>
      </c>
    </row>
    <row r="190" spans="2:10" x14ac:dyDescent="0.25">
      <c r="B190" s="28">
        <v>186</v>
      </c>
      <c r="C190" s="35">
        <v>43651</v>
      </c>
      <c r="D190" s="29" t="s">
        <v>9</v>
      </c>
      <c r="E190" s="29" t="s">
        <v>10</v>
      </c>
      <c r="F190" s="29" t="s">
        <v>11</v>
      </c>
      <c r="G190" s="28">
        <v>1100</v>
      </c>
      <c r="H190" s="28">
        <v>1</v>
      </c>
      <c r="I190" s="30">
        <f>TownTeam1[[#This Row],[Selling price]]*TownTeam1[[#This Row],[Item quantity]]</f>
        <v>1100</v>
      </c>
      <c r="J190" s="30">
        <f>IF(TownTeam1[[#This Row],[Item name]]=" Jeans - Denim",TownTeam1[[#This Row],[Total sales]]*0.85,TownTeam1[[#This Row],[Total sales]])</f>
        <v>1100</v>
      </c>
    </row>
    <row r="191" spans="2:10" x14ac:dyDescent="0.25">
      <c r="B191" s="28">
        <v>187</v>
      </c>
      <c r="C191" s="35">
        <v>43652</v>
      </c>
      <c r="D191" s="29" t="s">
        <v>9</v>
      </c>
      <c r="E191" s="29" t="s">
        <v>12</v>
      </c>
      <c r="F191" s="29" t="s">
        <v>11</v>
      </c>
      <c r="G191" s="28">
        <v>900</v>
      </c>
      <c r="H191" s="28">
        <v>1</v>
      </c>
      <c r="I191" s="30">
        <f>TownTeam1[[#This Row],[Selling price]]*TownTeam1[[#This Row],[Item quantity]]</f>
        <v>900</v>
      </c>
      <c r="J191" s="30">
        <f>IF(TownTeam1[[#This Row],[Item name]]=" Jeans - Denim",TownTeam1[[#This Row],[Total sales]]*0.85,TownTeam1[[#This Row],[Total sales]])</f>
        <v>765</v>
      </c>
    </row>
    <row r="192" spans="2:10" x14ac:dyDescent="0.25">
      <c r="B192" s="28">
        <v>188</v>
      </c>
      <c r="C192" s="35">
        <v>43653</v>
      </c>
      <c r="D192" s="29" t="s">
        <v>9</v>
      </c>
      <c r="E192" s="29" t="s">
        <v>18</v>
      </c>
      <c r="F192" s="29" t="s">
        <v>17</v>
      </c>
      <c r="G192" s="28">
        <v>600</v>
      </c>
      <c r="H192" s="28">
        <v>1</v>
      </c>
      <c r="I192" s="30">
        <f>TownTeam1[[#This Row],[Selling price]]*TownTeam1[[#This Row],[Item quantity]]</f>
        <v>600</v>
      </c>
      <c r="J192" s="30">
        <f>IF(TownTeam1[[#This Row],[Item name]]=" Jeans - Denim",TownTeam1[[#This Row],[Total sales]]*0.85,TownTeam1[[#This Row],[Total sales]])</f>
        <v>600</v>
      </c>
    </row>
    <row r="193" spans="2:10" x14ac:dyDescent="0.25">
      <c r="B193" s="28">
        <v>189</v>
      </c>
      <c r="C193" s="35">
        <v>43654</v>
      </c>
      <c r="D193" s="29" t="s">
        <v>9</v>
      </c>
      <c r="E193" s="29" t="s">
        <v>22</v>
      </c>
      <c r="F193" s="29" t="s">
        <v>23</v>
      </c>
      <c r="G193" s="28">
        <v>900</v>
      </c>
      <c r="H193" s="28">
        <v>1</v>
      </c>
      <c r="I193" s="30">
        <f>TownTeam1[[#This Row],[Selling price]]*TownTeam1[[#This Row],[Item quantity]]</f>
        <v>900</v>
      </c>
      <c r="J193" s="30">
        <f>IF(TownTeam1[[#This Row],[Item name]]=" Jeans - Denim",TownTeam1[[#This Row],[Total sales]]*0.85,TownTeam1[[#This Row],[Total sales]])</f>
        <v>900</v>
      </c>
    </row>
    <row r="194" spans="2:10" x14ac:dyDescent="0.25">
      <c r="B194" s="28">
        <v>190</v>
      </c>
      <c r="C194" s="35">
        <v>43655</v>
      </c>
      <c r="D194" s="29" t="s">
        <v>9</v>
      </c>
      <c r="E194" s="29" t="s">
        <v>16</v>
      </c>
      <c r="F194" s="29" t="s">
        <v>17</v>
      </c>
      <c r="G194" s="28">
        <v>800</v>
      </c>
      <c r="H194" s="28">
        <v>1</v>
      </c>
      <c r="I194" s="30">
        <f>TownTeam1[[#This Row],[Selling price]]*TownTeam1[[#This Row],[Item quantity]]</f>
        <v>800</v>
      </c>
      <c r="J194" s="30">
        <f>IF(TownTeam1[[#This Row],[Item name]]=" Jeans - Denim",TownTeam1[[#This Row],[Total sales]]*0.85,TownTeam1[[#This Row],[Total sales]])</f>
        <v>800</v>
      </c>
    </row>
    <row r="195" spans="2:10" x14ac:dyDescent="0.25">
      <c r="B195" s="28">
        <v>191</v>
      </c>
      <c r="C195" s="35">
        <v>43656</v>
      </c>
      <c r="D195" s="29" t="s">
        <v>9</v>
      </c>
      <c r="E195" s="29" t="s">
        <v>10</v>
      </c>
      <c r="F195" s="29" t="s">
        <v>11</v>
      </c>
      <c r="G195" s="28">
        <v>1100</v>
      </c>
      <c r="H195" s="28">
        <v>1</v>
      </c>
      <c r="I195" s="30">
        <f>TownTeam1[[#This Row],[Selling price]]*TownTeam1[[#This Row],[Item quantity]]</f>
        <v>1100</v>
      </c>
      <c r="J195" s="30">
        <f>IF(TownTeam1[[#This Row],[Item name]]=" Jeans - Denim",TownTeam1[[#This Row],[Total sales]]*0.85,TownTeam1[[#This Row],[Total sales]])</f>
        <v>1100</v>
      </c>
    </row>
    <row r="196" spans="2:10" x14ac:dyDescent="0.25">
      <c r="B196" s="28">
        <v>192</v>
      </c>
      <c r="C196" s="35">
        <v>43657</v>
      </c>
      <c r="D196" s="29" t="s">
        <v>9</v>
      </c>
      <c r="E196" s="29" t="s">
        <v>14</v>
      </c>
      <c r="F196" s="29" t="s">
        <v>11</v>
      </c>
      <c r="G196" s="28">
        <v>900</v>
      </c>
      <c r="H196" s="28">
        <v>1</v>
      </c>
      <c r="I196" s="30">
        <f>TownTeam1[[#This Row],[Selling price]]*TownTeam1[[#This Row],[Item quantity]]</f>
        <v>900</v>
      </c>
      <c r="J196" s="30">
        <f>IF(TownTeam1[[#This Row],[Item name]]=" Jeans - Denim",TownTeam1[[#This Row],[Total sales]]*0.85,TownTeam1[[#This Row],[Total sales]])</f>
        <v>900</v>
      </c>
    </row>
    <row r="197" spans="2:10" x14ac:dyDescent="0.25">
      <c r="B197" s="28">
        <v>193</v>
      </c>
      <c r="C197" s="35">
        <v>43658</v>
      </c>
      <c r="D197" s="29" t="s">
        <v>9</v>
      </c>
      <c r="E197" s="29" t="s">
        <v>15</v>
      </c>
      <c r="F197" s="29" t="s">
        <v>11</v>
      </c>
      <c r="G197" s="28">
        <v>1000</v>
      </c>
      <c r="H197" s="28">
        <v>1</v>
      </c>
      <c r="I197" s="30">
        <f>TownTeam1[[#This Row],[Selling price]]*TownTeam1[[#This Row],[Item quantity]]</f>
        <v>1000</v>
      </c>
      <c r="J197" s="30">
        <f>IF(TownTeam1[[#This Row],[Item name]]=" Jeans - Denim",TownTeam1[[#This Row],[Total sales]]*0.85,TownTeam1[[#This Row],[Total sales]])</f>
        <v>1000</v>
      </c>
    </row>
    <row r="198" spans="2:10" x14ac:dyDescent="0.25">
      <c r="B198" s="28">
        <v>194</v>
      </c>
      <c r="C198" s="35">
        <v>43659</v>
      </c>
      <c r="D198" s="29" t="s">
        <v>9</v>
      </c>
      <c r="E198" s="29" t="s">
        <v>19</v>
      </c>
      <c r="F198" s="29" t="s">
        <v>20</v>
      </c>
      <c r="G198" s="28">
        <v>850</v>
      </c>
      <c r="H198" s="28">
        <v>1</v>
      </c>
      <c r="I198" s="30">
        <f>TownTeam1[[#This Row],[Selling price]]*TownTeam1[[#This Row],[Item quantity]]</f>
        <v>850</v>
      </c>
      <c r="J198" s="30">
        <f>IF(TownTeam1[[#This Row],[Item name]]=" Jeans - Denim",TownTeam1[[#This Row],[Total sales]]*0.85,TownTeam1[[#This Row],[Total sales]])</f>
        <v>850</v>
      </c>
    </row>
    <row r="199" spans="2:10" x14ac:dyDescent="0.25">
      <c r="B199" s="28">
        <v>195</v>
      </c>
      <c r="C199" s="35">
        <v>43660</v>
      </c>
      <c r="D199" s="29" t="s">
        <v>9</v>
      </c>
      <c r="E199" s="29" t="s">
        <v>18</v>
      </c>
      <c r="F199" s="29" t="s">
        <v>17</v>
      </c>
      <c r="G199" s="28">
        <v>600</v>
      </c>
      <c r="H199" s="28">
        <v>1</v>
      </c>
      <c r="I199" s="30">
        <f>TownTeam1[[#This Row],[Selling price]]*TownTeam1[[#This Row],[Item quantity]]</f>
        <v>600</v>
      </c>
      <c r="J199" s="30">
        <f>IF(TownTeam1[[#This Row],[Item name]]=" Jeans - Denim",TownTeam1[[#This Row],[Total sales]]*0.85,TownTeam1[[#This Row],[Total sales]])</f>
        <v>600</v>
      </c>
    </row>
    <row r="200" spans="2:10" x14ac:dyDescent="0.25">
      <c r="B200" s="28">
        <v>196</v>
      </c>
      <c r="C200" s="35">
        <v>43661</v>
      </c>
      <c r="D200" s="29" t="s">
        <v>9</v>
      </c>
      <c r="E200" s="29" t="s">
        <v>14</v>
      </c>
      <c r="F200" s="29" t="s">
        <v>11</v>
      </c>
      <c r="G200" s="28">
        <v>900</v>
      </c>
      <c r="H200" s="28">
        <v>1</v>
      </c>
      <c r="I200" s="30">
        <f>TownTeam1[[#This Row],[Selling price]]*TownTeam1[[#This Row],[Item quantity]]</f>
        <v>900</v>
      </c>
      <c r="J200" s="30">
        <f>IF(TownTeam1[[#This Row],[Item name]]=" Jeans - Denim",TownTeam1[[#This Row],[Total sales]]*0.85,TownTeam1[[#This Row],[Total sales]])</f>
        <v>900</v>
      </c>
    </row>
    <row r="201" spans="2:10" x14ac:dyDescent="0.25">
      <c r="B201" s="28">
        <v>197</v>
      </c>
      <c r="C201" s="35">
        <v>43662</v>
      </c>
      <c r="D201" s="29" t="s">
        <v>9</v>
      </c>
      <c r="E201" s="29" t="s">
        <v>15</v>
      </c>
      <c r="F201" s="29" t="s">
        <v>11</v>
      </c>
      <c r="G201" s="28">
        <v>1000</v>
      </c>
      <c r="H201" s="28">
        <v>1</v>
      </c>
      <c r="I201" s="30">
        <f>TownTeam1[[#This Row],[Selling price]]*TownTeam1[[#This Row],[Item quantity]]</f>
        <v>1000</v>
      </c>
      <c r="J201" s="30">
        <f>IF(TownTeam1[[#This Row],[Item name]]=" Jeans - Denim",TownTeam1[[#This Row],[Total sales]]*0.85,TownTeam1[[#This Row],[Total sales]])</f>
        <v>1000</v>
      </c>
    </row>
    <row r="202" spans="2:10" x14ac:dyDescent="0.25">
      <c r="B202" s="28">
        <v>198</v>
      </c>
      <c r="C202" s="35">
        <v>43663</v>
      </c>
      <c r="D202" s="29" t="s">
        <v>9</v>
      </c>
      <c r="E202" s="29" t="s">
        <v>14</v>
      </c>
      <c r="F202" s="29" t="s">
        <v>11</v>
      </c>
      <c r="G202" s="28">
        <v>900</v>
      </c>
      <c r="H202" s="28">
        <v>1</v>
      </c>
      <c r="I202" s="30">
        <f>TownTeam1[[#This Row],[Selling price]]*TownTeam1[[#This Row],[Item quantity]]</f>
        <v>900</v>
      </c>
      <c r="J202" s="30">
        <f>IF(TownTeam1[[#This Row],[Item name]]=" Jeans - Denim",TownTeam1[[#This Row],[Total sales]]*0.85,TownTeam1[[#This Row],[Total sales]])</f>
        <v>900</v>
      </c>
    </row>
    <row r="203" spans="2:10" x14ac:dyDescent="0.25">
      <c r="B203" s="28">
        <v>199</v>
      </c>
      <c r="C203" s="35">
        <v>43664</v>
      </c>
      <c r="D203" s="29" t="s">
        <v>9</v>
      </c>
      <c r="E203" s="29" t="s">
        <v>12</v>
      </c>
      <c r="F203" s="29" t="s">
        <v>11</v>
      </c>
      <c r="G203" s="28">
        <v>900</v>
      </c>
      <c r="H203" s="28">
        <v>1</v>
      </c>
      <c r="I203" s="30">
        <f>TownTeam1[[#This Row],[Selling price]]*TownTeam1[[#This Row],[Item quantity]]</f>
        <v>900</v>
      </c>
      <c r="J203" s="30">
        <f>IF(TownTeam1[[#This Row],[Item name]]=" Jeans - Denim",TownTeam1[[#This Row],[Total sales]]*0.85,TownTeam1[[#This Row],[Total sales]])</f>
        <v>765</v>
      </c>
    </row>
    <row r="204" spans="2:10" x14ac:dyDescent="0.25">
      <c r="B204" s="28">
        <v>200</v>
      </c>
      <c r="C204" s="35">
        <v>43665</v>
      </c>
      <c r="D204" s="29" t="s">
        <v>9</v>
      </c>
      <c r="E204" s="29" t="s">
        <v>18</v>
      </c>
      <c r="F204" s="29" t="s">
        <v>17</v>
      </c>
      <c r="G204" s="28">
        <v>600</v>
      </c>
      <c r="H204" s="28">
        <v>1</v>
      </c>
      <c r="I204" s="30">
        <f>TownTeam1[[#This Row],[Selling price]]*TownTeam1[[#This Row],[Item quantity]]</f>
        <v>600</v>
      </c>
      <c r="J204" s="30">
        <f>IF(TownTeam1[[#This Row],[Item name]]=" Jeans - Denim",TownTeam1[[#This Row],[Total sales]]*0.85,TownTeam1[[#This Row],[Total sales]])</f>
        <v>600</v>
      </c>
    </row>
    <row r="205" spans="2:10" x14ac:dyDescent="0.25">
      <c r="B205" s="28">
        <v>201</v>
      </c>
      <c r="C205" s="35">
        <v>43666</v>
      </c>
      <c r="D205" s="29" t="s">
        <v>9</v>
      </c>
      <c r="E205" s="29" t="s">
        <v>22</v>
      </c>
      <c r="F205" s="29" t="s">
        <v>23</v>
      </c>
      <c r="G205" s="28">
        <v>900</v>
      </c>
      <c r="H205" s="28">
        <v>1</v>
      </c>
      <c r="I205" s="30">
        <f>TownTeam1[[#This Row],[Selling price]]*TownTeam1[[#This Row],[Item quantity]]</f>
        <v>900</v>
      </c>
      <c r="J205" s="30">
        <f>IF(TownTeam1[[#This Row],[Item name]]=" Jeans - Denim",TownTeam1[[#This Row],[Total sales]]*0.85,TownTeam1[[#This Row],[Total sales]])</f>
        <v>900</v>
      </c>
    </row>
    <row r="206" spans="2:10" x14ac:dyDescent="0.25">
      <c r="B206" s="28">
        <v>202</v>
      </c>
      <c r="C206" s="35">
        <v>43667</v>
      </c>
      <c r="D206" s="29" t="s">
        <v>9</v>
      </c>
      <c r="E206" s="29" t="s">
        <v>22</v>
      </c>
      <c r="F206" s="29" t="s">
        <v>23</v>
      </c>
      <c r="G206" s="28">
        <v>800</v>
      </c>
      <c r="H206" s="28">
        <v>1</v>
      </c>
      <c r="I206" s="30">
        <f>TownTeam1[[#This Row],[Selling price]]*TownTeam1[[#This Row],[Item quantity]]</f>
        <v>800</v>
      </c>
      <c r="J206" s="30">
        <f>IF(TownTeam1[[#This Row],[Item name]]=" Jeans - Denim",TownTeam1[[#This Row],[Total sales]]*0.85,TownTeam1[[#This Row],[Total sales]])</f>
        <v>800</v>
      </c>
    </row>
    <row r="207" spans="2:10" x14ac:dyDescent="0.25">
      <c r="B207" s="28">
        <v>203</v>
      </c>
      <c r="C207" s="35">
        <v>43668</v>
      </c>
      <c r="D207" s="29" t="s">
        <v>9</v>
      </c>
      <c r="E207" s="29" t="s">
        <v>16</v>
      </c>
      <c r="F207" s="29" t="s">
        <v>17</v>
      </c>
      <c r="G207" s="28">
        <v>800</v>
      </c>
      <c r="H207" s="28">
        <v>1</v>
      </c>
      <c r="I207" s="30">
        <f>TownTeam1[[#This Row],[Selling price]]*TownTeam1[[#This Row],[Item quantity]]</f>
        <v>800</v>
      </c>
      <c r="J207" s="30">
        <f>IF(TownTeam1[[#This Row],[Item name]]=" Jeans - Denim",TownTeam1[[#This Row],[Total sales]]*0.85,TownTeam1[[#This Row],[Total sales]])</f>
        <v>800</v>
      </c>
    </row>
    <row r="208" spans="2:10" x14ac:dyDescent="0.25">
      <c r="B208" s="28">
        <v>204</v>
      </c>
      <c r="C208" s="35">
        <v>43669</v>
      </c>
      <c r="D208" s="29" t="s">
        <v>9</v>
      </c>
      <c r="E208" s="29" t="s">
        <v>18</v>
      </c>
      <c r="F208" s="29" t="s">
        <v>17</v>
      </c>
      <c r="G208" s="28">
        <v>600</v>
      </c>
      <c r="H208" s="28">
        <v>1</v>
      </c>
      <c r="I208" s="30">
        <f>TownTeam1[[#This Row],[Selling price]]*TownTeam1[[#This Row],[Item quantity]]</f>
        <v>600</v>
      </c>
      <c r="J208" s="30">
        <f>IF(TownTeam1[[#This Row],[Item name]]=" Jeans - Denim",TownTeam1[[#This Row],[Total sales]]*0.85,TownTeam1[[#This Row],[Total sales]])</f>
        <v>600</v>
      </c>
    </row>
    <row r="209" spans="2:10" x14ac:dyDescent="0.25">
      <c r="B209" s="28">
        <v>205</v>
      </c>
      <c r="C209" s="35">
        <v>43670</v>
      </c>
      <c r="D209" s="29" t="s">
        <v>9</v>
      </c>
      <c r="E209" s="29" t="s">
        <v>22</v>
      </c>
      <c r="F209" s="29" t="s">
        <v>23</v>
      </c>
      <c r="G209" s="28">
        <v>500</v>
      </c>
      <c r="H209" s="28">
        <v>1</v>
      </c>
      <c r="I209" s="30">
        <f>TownTeam1[[#This Row],[Selling price]]*TownTeam1[[#This Row],[Item quantity]]</f>
        <v>500</v>
      </c>
      <c r="J209" s="30">
        <f>IF(TownTeam1[[#This Row],[Item name]]=" Jeans - Denim",TownTeam1[[#This Row],[Total sales]]*0.85,TownTeam1[[#This Row],[Total sales]])</f>
        <v>500</v>
      </c>
    </row>
    <row r="210" spans="2:10" x14ac:dyDescent="0.25">
      <c r="B210" s="28">
        <v>206</v>
      </c>
      <c r="C210" s="35">
        <v>43671</v>
      </c>
      <c r="D210" s="29" t="s">
        <v>9</v>
      </c>
      <c r="E210" s="29" t="s">
        <v>14</v>
      </c>
      <c r="F210" s="29" t="s">
        <v>11</v>
      </c>
      <c r="G210" s="28">
        <v>900</v>
      </c>
      <c r="H210" s="28">
        <v>1</v>
      </c>
      <c r="I210" s="30">
        <f>TownTeam1[[#This Row],[Selling price]]*TownTeam1[[#This Row],[Item quantity]]</f>
        <v>900</v>
      </c>
      <c r="J210" s="30">
        <f>IF(TownTeam1[[#This Row],[Item name]]=" Jeans - Denim",TownTeam1[[#This Row],[Total sales]]*0.85,TownTeam1[[#This Row],[Total sales]])</f>
        <v>900</v>
      </c>
    </row>
    <row r="211" spans="2:10" x14ac:dyDescent="0.25">
      <c r="B211" s="28">
        <v>207</v>
      </c>
      <c r="C211" s="35">
        <v>43672</v>
      </c>
      <c r="D211" s="29" t="s">
        <v>9</v>
      </c>
      <c r="E211" s="29" t="s">
        <v>10</v>
      </c>
      <c r="F211" s="29" t="s">
        <v>11</v>
      </c>
      <c r="G211" s="28">
        <v>1100</v>
      </c>
      <c r="H211" s="28">
        <v>1</v>
      </c>
      <c r="I211" s="30">
        <f>TownTeam1[[#This Row],[Selling price]]*TownTeam1[[#This Row],[Item quantity]]</f>
        <v>1100</v>
      </c>
      <c r="J211" s="30">
        <f>IF(TownTeam1[[#This Row],[Item name]]=" Jeans - Denim",TownTeam1[[#This Row],[Total sales]]*0.85,TownTeam1[[#This Row],[Total sales]])</f>
        <v>1100</v>
      </c>
    </row>
    <row r="212" spans="2:10" x14ac:dyDescent="0.25">
      <c r="B212" s="28">
        <v>208</v>
      </c>
      <c r="C212" s="35">
        <v>43673</v>
      </c>
      <c r="D212" s="29" t="s">
        <v>9</v>
      </c>
      <c r="E212" s="29" t="s">
        <v>22</v>
      </c>
      <c r="F212" s="29" t="s">
        <v>23</v>
      </c>
      <c r="G212" s="28">
        <v>500</v>
      </c>
      <c r="H212" s="28">
        <v>1</v>
      </c>
      <c r="I212" s="30">
        <f>TownTeam1[[#This Row],[Selling price]]*TownTeam1[[#This Row],[Item quantity]]</f>
        <v>500</v>
      </c>
      <c r="J212" s="30">
        <f>IF(TownTeam1[[#This Row],[Item name]]=" Jeans - Denim",TownTeam1[[#This Row],[Total sales]]*0.85,TownTeam1[[#This Row],[Total sales]])</f>
        <v>500</v>
      </c>
    </row>
    <row r="213" spans="2:10" x14ac:dyDescent="0.25">
      <c r="B213" s="28">
        <v>209</v>
      </c>
      <c r="C213" s="35">
        <v>43674</v>
      </c>
      <c r="D213" s="29" t="s">
        <v>9</v>
      </c>
      <c r="E213" s="29" t="s">
        <v>18</v>
      </c>
      <c r="F213" s="29" t="s">
        <v>17</v>
      </c>
      <c r="G213" s="28">
        <v>600</v>
      </c>
      <c r="H213" s="28">
        <v>1</v>
      </c>
      <c r="I213" s="30">
        <f>TownTeam1[[#This Row],[Selling price]]*TownTeam1[[#This Row],[Item quantity]]</f>
        <v>600</v>
      </c>
      <c r="J213" s="30">
        <f>IF(TownTeam1[[#This Row],[Item name]]=" Jeans - Denim",TownTeam1[[#This Row],[Total sales]]*0.85,TownTeam1[[#This Row],[Total sales]])</f>
        <v>600</v>
      </c>
    </row>
    <row r="214" spans="2:10" x14ac:dyDescent="0.25">
      <c r="B214" s="28">
        <v>210</v>
      </c>
      <c r="C214" s="35">
        <v>43675</v>
      </c>
      <c r="D214" s="29" t="s">
        <v>9</v>
      </c>
      <c r="E214" s="29" t="s">
        <v>14</v>
      </c>
      <c r="F214" s="29" t="s">
        <v>11</v>
      </c>
      <c r="G214" s="28">
        <v>900</v>
      </c>
      <c r="H214" s="28">
        <v>1</v>
      </c>
      <c r="I214" s="30">
        <f>TownTeam1[[#This Row],[Selling price]]*TownTeam1[[#This Row],[Item quantity]]</f>
        <v>900</v>
      </c>
      <c r="J214" s="30">
        <f>IF(TownTeam1[[#This Row],[Item name]]=" Jeans - Denim",TownTeam1[[#This Row],[Total sales]]*0.85,TownTeam1[[#This Row],[Total sales]])</f>
        <v>900</v>
      </c>
    </row>
    <row r="215" spans="2:10" x14ac:dyDescent="0.25">
      <c r="B215" s="28">
        <v>211</v>
      </c>
      <c r="C215" s="35">
        <v>43676</v>
      </c>
      <c r="D215" s="29" t="s">
        <v>9</v>
      </c>
      <c r="E215" s="29" t="s">
        <v>22</v>
      </c>
      <c r="F215" s="29" t="s">
        <v>23</v>
      </c>
      <c r="G215" s="28">
        <v>500</v>
      </c>
      <c r="H215" s="28">
        <v>1</v>
      </c>
      <c r="I215" s="30">
        <f>TownTeam1[[#This Row],[Selling price]]*TownTeam1[[#This Row],[Item quantity]]</f>
        <v>500</v>
      </c>
      <c r="J215" s="30">
        <f>IF(TownTeam1[[#This Row],[Item name]]=" Jeans - Denim",TownTeam1[[#This Row],[Total sales]]*0.85,TownTeam1[[#This Row],[Total sales]])</f>
        <v>500</v>
      </c>
    </row>
    <row r="216" spans="2:10" x14ac:dyDescent="0.25">
      <c r="B216" s="28">
        <v>212</v>
      </c>
      <c r="C216" s="35">
        <v>43677</v>
      </c>
      <c r="D216" s="29" t="s">
        <v>9</v>
      </c>
      <c r="E216" s="29" t="s">
        <v>22</v>
      </c>
      <c r="F216" s="29" t="s">
        <v>23</v>
      </c>
      <c r="G216" s="28">
        <v>500</v>
      </c>
      <c r="H216" s="28">
        <v>1</v>
      </c>
      <c r="I216" s="30">
        <f>TownTeam1[[#This Row],[Selling price]]*TownTeam1[[#This Row],[Item quantity]]</f>
        <v>500</v>
      </c>
      <c r="J216" s="30">
        <f>IF(TownTeam1[[#This Row],[Item name]]=" Jeans - Denim",TownTeam1[[#This Row],[Total sales]]*0.85,TownTeam1[[#This Row],[Total sales]])</f>
        <v>500</v>
      </c>
    </row>
    <row r="217" spans="2:10" x14ac:dyDescent="0.25">
      <c r="B217" s="28">
        <v>213</v>
      </c>
      <c r="C217" s="35">
        <v>43678</v>
      </c>
      <c r="D217" s="29" t="s">
        <v>9</v>
      </c>
      <c r="E217" s="29" t="s">
        <v>18</v>
      </c>
      <c r="F217" s="29" t="s">
        <v>17</v>
      </c>
      <c r="G217" s="28">
        <v>600</v>
      </c>
      <c r="H217" s="28">
        <v>1</v>
      </c>
      <c r="I217" s="30">
        <f>TownTeam1[[#This Row],[Selling price]]*TownTeam1[[#This Row],[Item quantity]]</f>
        <v>600</v>
      </c>
      <c r="J217" s="30">
        <f>IF(TownTeam1[[#This Row],[Item name]]=" Jeans - Denim",TownTeam1[[#This Row],[Total sales]]*0.85,TownTeam1[[#This Row],[Total sales]])</f>
        <v>600</v>
      </c>
    </row>
    <row r="218" spans="2:10" x14ac:dyDescent="0.25">
      <c r="B218" s="28">
        <v>214</v>
      </c>
      <c r="C218" s="35">
        <v>43679</v>
      </c>
      <c r="D218" s="29" t="s">
        <v>9</v>
      </c>
      <c r="E218" s="29" t="s">
        <v>18</v>
      </c>
      <c r="F218" s="29" t="s">
        <v>17</v>
      </c>
      <c r="G218" s="28">
        <v>600</v>
      </c>
      <c r="H218" s="28">
        <v>1</v>
      </c>
      <c r="I218" s="30">
        <f>TownTeam1[[#This Row],[Selling price]]*TownTeam1[[#This Row],[Item quantity]]</f>
        <v>600</v>
      </c>
      <c r="J218" s="30">
        <f>IF(TownTeam1[[#This Row],[Item name]]=" Jeans - Denim",TownTeam1[[#This Row],[Total sales]]*0.85,TownTeam1[[#This Row],[Total sales]])</f>
        <v>600</v>
      </c>
    </row>
    <row r="219" spans="2:10" x14ac:dyDescent="0.25">
      <c r="B219" s="28">
        <v>215</v>
      </c>
      <c r="C219" s="35">
        <v>43680</v>
      </c>
      <c r="D219" s="29" t="s">
        <v>9</v>
      </c>
      <c r="E219" s="29" t="s">
        <v>16</v>
      </c>
      <c r="F219" s="29" t="s">
        <v>17</v>
      </c>
      <c r="G219" s="28">
        <v>800</v>
      </c>
      <c r="H219" s="28">
        <v>1</v>
      </c>
      <c r="I219" s="30">
        <f>TownTeam1[[#This Row],[Selling price]]*TownTeam1[[#This Row],[Item quantity]]</f>
        <v>800</v>
      </c>
      <c r="J219" s="30">
        <f>IF(TownTeam1[[#This Row],[Item name]]=" Jeans - Denim",TownTeam1[[#This Row],[Total sales]]*0.85,TownTeam1[[#This Row],[Total sales]])</f>
        <v>800</v>
      </c>
    </row>
    <row r="220" spans="2:10" x14ac:dyDescent="0.25">
      <c r="B220" s="28">
        <v>216</v>
      </c>
      <c r="C220" s="35">
        <v>43681</v>
      </c>
      <c r="D220" s="29" t="s">
        <v>9</v>
      </c>
      <c r="E220" s="29" t="s">
        <v>19</v>
      </c>
      <c r="F220" s="29" t="s">
        <v>20</v>
      </c>
      <c r="G220" s="28">
        <v>850</v>
      </c>
      <c r="H220" s="28">
        <v>1</v>
      </c>
      <c r="I220" s="30">
        <f>TownTeam1[[#This Row],[Selling price]]*TownTeam1[[#This Row],[Item quantity]]</f>
        <v>850</v>
      </c>
      <c r="J220" s="30">
        <f>IF(TownTeam1[[#This Row],[Item name]]=" Jeans - Denim",TownTeam1[[#This Row],[Total sales]]*0.85,TownTeam1[[#This Row],[Total sales]])</f>
        <v>850</v>
      </c>
    </row>
    <row r="221" spans="2:10" x14ac:dyDescent="0.25">
      <c r="B221" s="28">
        <v>217</v>
      </c>
      <c r="C221" s="35">
        <v>43682</v>
      </c>
      <c r="D221" s="29" t="s">
        <v>9</v>
      </c>
      <c r="E221" s="29" t="s">
        <v>22</v>
      </c>
      <c r="F221" s="29" t="s">
        <v>23</v>
      </c>
      <c r="G221" s="28">
        <v>500</v>
      </c>
      <c r="H221" s="28">
        <v>1</v>
      </c>
      <c r="I221" s="30">
        <f>TownTeam1[[#This Row],[Selling price]]*TownTeam1[[#This Row],[Item quantity]]</f>
        <v>500</v>
      </c>
      <c r="J221" s="30">
        <f>IF(TownTeam1[[#This Row],[Item name]]=" Jeans - Denim",TownTeam1[[#This Row],[Total sales]]*0.85,TownTeam1[[#This Row],[Total sales]])</f>
        <v>500</v>
      </c>
    </row>
    <row r="222" spans="2:10" x14ac:dyDescent="0.25">
      <c r="B222" s="28">
        <v>218</v>
      </c>
      <c r="C222" s="35">
        <v>43683</v>
      </c>
      <c r="D222" s="29" t="s">
        <v>9</v>
      </c>
      <c r="E222" s="29" t="s">
        <v>22</v>
      </c>
      <c r="F222" s="29" t="s">
        <v>23</v>
      </c>
      <c r="G222" s="28">
        <v>500</v>
      </c>
      <c r="H222" s="28">
        <v>1</v>
      </c>
      <c r="I222" s="30">
        <f>TownTeam1[[#This Row],[Selling price]]*TownTeam1[[#This Row],[Item quantity]]</f>
        <v>500</v>
      </c>
      <c r="J222" s="30">
        <f>IF(TownTeam1[[#This Row],[Item name]]=" Jeans - Denim",TownTeam1[[#This Row],[Total sales]]*0.85,TownTeam1[[#This Row],[Total sales]])</f>
        <v>500</v>
      </c>
    </row>
    <row r="223" spans="2:10" x14ac:dyDescent="0.25">
      <c r="B223" s="28">
        <v>219</v>
      </c>
      <c r="C223" s="35">
        <v>43684</v>
      </c>
      <c r="D223" s="29" t="s">
        <v>9</v>
      </c>
      <c r="E223" s="29" t="s">
        <v>10</v>
      </c>
      <c r="F223" s="29" t="s">
        <v>11</v>
      </c>
      <c r="G223" s="28">
        <v>1100</v>
      </c>
      <c r="H223" s="28">
        <v>1</v>
      </c>
      <c r="I223" s="30">
        <f>TownTeam1[[#This Row],[Selling price]]*TownTeam1[[#This Row],[Item quantity]]</f>
        <v>1100</v>
      </c>
      <c r="J223" s="30">
        <f>IF(TownTeam1[[#This Row],[Item name]]=" Jeans - Denim",TownTeam1[[#This Row],[Total sales]]*0.85,TownTeam1[[#This Row],[Total sales]])</f>
        <v>1100</v>
      </c>
    </row>
    <row r="224" spans="2:10" x14ac:dyDescent="0.25">
      <c r="B224" s="28">
        <v>220</v>
      </c>
      <c r="C224" s="35">
        <v>43685</v>
      </c>
      <c r="D224" s="29" t="s">
        <v>9</v>
      </c>
      <c r="E224" s="29" t="s">
        <v>22</v>
      </c>
      <c r="F224" s="29" t="s">
        <v>23</v>
      </c>
      <c r="G224" s="28">
        <v>500</v>
      </c>
      <c r="H224" s="28">
        <v>1</v>
      </c>
      <c r="I224" s="30">
        <f>TownTeam1[[#This Row],[Selling price]]*TownTeam1[[#This Row],[Item quantity]]</f>
        <v>500</v>
      </c>
      <c r="J224" s="30">
        <f>IF(TownTeam1[[#This Row],[Item name]]=" Jeans - Denim",TownTeam1[[#This Row],[Total sales]]*0.85,TownTeam1[[#This Row],[Total sales]])</f>
        <v>500</v>
      </c>
    </row>
    <row r="225" spans="2:10" x14ac:dyDescent="0.25">
      <c r="B225" s="28">
        <v>221</v>
      </c>
      <c r="C225" s="35">
        <v>43686</v>
      </c>
      <c r="D225" s="29" t="s">
        <v>9</v>
      </c>
      <c r="E225" s="29" t="s">
        <v>15</v>
      </c>
      <c r="F225" s="29" t="s">
        <v>11</v>
      </c>
      <c r="G225" s="28">
        <v>1000</v>
      </c>
      <c r="H225" s="28">
        <v>1</v>
      </c>
      <c r="I225" s="30">
        <f>TownTeam1[[#This Row],[Selling price]]*TownTeam1[[#This Row],[Item quantity]]</f>
        <v>1000</v>
      </c>
      <c r="J225" s="30">
        <f>IF(TownTeam1[[#This Row],[Item name]]=" Jeans - Denim",TownTeam1[[#This Row],[Total sales]]*0.85,TownTeam1[[#This Row],[Total sales]])</f>
        <v>1000</v>
      </c>
    </row>
    <row r="226" spans="2:10" x14ac:dyDescent="0.25">
      <c r="B226" s="28">
        <v>222</v>
      </c>
      <c r="C226" s="35">
        <v>43687</v>
      </c>
      <c r="D226" s="29" t="s">
        <v>9</v>
      </c>
      <c r="E226" s="29" t="s">
        <v>16</v>
      </c>
      <c r="F226" s="29" t="s">
        <v>17</v>
      </c>
      <c r="G226" s="28">
        <v>800</v>
      </c>
      <c r="H226" s="28">
        <v>1</v>
      </c>
      <c r="I226" s="30">
        <f>TownTeam1[[#This Row],[Selling price]]*TownTeam1[[#This Row],[Item quantity]]</f>
        <v>800</v>
      </c>
      <c r="J226" s="30">
        <f>IF(TownTeam1[[#This Row],[Item name]]=" Jeans - Denim",TownTeam1[[#This Row],[Total sales]]*0.85,TownTeam1[[#This Row],[Total sales]])</f>
        <v>800</v>
      </c>
    </row>
    <row r="227" spans="2:10" x14ac:dyDescent="0.25">
      <c r="B227" s="28">
        <v>223</v>
      </c>
      <c r="C227" s="35">
        <v>43688</v>
      </c>
      <c r="D227" s="29" t="s">
        <v>9</v>
      </c>
      <c r="E227" s="29" t="s">
        <v>24</v>
      </c>
      <c r="F227" s="29" t="s">
        <v>23</v>
      </c>
      <c r="G227" s="28">
        <v>600</v>
      </c>
      <c r="H227" s="28">
        <v>1</v>
      </c>
      <c r="I227" s="30">
        <f>TownTeam1[[#This Row],[Selling price]]*TownTeam1[[#This Row],[Item quantity]]</f>
        <v>600</v>
      </c>
      <c r="J227" s="30">
        <f>IF(TownTeam1[[#This Row],[Item name]]=" Jeans - Denim",TownTeam1[[#This Row],[Total sales]]*0.85,TownTeam1[[#This Row],[Total sales]])</f>
        <v>600</v>
      </c>
    </row>
    <row r="228" spans="2:10" x14ac:dyDescent="0.25">
      <c r="B228" s="28">
        <v>224</v>
      </c>
      <c r="C228" s="35">
        <v>43689</v>
      </c>
      <c r="D228" s="29" t="s">
        <v>9</v>
      </c>
      <c r="E228" s="29" t="s">
        <v>24</v>
      </c>
      <c r="F228" s="29" t="s">
        <v>23</v>
      </c>
      <c r="G228" s="28">
        <v>600</v>
      </c>
      <c r="H228" s="28">
        <v>1</v>
      </c>
      <c r="I228" s="30">
        <f>TownTeam1[[#This Row],[Selling price]]*TownTeam1[[#This Row],[Item quantity]]</f>
        <v>600</v>
      </c>
      <c r="J228" s="30">
        <f>IF(TownTeam1[[#This Row],[Item name]]=" Jeans - Denim",TownTeam1[[#This Row],[Total sales]]*0.85,TownTeam1[[#This Row],[Total sales]])</f>
        <v>600</v>
      </c>
    </row>
    <row r="229" spans="2:10" x14ac:dyDescent="0.25">
      <c r="B229" s="28">
        <v>225</v>
      </c>
      <c r="C229" s="35">
        <v>43690</v>
      </c>
      <c r="D229" s="29" t="s">
        <v>9</v>
      </c>
      <c r="E229" s="29" t="s">
        <v>19</v>
      </c>
      <c r="F229" s="29" t="s">
        <v>20</v>
      </c>
      <c r="G229" s="28">
        <v>850</v>
      </c>
      <c r="H229" s="28">
        <v>1</v>
      </c>
      <c r="I229" s="30">
        <f>TownTeam1[[#This Row],[Selling price]]*TownTeam1[[#This Row],[Item quantity]]</f>
        <v>850</v>
      </c>
      <c r="J229" s="30">
        <f>IF(TownTeam1[[#This Row],[Item name]]=" Jeans - Denim",TownTeam1[[#This Row],[Total sales]]*0.85,TownTeam1[[#This Row],[Total sales]])</f>
        <v>850</v>
      </c>
    </row>
    <row r="230" spans="2:10" x14ac:dyDescent="0.25">
      <c r="B230" s="28">
        <v>226</v>
      </c>
      <c r="C230" s="35">
        <v>43691</v>
      </c>
      <c r="D230" s="29" t="s">
        <v>9</v>
      </c>
      <c r="E230" s="29" t="s">
        <v>24</v>
      </c>
      <c r="F230" s="29" t="s">
        <v>23</v>
      </c>
      <c r="G230" s="28">
        <v>600</v>
      </c>
      <c r="H230" s="28">
        <v>1</v>
      </c>
      <c r="I230" s="30">
        <f>TownTeam1[[#This Row],[Selling price]]*TownTeam1[[#This Row],[Item quantity]]</f>
        <v>600</v>
      </c>
      <c r="J230" s="30">
        <f>IF(TownTeam1[[#This Row],[Item name]]=" Jeans - Denim",TownTeam1[[#This Row],[Total sales]]*0.85,TownTeam1[[#This Row],[Total sales]])</f>
        <v>600</v>
      </c>
    </row>
    <row r="231" spans="2:10" x14ac:dyDescent="0.25">
      <c r="B231" s="28">
        <v>227</v>
      </c>
      <c r="C231" s="35">
        <v>43692</v>
      </c>
      <c r="D231" s="29" t="s">
        <v>9</v>
      </c>
      <c r="E231" s="29" t="s">
        <v>18</v>
      </c>
      <c r="F231" s="29" t="s">
        <v>17</v>
      </c>
      <c r="G231" s="28">
        <v>600</v>
      </c>
      <c r="H231" s="28">
        <v>1</v>
      </c>
      <c r="I231" s="30">
        <f>TownTeam1[[#This Row],[Selling price]]*TownTeam1[[#This Row],[Item quantity]]</f>
        <v>600</v>
      </c>
      <c r="J231" s="30">
        <f>IF(TownTeam1[[#This Row],[Item name]]=" Jeans - Denim",TownTeam1[[#This Row],[Total sales]]*0.85,TownTeam1[[#This Row],[Total sales]])</f>
        <v>600</v>
      </c>
    </row>
    <row r="232" spans="2:10" x14ac:dyDescent="0.25">
      <c r="B232" s="28">
        <v>228</v>
      </c>
      <c r="C232" s="35">
        <v>43693</v>
      </c>
      <c r="D232" s="29" t="s">
        <v>9</v>
      </c>
      <c r="E232" s="29" t="s">
        <v>24</v>
      </c>
      <c r="F232" s="29" t="s">
        <v>23</v>
      </c>
      <c r="G232" s="28">
        <v>600</v>
      </c>
      <c r="H232" s="28">
        <v>1</v>
      </c>
      <c r="I232" s="30">
        <f>TownTeam1[[#This Row],[Selling price]]*TownTeam1[[#This Row],[Item quantity]]</f>
        <v>600</v>
      </c>
      <c r="J232" s="30">
        <f>IF(TownTeam1[[#This Row],[Item name]]=" Jeans - Denim",TownTeam1[[#This Row],[Total sales]]*0.85,TownTeam1[[#This Row],[Total sales]])</f>
        <v>600</v>
      </c>
    </row>
    <row r="233" spans="2:10" x14ac:dyDescent="0.25">
      <c r="B233" s="28">
        <v>229</v>
      </c>
      <c r="C233" s="35">
        <v>43694</v>
      </c>
      <c r="D233" s="29" t="s">
        <v>9</v>
      </c>
      <c r="E233" s="29" t="s">
        <v>10</v>
      </c>
      <c r="F233" s="29" t="s">
        <v>11</v>
      </c>
      <c r="G233" s="28">
        <v>1100</v>
      </c>
      <c r="H233" s="28">
        <v>1</v>
      </c>
      <c r="I233" s="30">
        <f>TownTeam1[[#This Row],[Selling price]]*TownTeam1[[#This Row],[Item quantity]]</f>
        <v>1100</v>
      </c>
      <c r="J233" s="30">
        <f>IF(TownTeam1[[#This Row],[Item name]]=" Jeans - Denim",TownTeam1[[#This Row],[Total sales]]*0.85,TownTeam1[[#This Row],[Total sales]])</f>
        <v>1100</v>
      </c>
    </row>
    <row r="234" spans="2:10" x14ac:dyDescent="0.25">
      <c r="B234" s="28">
        <v>230</v>
      </c>
      <c r="C234" s="35">
        <v>43695</v>
      </c>
      <c r="D234" s="29" t="s">
        <v>9</v>
      </c>
      <c r="E234" s="29" t="s">
        <v>18</v>
      </c>
      <c r="F234" s="29" t="s">
        <v>17</v>
      </c>
      <c r="G234" s="28">
        <v>600</v>
      </c>
      <c r="H234" s="28">
        <v>1</v>
      </c>
      <c r="I234" s="30">
        <f>TownTeam1[[#This Row],[Selling price]]*TownTeam1[[#This Row],[Item quantity]]</f>
        <v>600</v>
      </c>
      <c r="J234" s="30">
        <f>IF(TownTeam1[[#This Row],[Item name]]=" Jeans - Denim",TownTeam1[[#This Row],[Total sales]]*0.85,TownTeam1[[#This Row],[Total sales]])</f>
        <v>600</v>
      </c>
    </row>
    <row r="235" spans="2:10" x14ac:dyDescent="0.25">
      <c r="B235" s="28">
        <v>231</v>
      </c>
      <c r="C235" s="35">
        <v>43696</v>
      </c>
      <c r="D235" s="29" t="s">
        <v>9</v>
      </c>
      <c r="E235" s="29" t="s">
        <v>10</v>
      </c>
      <c r="F235" s="29" t="s">
        <v>11</v>
      </c>
      <c r="G235" s="28">
        <v>1100</v>
      </c>
      <c r="H235" s="28">
        <v>1</v>
      </c>
      <c r="I235" s="30">
        <f>TownTeam1[[#This Row],[Selling price]]*TownTeam1[[#This Row],[Item quantity]]</f>
        <v>1100</v>
      </c>
      <c r="J235" s="30">
        <f>IF(TownTeam1[[#This Row],[Item name]]=" Jeans - Denim",TownTeam1[[#This Row],[Total sales]]*0.85,TownTeam1[[#This Row],[Total sales]])</f>
        <v>1100</v>
      </c>
    </row>
    <row r="236" spans="2:10" x14ac:dyDescent="0.25">
      <c r="B236" s="28">
        <v>232</v>
      </c>
      <c r="C236" s="35">
        <v>43697</v>
      </c>
      <c r="D236" s="29" t="s">
        <v>9</v>
      </c>
      <c r="E236" s="29" t="s">
        <v>10</v>
      </c>
      <c r="F236" s="29" t="s">
        <v>11</v>
      </c>
      <c r="G236" s="28">
        <v>1100</v>
      </c>
      <c r="H236" s="28">
        <v>1</v>
      </c>
      <c r="I236" s="30">
        <f>TownTeam1[[#This Row],[Selling price]]*TownTeam1[[#This Row],[Item quantity]]</f>
        <v>1100</v>
      </c>
      <c r="J236" s="30">
        <f>IF(TownTeam1[[#This Row],[Item name]]=" Jeans - Denim",TownTeam1[[#This Row],[Total sales]]*0.85,TownTeam1[[#This Row],[Total sales]])</f>
        <v>1100</v>
      </c>
    </row>
    <row r="237" spans="2:10" x14ac:dyDescent="0.25">
      <c r="B237" s="28">
        <v>233</v>
      </c>
      <c r="C237" s="35">
        <v>43698</v>
      </c>
      <c r="D237" s="29" t="s">
        <v>9</v>
      </c>
      <c r="E237" s="29" t="s">
        <v>10</v>
      </c>
      <c r="F237" s="29" t="s">
        <v>11</v>
      </c>
      <c r="G237" s="28">
        <v>1100</v>
      </c>
      <c r="H237" s="28">
        <v>1</v>
      </c>
      <c r="I237" s="30">
        <f>TownTeam1[[#This Row],[Selling price]]*TownTeam1[[#This Row],[Item quantity]]</f>
        <v>1100</v>
      </c>
      <c r="J237" s="30">
        <f>IF(TownTeam1[[#This Row],[Item name]]=" Jeans - Denim",TownTeam1[[#This Row],[Total sales]]*0.85,TownTeam1[[#This Row],[Total sales]])</f>
        <v>1100</v>
      </c>
    </row>
    <row r="238" spans="2:10" x14ac:dyDescent="0.25">
      <c r="B238" s="28">
        <v>234</v>
      </c>
      <c r="C238" s="35">
        <v>43699</v>
      </c>
      <c r="D238" s="29" t="s">
        <v>9</v>
      </c>
      <c r="E238" s="29" t="s">
        <v>19</v>
      </c>
      <c r="F238" s="29" t="s">
        <v>20</v>
      </c>
      <c r="G238" s="28">
        <v>850</v>
      </c>
      <c r="H238" s="28">
        <v>1</v>
      </c>
      <c r="I238" s="30">
        <f>TownTeam1[[#This Row],[Selling price]]*TownTeam1[[#This Row],[Item quantity]]</f>
        <v>850</v>
      </c>
      <c r="J238" s="30">
        <f>IF(TownTeam1[[#This Row],[Item name]]=" Jeans - Denim",TownTeam1[[#This Row],[Total sales]]*0.85,TownTeam1[[#This Row],[Total sales]])</f>
        <v>850</v>
      </c>
    </row>
    <row r="239" spans="2:10" x14ac:dyDescent="0.25">
      <c r="B239" s="28">
        <v>235</v>
      </c>
      <c r="C239" s="35">
        <v>43700</v>
      </c>
      <c r="D239" s="29" t="s">
        <v>9</v>
      </c>
      <c r="E239" s="29" t="s">
        <v>18</v>
      </c>
      <c r="F239" s="29" t="s">
        <v>17</v>
      </c>
      <c r="G239" s="28">
        <v>600</v>
      </c>
      <c r="H239" s="28">
        <v>1</v>
      </c>
      <c r="I239" s="30">
        <f>TownTeam1[[#This Row],[Selling price]]*TownTeam1[[#This Row],[Item quantity]]</f>
        <v>600</v>
      </c>
      <c r="J239" s="30">
        <f>IF(TownTeam1[[#This Row],[Item name]]=" Jeans - Denim",TownTeam1[[#This Row],[Total sales]]*0.85,TownTeam1[[#This Row],[Total sales]])</f>
        <v>600</v>
      </c>
    </row>
    <row r="240" spans="2:10" x14ac:dyDescent="0.25">
      <c r="B240" s="28">
        <v>236</v>
      </c>
      <c r="C240" s="35">
        <v>43701</v>
      </c>
      <c r="D240" s="29" t="s">
        <v>9</v>
      </c>
      <c r="E240" s="29" t="s">
        <v>18</v>
      </c>
      <c r="F240" s="29" t="s">
        <v>17</v>
      </c>
      <c r="G240" s="28">
        <v>600</v>
      </c>
      <c r="H240" s="28">
        <v>1</v>
      </c>
      <c r="I240" s="30">
        <f>TownTeam1[[#This Row],[Selling price]]*TownTeam1[[#This Row],[Item quantity]]</f>
        <v>600</v>
      </c>
      <c r="J240" s="30">
        <f>IF(TownTeam1[[#This Row],[Item name]]=" Jeans - Denim",TownTeam1[[#This Row],[Total sales]]*0.85,TownTeam1[[#This Row],[Total sales]])</f>
        <v>600</v>
      </c>
    </row>
    <row r="241" spans="2:10" x14ac:dyDescent="0.25">
      <c r="B241" s="28">
        <v>237</v>
      </c>
      <c r="C241" s="35">
        <v>43702</v>
      </c>
      <c r="D241" s="29" t="s">
        <v>9</v>
      </c>
      <c r="E241" s="29" t="s">
        <v>16</v>
      </c>
      <c r="F241" s="29" t="s">
        <v>17</v>
      </c>
      <c r="G241" s="28">
        <v>800</v>
      </c>
      <c r="H241" s="28">
        <v>1</v>
      </c>
      <c r="I241" s="30">
        <f>TownTeam1[[#This Row],[Selling price]]*TownTeam1[[#This Row],[Item quantity]]</f>
        <v>800</v>
      </c>
      <c r="J241" s="30">
        <f>IF(TownTeam1[[#This Row],[Item name]]=" Jeans - Denim",TownTeam1[[#This Row],[Total sales]]*0.85,TownTeam1[[#This Row],[Total sales]])</f>
        <v>800</v>
      </c>
    </row>
    <row r="242" spans="2:10" x14ac:dyDescent="0.25">
      <c r="B242" s="28">
        <v>238</v>
      </c>
      <c r="C242" s="35">
        <v>43703</v>
      </c>
      <c r="D242" s="29" t="s">
        <v>9</v>
      </c>
      <c r="E242" s="29" t="s">
        <v>21</v>
      </c>
      <c r="F242" s="29" t="s">
        <v>20</v>
      </c>
      <c r="G242" s="28">
        <v>1200</v>
      </c>
      <c r="H242" s="28">
        <v>1</v>
      </c>
      <c r="I242" s="30">
        <f>TownTeam1[[#This Row],[Selling price]]*TownTeam1[[#This Row],[Item quantity]]</f>
        <v>1200</v>
      </c>
      <c r="J242" s="30">
        <f>IF(TownTeam1[[#This Row],[Item name]]=" Jeans - Denim",TownTeam1[[#This Row],[Total sales]]*0.85,TownTeam1[[#This Row],[Total sales]])</f>
        <v>1200</v>
      </c>
    </row>
    <row r="243" spans="2:10" x14ac:dyDescent="0.25">
      <c r="B243" s="28">
        <v>239</v>
      </c>
      <c r="C243" s="35">
        <v>43704</v>
      </c>
      <c r="D243" s="29" t="s">
        <v>9</v>
      </c>
      <c r="E243" s="29" t="s">
        <v>15</v>
      </c>
      <c r="F243" s="29" t="s">
        <v>11</v>
      </c>
      <c r="G243" s="28">
        <v>1000</v>
      </c>
      <c r="H243" s="28">
        <v>1</v>
      </c>
      <c r="I243" s="30">
        <f>TownTeam1[[#This Row],[Selling price]]*TownTeam1[[#This Row],[Item quantity]]</f>
        <v>1000</v>
      </c>
      <c r="J243" s="30">
        <f>IF(TownTeam1[[#This Row],[Item name]]=" Jeans - Denim",TownTeam1[[#This Row],[Total sales]]*0.85,TownTeam1[[#This Row],[Total sales]])</f>
        <v>1000</v>
      </c>
    </row>
    <row r="244" spans="2:10" x14ac:dyDescent="0.25">
      <c r="B244" s="28">
        <v>240</v>
      </c>
      <c r="C244" s="35">
        <v>43705</v>
      </c>
      <c r="D244" s="29" t="s">
        <v>9</v>
      </c>
      <c r="E244" s="29" t="s">
        <v>24</v>
      </c>
      <c r="F244" s="29" t="s">
        <v>23</v>
      </c>
      <c r="G244" s="28">
        <v>600</v>
      </c>
      <c r="H244" s="28">
        <v>1</v>
      </c>
      <c r="I244" s="30">
        <f>TownTeam1[[#This Row],[Selling price]]*TownTeam1[[#This Row],[Item quantity]]</f>
        <v>600</v>
      </c>
      <c r="J244" s="30">
        <f>IF(TownTeam1[[#This Row],[Item name]]=" Jeans - Denim",TownTeam1[[#This Row],[Total sales]]*0.85,TownTeam1[[#This Row],[Total sales]])</f>
        <v>600</v>
      </c>
    </row>
    <row r="245" spans="2:10" x14ac:dyDescent="0.25">
      <c r="B245" s="28">
        <v>241</v>
      </c>
      <c r="C245" s="35">
        <v>43706</v>
      </c>
      <c r="D245" s="29" t="s">
        <v>9</v>
      </c>
      <c r="E245" s="29" t="s">
        <v>14</v>
      </c>
      <c r="F245" s="29" t="s">
        <v>11</v>
      </c>
      <c r="G245" s="28">
        <v>900</v>
      </c>
      <c r="H245" s="28">
        <v>1</v>
      </c>
      <c r="I245" s="30">
        <f>TownTeam1[[#This Row],[Selling price]]*TownTeam1[[#This Row],[Item quantity]]</f>
        <v>900</v>
      </c>
      <c r="J245" s="30">
        <f>IF(TownTeam1[[#This Row],[Item name]]=" Jeans - Denim",TownTeam1[[#This Row],[Total sales]]*0.85,TownTeam1[[#This Row],[Total sales]])</f>
        <v>900</v>
      </c>
    </row>
    <row r="246" spans="2:10" x14ac:dyDescent="0.25">
      <c r="B246" s="28">
        <v>242</v>
      </c>
      <c r="C246" s="35">
        <v>43707</v>
      </c>
      <c r="D246" s="29" t="s">
        <v>9</v>
      </c>
      <c r="E246" s="29" t="s">
        <v>18</v>
      </c>
      <c r="F246" s="29" t="s">
        <v>17</v>
      </c>
      <c r="G246" s="28">
        <v>600</v>
      </c>
      <c r="H246" s="28">
        <v>1</v>
      </c>
      <c r="I246" s="30">
        <f>TownTeam1[[#This Row],[Selling price]]*TownTeam1[[#This Row],[Item quantity]]</f>
        <v>600</v>
      </c>
      <c r="J246" s="30">
        <f>IF(TownTeam1[[#This Row],[Item name]]=" Jeans - Denim",TownTeam1[[#This Row],[Total sales]]*0.85,TownTeam1[[#This Row],[Total sales]])</f>
        <v>600</v>
      </c>
    </row>
    <row r="247" spans="2:10" x14ac:dyDescent="0.25">
      <c r="B247" s="28">
        <v>243</v>
      </c>
      <c r="C247" s="35">
        <v>43708</v>
      </c>
      <c r="D247" s="29" t="s">
        <v>9</v>
      </c>
      <c r="E247" s="29" t="s">
        <v>12</v>
      </c>
      <c r="F247" s="29" t="s">
        <v>11</v>
      </c>
      <c r="G247" s="28">
        <v>900</v>
      </c>
      <c r="H247" s="28">
        <v>1</v>
      </c>
      <c r="I247" s="30">
        <f>TownTeam1[[#This Row],[Selling price]]*TownTeam1[[#This Row],[Item quantity]]</f>
        <v>900</v>
      </c>
      <c r="J247" s="30">
        <f>IF(TownTeam1[[#This Row],[Item name]]=" Jeans - Denim",TownTeam1[[#This Row],[Total sales]]*0.85,TownTeam1[[#This Row],[Total sales]])</f>
        <v>765</v>
      </c>
    </row>
    <row r="248" spans="2:10" x14ac:dyDescent="0.25">
      <c r="B248" s="28">
        <v>244</v>
      </c>
      <c r="C248" s="35">
        <v>43709</v>
      </c>
      <c r="D248" s="29" t="s">
        <v>9</v>
      </c>
      <c r="E248" s="29" t="s">
        <v>24</v>
      </c>
      <c r="F248" s="29" t="s">
        <v>23</v>
      </c>
      <c r="G248" s="28">
        <v>600</v>
      </c>
      <c r="H248" s="28">
        <v>1</v>
      </c>
      <c r="I248" s="30">
        <f>TownTeam1[[#This Row],[Selling price]]*TownTeam1[[#This Row],[Item quantity]]</f>
        <v>600</v>
      </c>
      <c r="J248" s="30">
        <f>IF(TownTeam1[[#This Row],[Item name]]=" Jeans - Denim",TownTeam1[[#This Row],[Total sales]]*0.85,TownTeam1[[#This Row],[Total sales]])</f>
        <v>600</v>
      </c>
    </row>
    <row r="249" spans="2:10" x14ac:dyDescent="0.25">
      <c r="B249" s="28">
        <v>245</v>
      </c>
      <c r="C249" s="35">
        <v>43710</v>
      </c>
      <c r="D249" s="29" t="s">
        <v>9</v>
      </c>
      <c r="E249" s="29" t="s">
        <v>19</v>
      </c>
      <c r="F249" s="29" t="s">
        <v>20</v>
      </c>
      <c r="G249" s="28">
        <v>850</v>
      </c>
      <c r="H249" s="28">
        <v>1</v>
      </c>
      <c r="I249" s="30">
        <f>TownTeam1[[#This Row],[Selling price]]*TownTeam1[[#This Row],[Item quantity]]</f>
        <v>850</v>
      </c>
      <c r="J249" s="30">
        <f>IF(TownTeam1[[#This Row],[Item name]]=" Jeans - Denim",TownTeam1[[#This Row],[Total sales]]*0.85,TownTeam1[[#This Row],[Total sales]])</f>
        <v>850</v>
      </c>
    </row>
    <row r="250" spans="2:10" x14ac:dyDescent="0.25">
      <c r="B250" s="28">
        <v>246</v>
      </c>
      <c r="C250" s="35">
        <v>43711</v>
      </c>
      <c r="D250" s="29" t="s">
        <v>9</v>
      </c>
      <c r="E250" s="29" t="s">
        <v>14</v>
      </c>
      <c r="F250" s="29" t="s">
        <v>11</v>
      </c>
      <c r="G250" s="28">
        <v>900</v>
      </c>
      <c r="H250" s="28">
        <v>1</v>
      </c>
      <c r="I250" s="30">
        <f>TownTeam1[[#This Row],[Selling price]]*TownTeam1[[#This Row],[Item quantity]]</f>
        <v>900</v>
      </c>
      <c r="J250" s="30">
        <f>IF(TownTeam1[[#This Row],[Item name]]=" Jeans - Denim",TownTeam1[[#This Row],[Total sales]]*0.85,TownTeam1[[#This Row],[Total sales]])</f>
        <v>900</v>
      </c>
    </row>
    <row r="251" spans="2:10" x14ac:dyDescent="0.25">
      <c r="B251" s="28">
        <v>247</v>
      </c>
      <c r="C251" s="35">
        <v>43712</v>
      </c>
      <c r="D251" s="29" t="s">
        <v>9</v>
      </c>
      <c r="E251" s="29" t="s">
        <v>10</v>
      </c>
      <c r="F251" s="29" t="s">
        <v>11</v>
      </c>
      <c r="G251" s="28">
        <v>1100</v>
      </c>
      <c r="H251" s="28">
        <v>1</v>
      </c>
      <c r="I251" s="30">
        <f>TownTeam1[[#This Row],[Selling price]]*TownTeam1[[#This Row],[Item quantity]]</f>
        <v>1100</v>
      </c>
      <c r="J251" s="30">
        <f>IF(TownTeam1[[#This Row],[Item name]]=" Jeans - Denim",TownTeam1[[#This Row],[Total sales]]*0.85,TownTeam1[[#This Row],[Total sales]])</f>
        <v>1100</v>
      </c>
    </row>
    <row r="252" spans="2:10" x14ac:dyDescent="0.25">
      <c r="B252" s="28">
        <v>248</v>
      </c>
      <c r="C252" s="35">
        <v>43713</v>
      </c>
      <c r="D252" s="29" t="s">
        <v>9</v>
      </c>
      <c r="E252" s="29" t="s">
        <v>14</v>
      </c>
      <c r="F252" s="29" t="s">
        <v>11</v>
      </c>
      <c r="G252" s="28">
        <v>900</v>
      </c>
      <c r="H252" s="28">
        <v>1</v>
      </c>
      <c r="I252" s="30">
        <f>TownTeam1[[#This Row],[Selling price]]*TownTeam1[[#This Row],[Item quantity]]</f>
        <v>900</v>
      </c>
      <c r="J252" s="30">
        <f>IF(TownTeam1[[#This Row],[Item name]]=" Jeans - Denim",TownTeam1[[#This Row],[Total sales]]*0.85,TownTeam1[[#This Row],[Total sales]])</f>
        <v>900</v>
      </c>
    </row>
    <row r="253" spans="2:10" x14ac:dyDescent="0.25">
      <c r="B253" s="28">
        <v>249</v>
      </c>
      <c r="C253" s="35">
        <v>43714</v>
      </c>
      <c r="D253" s="29" t="s">
        <v>9</v>
      </c>
      <c r="E253" s="29" t="s">
        <v>15</v>
      </c>
      <c r="F253" s="29" t="s">
        <v>11</v>
      </c>
      <c r="G253" s="28">
        <v>1000</v>
      </c>
      <c r="H253" s="28">
        <v>1</v>
      </c>
      <c r="I253" s="30">
        <f>TownTeam1[[#This Row],[Selling price]]*TownTeam1[[#This Row],[Item quantity]]</f>
        <v>1000</v>
      </c>
      <c r="J253" s="30">
        <f>IF(TownTeam1[[#This Row],[Item name]]=" Jeans - Denim",TownTeam1[[#This Row],[Total sales]]*0.85,TownTeam1[[#This Row],[Total sales]])</f>
        <v>1000</v>
      </c>
    </row>
    <row r="254" spans="2:10" x14ac:dyDescent="0.25">
      <c r="B254" s="28">
        <v>250</v>
      </c>
      <c r="C254" s="35">
        <v>43715</v>
      </c>
      <c r="D254" s="29" t="s">
        <v>9</v>
      </c>
      <c r="E254" s="29" t="s">
        <v>10</v>
      </c>
      <c r="F254" s="29" t="s">
        <v>11</v>
      </c>
      <c r="G254" s="28">
        <v>1100</v>
      </c>
      <c r="H254" s="28">
        <v>1</v>
      </c>
      <c r="I254" s="30">
        <f>TownTeam1[[#This Row],[Selling price]]*TownTeam1[[#This Row],[Item quantity]]</f>
        <v>1100</v>
      </c>
      <c r="J254" s="30">
        <f>IF(TownTeam1[[#This Row],[Item name]]=" Jeans - Denim",TownTeam1[[#This Row],[Total sales]]*0.85,TownTeam1[[#This Row],[Total sales]])</f>
        <v>1100</v>
      </c>
    </row>
    <row r="255" spans="2:10" x14ac:dyDescent="0.25">
      <c r="B255" s="28">
        <v>251</v>
      </c>
      <c r="C255" s="35">
        <v>43716</v>
      </c>
      <c r="D255" s="29" t="s">
        <v>9</v>
      </c>
      <c r="E255" s="29" t="s">
        <v>15</v>
      </c>
      <c r="F255" s="29" t="s">
        <v>11</v>
      </c>
      <c r="G255" s="28">
        <v>1000</v>
      </c>
      <c r="H255" s="28">
        <v>1</v>
      </c>
      <c r="I255" s="30">
        <f>TownTeam1[[#This Row],[Selling price]]*TownTeam1[[#This Row],[Item quantity]]</f>
        <v>1000</v>
      </c>
      <c r="J255" s="30">
        <f>IF(TownTeam1[[#This Row],[Item name]]=" Jeans - Denim",TownTeam1[[#This Row],[Total sales]]*0.85,TownTeam1[[#This Row],[Total sales]])</f>
        <v>1000</v>
      </c>
    </row>
    <row r="256" spans="2:10" x14ac:dyDescent="0.25">
      <c r="B256" s="28">
        <v>252</v>
      </c>
      <c r="C256" s="35">
        <v>43717</v>
      </c>
      <c r="D256" s="29" t="s">
        <v>9</v>
      </c>
      <c r="E256" s="29" t="s">
        <v>10</v>
      </c>
      <c r="F256" s="29" t="s">
        <v>11</v>
      </c>
      <c r="G256" s="28">
        <v>1100</v>
      </c>
      <c r="H256" s="28">
        <v>1</v>
      </c>
      <c r="I256" s="30">
        <f>TownTeam1[[#This Row],[Selling price]]*TownTeam1[[#This Row],[Item quantity]]</f>
        <v>1100</v>
      </c>
      <c r="J256" s="30">
        <f>IF(TownTeam1[[#This Row],[Item name]]=" Jeans - Denim",TownTeam1[[#This Row],[Total sales]]*0.85,TownTeam1[[#This Row],[Total sales]])</f>
        <v>1100</v>
      </c>
    </row>
    <row r="257" spans="2:10" x14ac:dyDescent="0.25">
      <c r="B257" s="28">
        <v>253</v>
      </c>
      <c r="C257" s="35">
        <v>43718</v>
      </c>
      <c r="D257" s="29" t="s">
        <v>9</v>
      </c>
      <c r="E257" s="29" t="s">
        <v>14</v>
      </c>
      <c r="F257" s="29" t="s">
        <v>11</v>
      </c>
      <c r="G257" s="28">
        <v>900</v>
      </c>
      <c r="H257" s="28">
        <v>1</v>
      </c>
      <c r="I257" s="30">
        <f>TownTeam1[[#This Row],[Selling price]]*TownTeam1[[#This Row],[Item quantity]]</f>
        <v>900</v>
      </c>
      <c r="J257" s="30">
        <f>IF(TownTeam1[[#This Row],[Item name]]=" Jeans - Denim",TownTeam1[[#This Row],[Total sales]]*0.85,TownTeam1[[#This Row],[Total sales]])</f>
        <v>900</v>
      </c>
    </row>
    <row r="258" spans="2:10" x14ac:dyDescent="0.25">
      <c r="B258" s="28">
        <v>254</v>
      </c>
      <c r="C258" s="35">
        <v>43719</v>
      </c>
      <c r="D258" s="29" t="s">
        <v>9</v>
      </c>
      <c r="E258" s="29" t="s">
        <v>12</v>
      </c>
      <c r="F258" s="29" t="s">
        <v>11</v>
      </c>
      <c r="G258" s="28">
        <v>900</v>
      </c>
      <c r="H258" s="28">
        <v>1</v>
      </c>
      <c r="I258" s="30">
        <f>TownTeam1[[#This Row],[Selling price]]*TownTeam1[[#This Row],[Item quantity]]</f>
        <v>900</v>
      </c>
      <c r="J258" s="30">
        <f>IF(TownTeam1[[#This Row],[Item name]]=" Jeans - Denim",TownTeam1[[#This Row],[Total sales]]*0.85,TownTeam1[[#This Row],[Total sales]])</f>
        <v>765</v>
      </c>
    </row>
    <row r="259" spans="2:10" x14ac:dyDescent="0.25">
      <c r="B259" s="28">
        <v>255</v>
      </c>
      <c r="C259" s="35">
        <v>43720</v>
      </c>
      <c r="D259" s="29" t="s">
        <v>9</v>
      </c>
      <c r="E259" s="29" t="s">
        <v>10</v>
      </c>
      <c r="F259" s="29" t="s">
        <v>11</v>
      </c>
      <c r="G259" s="28">
        <v>1100</v>
      </c>
      <c r="H259" s="28">
        <v>1</v>
      </c>
      <c r="I259" s="30">
        <f>TownTeam1[[#This Row],[Selling price]]*TownTeam1[[#This Row],[Item quantity]]</f>
        <v>1100</v>
      </c>
      <c r="J259" s="30">
        <f>IF(TownTeam1[[#This Row],[Item name]]=" Jeans - Denim",TownTeam1[[#This Row],[Total sales]]*0.85,TownTeam1[[#This Row],[Total sales]])</f>
        <v>1100</v>
      </c>
    </row>
    <row r="260" spans="2:10" x14ac:dyDescent="0.25">
      <c r="B260" s="28">
        <v>256</v>
      </c>
      <c r="C260" s="35">
        <v>43721</v>
      </c>
      <c r="D260" s="29" t="s">
        <v>9</v>
      </c>
      <c r="E260" s="29" t="s">
        <v>10</v>
      </c>
      <c r="F260" s="29" t="s">
        <v>11</v>
      </c>
      <c r="G260" s="28">
        <v>1100</v>
      </c>
      <c r="H260" s="28">
        <v>1</v>
      </c>
      <c r="I260" s="30">
        <f>TownTeam1[[#This Row],[Selling price]]*TownTeam1[[#This Row],[Item quantity]]</f>
        <v>1100</v>
      </c>
      <c r="J260" s="30">
        <f>IF(TownTeam1[[#This Row],[Item name]]=" Jeans - Denim",TownTeam1[[#This Row],[Total sales]]*0.85,TownTeam1[[#This Row],[Total sales]])</f>
        <v>1100</v>
      </c>
    </row>
    <row r="261" spans="2:10" x14ac:dyDescent="0.25">
      <c r="B261" s="28">
        <v>257</v>
      </c>
      <c r="C261" s="35">
        <v>43722</v>
      </c>
      <c r="D261" s="29" t="s">
        <v>9</v>
      </c>
      <c r="E261" s="29" t="s">
        <v>15</v>
      </c>
      <c r="F261" s="29" t="s">
        <v>11</v>
      </c>
      <c r="G261" s="28">
        <v>1000</v>
      </c>
      <c r="H261" s="28">
        <v>1</v>
      </c>
      <c r="I261" s="30">
        <f>TownTeam1[[#This Row],[Selling price]]*TownTeam1[[#This Row],[Item quantity]]</f>
        <v>1000</v>
      </c>
      <c r="J261" s="30">
        <f>IF(TownTeam1[[#This Row],[Item name]]=" Jeans - Denim",TownTeam1[[#This Row],[Total sales]]*0.85,TownTeam1[[#This Row],[Total sales]])</f>
        <v>1000</v>
      </c>
    </row>
    <row r="262" spans="2:10" x14ac:dyDescent="0.25">
      <c r="B262" s="28">
        <v>258</v>
      </c>
      <c r="C262" s="35">
        <v>43723</v>
      </c>
      <c r="D262" s="29" t="s">
        <v>9</v>
      </c>
      <c r="E262" s="29" t="s">
        <v>12</v>
      </c>
      <c r="F262" s="29" t="s">
        <v>11</v>
      </c>
      <c r="G262" s="28">
        <v>900</v>
      </c>
      <c r="H262" s="28">
        <v>1</v>
      </c>
      <c r="I262" s="30">
        <f>TownTeam1[[#This Row],[Selling price]]*TownTeam1[[#This Row],[Item quantity]]</f>
        <v>900</v>
      </c>
      <c r="J262" s="30">
        <f>IF(TownTeam1[[#This Row],[Item name]]=" Jeans - Denim",TownTeam1[[#This Row],[Total sales]]*0.85,TownTeam1[[#This Row],[Total sales]])</f>
        <v>765</v>
      </c>
    </row>
    <row r="263" spans="2:10" x14ac:dyDescent="0.25">
      <c r="B263" s="28">
        <v>259</v>
      </c>
      <c r="C263" s="35">
        <v>43724</v>
      </c>
      <c r="D263" s="29" t="s">
        <v>9</v>
      </c>
      <c r="E263" s="29" t="s">
        <v>18</v>
      </c>
      <c r="F263" s="29" t="s">
        <v>17</v>
      </c>
      <c r="G263" s="28">
        <v>600</v>
      </c>
      <c r="H263" s="28">
        <v>1</v>
      </c>
      <c r="I263" s="30">
        <f>TownTeam1[[#This Row],[Selling price]]*TownTeam1[[#This Row],[Item quantity]]</f>
        <v>600</v>
      </c>
      <c r="J263" s="30">
        <f>IF(TownTeam1[[#This Row],[Item name]]=" Jeans - Denim",TownTeam1[[#This Row],[Total sales]]*0.85,TownTeam1[[#This Row],[Total sales]])</f>
        <v>600</v>
      </c>
    </row>
    <row r="264" spans="2:10" x14ac:dyDescent="0.25">
      <c r="B264" s="28">
        <v>260</v>
      </c>
      <c r="C264" s="35">
        <v>43725</v>
      </c>
      <c r="D264" s="29" t="s">
        <v>9</v>
      </c>
      <c r="E264" s="29" t="s">
        <v>12</v>
      </c>
      <c r="F264" s="29" t="s">
        <v>11</v>
      </c>
      <c r="G264" s="28">
        <v>900</v>
      </c>
      <c r="H264" s="28">
        <v>1</v>
      </c>
      <c r="I264" s="30">
        <f>TownTeam1[[#This Row],[Selling price]]*TownTeam1[[#This Row],[Item quantity]]</f>
        <v>900</v>
      </c>
      <c r="J264" s="30">
        <f>IF(TownTeam1[[#This Row],[Item name]]=" Jeans - Denim",TownTeam1[[#This Row],[Total sales]]*0.85,TownTeam1[[#This Row],[Total sales]])</f>
        <v>765</v>
      </c>
    </row>
    <row r="265" spans="2:10" x14ac:dyDescent="0.25">
      <c r="B265" s="28">
        <v>261</v>
      </c>
      <c r="C265" s="35">
        <v>43726</v>
      </c>
      <c r="D265" s="29" t="s">
        <v>9</v>
      </c>
      <c r="E265" s="29" t="s">
        <v>18</v>
      </c>
      <c r="F265" s="29" t="s">
        <v>17</v>
      </c>
      <c r="G265" s="28">
        <v>600</v>
      </c>
      <c r="H265" s="28">
        <v>1</v>
      </c>
      <c r="I265" s="30">
        <f>TownTeam1[[#This Row],[Selling price]]*TownTeam1[[#This Row],[Item quantity]]</f>
        <v>600</v>
      </c>
      <c r="J265" s="30">
        <f>IF(TownTeam1[[#This Row],[Item name]]=" Jeans - Denim",TownTeam1[[#This Row],[Total sales]]*0.85,TownTeam1[[#This Row],[Total sales]])</f>
        <v>600</v>
      </c>
    </row>
    <row r="266" spans="2:10" x14ac:dyDescent="0.25">
      <c r="B266" s="28">
        <v>262</v>
      </c>
      <c r="C266" s="35">
        <v>43727</v>
      </c>
      <c r="D266" s="29" t="s">
        <v>9</v>
      </c>
      <c r="E266" s="29" t="s">
        <v>14</v>
      </c>
      <c r="F266" s="29" t="s">
        <v>11</v>
      </c>
      <c r="G266" s="28">
        <v>900</v>
      </c>
      <c r="H266" s="28">
        <v>1</v>
      </c>
      <c r="I266" s="30">
        <f>TownTeam1[[#This Row],[Selling price]]*TownTeam1[[#This Row],[Item quantity]]</f>
        <v>900</v>
      </c>
      <c r="J266" s="30">
        <f>IF(TownTeam1[[#This Row],[Item name]]=" Jeans - Denim",TownTeam1[[#This Row],[Total sales]]*0.85,TownTeam1[[#This Row],[Total sales]])</f>
        <v>900</v>
      </c>
    </row>
    <row r="267" spans="2:10" x14ac:dyDescent="0.25">
      <c r="B267" s="28">
        <v>263</v>
      </c>
      <c r="C267" s="35">
        <v>43728</v>
      </c>
      <c r="D267" s="29" t="s">
        <v>9</v>
      </c>
      <c r="E267" s="29" t="s">
        <v>10</v>
      </c>
      <c r="F267" s="29" t="s">
        <v>11</v>
      </c>
      <c r="G267" s="28">
        <v>1100</v>
      </c>
      <c r="H267" s="28">
        <v>2</v>
      </c>
      <c r="I267" s="30">
        <f>TownTeam1[[#This Row],[Selling price]]*TownTeam1[[#This Row],[Item quantity]]</f>
        <v>2200</v>
      </c>
      <c r="J267" s="30">
        <f>IF(TownTeam1[[#This Row],[Item name]]=" Jeans - Denim",TownTeam1[[#This Row],[Total sales]]*0.85,TownTeam1[[#This Row],[Total sales]])</f>
        <v>2200</v>
      </c>
    </row>
    <row r="268" spans="2:10" x14ac:dyDescent="0.25">
      <c r="B268" s="28">
        <v>264</v>
      </c>
      <c r="C268" s="35">
        <v>43729</v>
      </c>
      <c r="D268" s="29" t="s">
        <v>9</v>
      </c>
      <c r="E268" s="29" t="s">
        <v>18</v>
      </c>
      <c r="F268" s="29" t="s">
        <v>17</v>
      </c>
      <c r="G268" s="28">
        <v>600</v>
      </c>
      <c r="H268" s="28">
        <v>1</v>
      </c>
      <c r="I268" s="30">
        <f>TownTeam1[[#This Row],[Selling price]]*TownTeam1[[#This Row],[Item quantity]]</f>
        <v>600</v>
      </c>
      <c r="J268" s="30">
        <f>IF(TownTeam1[[#This Row],[Item name]]=" Jeans - Denim",TownTeam1[[#This Row],[Total sales]]*0.85,TownTeam1[[#This Row],[Total sales]])</f>
        <v>600</v>
      </c>
    </row>
    <row r="269" spans="2:10" x14ac:dyDescent="0.25">
      <c r="B269" s="28">
        <v>265</v>
      </c>
      <c r="C269" s="35">
        <v>43730</v>
      </c>
      <c r="D269" s="29" t="s">
        <v>9</v>
      </c>
      <c r="E269" s="29" t="s">
        <v>18</v>
      </c>
      <c r="F269" s="29" t="s">
        <v>17</v>
      </c>
      <c r="G269" s="28">
        <v>600</v>
      </c>
      <c r="H269" s="28">
        <v>1</v>
      </c>
      <c r="I269" s="30">
        <f>TownTeam1[[#This Row],[Selling price]]*TownTeam1[[#This Row],[Item quantity]]</f>
        <v>600</v>
      </c>
      <c r="J269" s="30">
        <f>IF(TownTeam1[[#This Row],[Item name]]=" Jeans - Denim",TownTeam1[[#This Row],[Total sales]]*0.85,TownTeam1[[#This Row],[Total sales]])</f>
        <v>600</v>
      </c>
    </row>
    <row r="270" spans="2:10" x14ac:dyDescent="0.25">
      <c r="B270" s="28">
        <v>266</v>
      </c>
      <c r="C270" s="35">
        <v>43731</v>
      </c>
      <c r="D270" s="29" t="s">
        <v>9</v>
      </c>
      <c r="E270" s="29" t="s">
        <v>14</v>
      </c>
      <c r="F270" s="29" t="s">
        <v>11</v>
      </c>
      <c r="G270" s="28">
        <v>900</v>
      </c>
      <c r="H270" s="28">
        <v>1</v>
      </c>
      <c r="I270" s="30">
        <f>TownTeam1[[#This Row],[Selling price]]*TownTeam1[[#This Row],[Item quantity]]</f>
        <v>900</v>
      </c>
      <c r="J270" s="30">
        <f>IF(TownTeam1[[#This Row],[Item name]]=" Jeans - Denim",TownTeam1[[#This Row],[Total sales]]*0.85,TownTeam1[[#This Row],[Total sales]])</f>
        <v>900</v>
      </c>
    </row>
    <row r="271" spans="2:10" x14ac:dyDescent="0.25">
      <c r="B271" s="28">
        <v>267</v>
      </c>
      <c r="C271" s="35">
        <v>43732</v>
      </c>
      <c r="D271" s="29" t="s">
        <v>9</v>
      </c>
      <c r="E271" s="29" t="s">
        <v>10</v>
      </c>
      <c r="F271" s="29" t="s">
        <v>11</v>
      </c>
      <c r="G271" s="28">
        <v>1100</v>
      </c>
      <c r="H271" s="28">
        <v>1</v>
      </c>
      <c r="I271" s="30">
        <f>TownTeam1[[#This Row],[Selling price]]*TownTeam1[[#This Row],[Item quantity]]</f>
        <v>1100</v>
      </c>
      <c r="J271" s="30">
        <f>IF(TownTeam1[[#This Row],[Item name]]=" Jeans - Denim",TownTeam1[[#This Row],[Total sales]]*0.85,TownTeam1[[#This Row],[Total sales]])</f>
        <v>1100</v>
      </c>
    </row>
    <row r="272" spans="2:10" x14ac:dyDescent="0.25">
      <c r="B272" s="28">
        <v>268</v>
      </c>
      <c r="C272" s="35">
        <v>43733</v>
      </c>
      <c r="D272" s="29" t="s">
        <v>9</v>
      </c>
      <c r="E272" s="29" t="s">
        <v>18</v>
      </c>
      <c r="F272" s="29" t="s">
        <v>17</v>
      </c>
      <c r="G272" s="28">
        <v>600</v>
      </c>
      <c r="H272" s="28">
        <v>1</v>
      </c>
      <c r="I272" s="30">
        <f>TownTeam1[[#This Row],[Selling price]]*TownTeam1[[#This Row],[Item quantity]]</f>
        <v>600</v>
      </c>
      <c r="J272" s="30">
        <f>IF(TownTeam1[[#This Row],[Item name]]=" Jeans - Denim",TownTeam1[[#This Row],[Total sales]]*0.85,TownTeam1[[#This Row],[Total sales]])</f>
        <v>600</v>
      </c>
    </row>
    <row r="273" spans="2:10" x14ac:dyDescent="0.25">
      <c r="B273" s="28">
        <v>269</v>
      </c>
      <c r="C273" s="35">
        <v>43734</v>
      </c>
      <c r="D273" s="29" t="s">
        <v>9</v>
      </c>
      <c r="E273" s="29" t="s">
        <v>24</v>
      </c>
      <c r="F273" s="29" t="s">
        <v>23</v>
      </c>
      <c r="G273" s="28">
        <v>600</v>
      </c>
      <c r="H273" s="28">
        <v>1</v>
      </c>
      <c r="I273" s="30">
        <f>TownTeam1[[#This Row],[Selling price]]*TownTeam1[[#This Row],[Item quantity]]</f>
        <v>600</v>
      </c>
      <c r="J273" s="30">
        <f>IF(TownTeam1[[#This Row],[Item name]]=" Jeans - Denim",TownTeam1[[#This Row],[Total sales]]*0.85,TownTeam1[[#This Row],[Total sales]])</f>
        <v>600</v>
      </c>
    </row>
    <row r="274" spans="2:10" x14ac:dyDescent="0.25">
      <c r="B274" s="28">
        <v>270</v>
      </c>
      <c r="C274" s="35">
        <v>43735</v>
      </c>
      <c r="D274" s="29" t="s">
        <v>9</v>
      </c>
      <c r="E274" s="29" t="s">
        <v>18</v>
      </c>
      <c r="F274" s="29" t="s">
        <v>17</v>
      </c>
      <c r="G274" s="28">
        <v>600</v>
      </c>
      <c r="H274" s="28">
        <v>1</v>
      </c>
      <c r="I274" s="30">
        <f>TownTeam1[[#This Row],[Selling price]]*TownTeam1[[#This Row],[Item quantity]]</f>
        <v>600</v>
      </c>
      <c r="J274" s="30">
        <f>IF(TownTeam1[[#This Row],[Item name]]=" Jeans - Denim",TownTeam1[[#This Row],[Total sales]]*0.85,TownTeam1[[#This Row],[Total sales]])</f>
        <v>600</v>
      </c>
    </row>
    <row r="275" spans="2:10" x14ac:dyDescent="0.25">
      <c r="B275" s="28">
        <v>271</v>
      </c>
      <c r="C275" s="35">
        <v>43736</v>
      </c>
      <c r="D275" s="29" t="s">
        <v>9</v>
      </c>
      <c r="E275" s="29" t="s">
        <v>24</v>
      </c>
      <c r="F275" s="29" t="s">
        <v>23</v>
      </c>
      <c r="G275" s="28">
        <v>600</v>
      </c>
      <c r="H275" s="28">
        <v>1</v>
      </c>
      <c r="I275" s="30">
        <f>TownTeam1[[#This Row],[Selling price]]*TownTeam1[[#This Row],[Item quantity]]</f>
        <v>600</v>
      </c>
      <c r="J275" s="30">
        <f>IF(TownTeam1[[#This Row],[Item name]]=" Jeans - Denim",TownTeam1[[#This Row],[Total sales]]*0.85,TownTeam1[[#This Row],[Total sales]])</f>
        <v>600</v>
      </c>
    </row>
    <row r="276" spans="2:10" x14ac:dyDescent="0.25">
      <c r="B276" s="28">
        <v>272</v>
      </c>
      <c r="C276" s="35">
        <v>43737</v>
      </c>
      <c r="D276" s="29" t="s">
        <v>9</v>
      </c>
      <c r="E276" s="29" t="s">
        <v>24</v>
      </c>
      <c r="F276" s="29" t="s">
        <v>23</v>
      </c>
      <c r="G276" s="28">
        <v>600</v>
      </c>
      <c r="H276" s="28">
        <v>2</v>
      </c>
      <c r="I276" s="30">
        <f>TownTeam1[[#This Row],[Selling price]]*TownTeam1[[#This Row],[Item quantity]]</f>
        <v>1200</v>
      </c>
      <c r="J276" s="30">
        <f>IF(TownTeam1[[#This Row],[Item name]]=" Jeans - Denim",TownTeam1[[#This Row],[Total sales]]*0.85,TownTeam1[[#This Row],[Total sales]])</f>
        <v>1200</v>
      </c>
    </row>
    <row r="277" spans="2:10" x14ac:dyDescent="0.25">
      <c r="B277" s="28">
        <v>273</v>
      </c>
      <c r="C277" s="35">
        <v>43738</v>
      </c>
      <c r="D277" s="29" t="s">
        <v>9</v>
      </c>
      <c r="E277" s="29" t="s">
        <v>18</v>
      </c>
      <c r="F277" s="29" t="s">
        <v>17</v>
      </c>
      <c r="G277" s="28">
        <v>600</v>
      </c>
      <c r="H277" s="28">
        <v>1</v>
      </c>
      <c r="I277" s="30">
        <f>TownTeam1[[#This Row],[Selling price]]*TownTeam1[[#This Row],[Item quantity]]</f>
        <v>600</v>
      </c>
      <c r="J277" s="30">
        <f>IF(TownTeam1[[#This Row],[Item name]]=" Jeans - Denim",TownTeam1[[#This Row],[Total sales]]*0.85,TownTeam1[[#This Row],[Total sales]])</f>
        <v>600</v>
      </c>
    </row>
    <row r="278" spans="2:10" x14ac:dyDescent="0.25">
      <c r="B278" s="28">
        <v>274</v>
      </c>
      <c r="C278" s="35">
        <v>43739</v>
      </c>
      <c r="D278" s="29" t="s">
        <v>9</v>
      </c>
      <c r="E278" s="29" t="s">
        <v>10</v>
      </c>
      <c r="F278" s="29" t="s">
        <v>11</v>
      </c>
      <c r="G278" s="28">
        <v>1100</v>
      </c>
      <c r="H278" s="28">
        <v>3</v>
      </c>
      <c r="I278" s="30">
        <f>TownTeam1[[#This Row],[Selling price]]*TownTeam1[[#This Row],[Item quantity]]</f>
        <v>3300</v>
      </c>
      <c r="J278" s="30">
        <f>IF(TownTeam1[[#This Row],[Item name]]=" Jeans - Denim",TownTeam1[[#This Row],[Total sales]]*0.85,TownTeam1[[#This Row],[Total sales]])</f>
        <v>3300</v>
      </c>
    </row>
    <row r="279" spans="2:10" x14ac:dyDescent="0.25">
      <c r="B279" s="28">
        <v>275</v>
      </c>
      <c r="C279" s="35">
        <v>43740</v>
      </c>
      <c r="D279" s="29" t="s">
        <v>9</v>
      </c>
      <c r="E279" s="29" t="s">
        <v>10</v>
      </c>
      <c r="F279" s="29" t="s">
        <v>11</v>
      </c>
      <c r="G279" s="28">
        <v>1100</v>
      </c>
      <c r="H279" s="28">
        <v>1</v>
      </c>
      <c r="I279" s="30">
        <f>TownTeam1[[#This Row],[Selling price]]*TownTeam1[[#This Row],[Item quantity]]</f>
        <v>1100</v>
      </c>
      <c r="J279" s="30">
        <f>IF(TownTeam1[[#This Row],[Item name]]=" Jeans - Denim",TownTeam1[[#This Row],[Total sales]]*0.85,TownTeam1[[#This Row],[Total sales]])</f>
        <v>1100</v>
      </c>
    </row>
    <row r="280" spans="2:10" x14ac:dyDescent="0.25">
      <c r="B280" s="28">
        <v>276</v>
      </c>
      <c r="C280" s="35">
        <v>43741</v>
      </c>
      <c r="D280" s="29" t="s">
        <v>9</v>
      </c>
      <c r="E280" s="29" t="s">
        <v>19</v>
      </c>
      <c r="F280" s="29" t="s">
        <v>20</v>
      </c>
      <c r="G280" s="28">
        <v>850</v>
      </c>
      <c r="H280" s="28">
        <v>1</v>
      </c>
      <c r="I280" s="30">
        <f>TownTeam1[[#This Row],[Selling price]]*TownTeam1[[#This Row],[Item quantity]]</f>
        <v>850</v>
      </c>
      <c r="J280" s="30">
        <f>IF(TownTeam1[[#This Row],[Item name]]=" Jeans - Denim",TownTeam1[[#This Row],[Total sales]]*0.85,TownTeam1[[#This Row],[Total sales]])</f>
        <v>850</v>
      </c>
    </row>
    <row r="281" spans="2:10" x14ac:dyDescent="0.25">
      <c r="B281" s="28">
        <v>277</v>
      </c>
      <c r="C281" s="35">
        <v>43742</v>
      </c>
      <c r="D281" s="29" t="s">
        <v>9</v>
      </c>
      <c r="E281" s="29" t="s">
        <v>21</v>
      </c>
      <c r="F281" s="29" t="s">
        <v>20</v>
      </c>
      <c r="G281" s="28">
        <v>1200</v>
      </c>
      <c r="H281" s="28">
        <v>1</v>
      </c>
      <c r="I281" s="30">
        <f>TownTeam1[[#This Row],[Selling price]]*TownTeam1[[#This Row],[Item quantity]]</f>
        <v>1200</v>
      </c>
      <c r="J281" s="30">
        <f>IF(TownTeam1[[#This Row],[Item name]]=" Jeans - Denim",TownTeam1[[#This Row],[Total sales]]*0.85,TownTeam1[[#This Row],[Total sales]])</f>
        <v>1200</v>
      </c>
    </row>
    <row r="282" spans="2:10" x14ac:dyDescent="0.25">
      <c r="B282" s="28">
        <v>278</v>
      </c>
      <c r="C282" s="35">
        <v>43743</v>
      </c>
      <c r="D282" s="29" t="s">
        <v>9</v>
      </c>
      <c r="E282" s="29" t="s">
        <v>16</v>
      </c>
      <c r="F282" s="29" t="s">
        <v>17</v>
      </c>
      <c r="G282" s="28">
        <v>800</v>
      </c>
      <c r="H282" s="28">
        <v>1</v>
      </c>
      <c r="I282" s="30">
        <f>TownTeam1[[#This Row],[Selling price]]*TownTeam1[[#This Row],[Item quantity]]</f>
        <v>800</v>
      </c>
      <c r="J282" s="30">
        <f>IF(TownTeam1[[#This Row],[Item name]]=" Jeans - Denim",TownTeam1[[#This Row],[Total sales]]*0.85,TownTeam1[[#This Row],[Total sales]])</f>
        <v>800</v>
      </c>
    </row>
    <row r="283" spans="2:10" x14ac:dyDescent="0.25">
      <c r="B283" s="28">
        <v>279</v>
      </c>
      <c r="C283" s="35">
        <v>43744</v>
      </c>
      <c r="D283" s="29" t="s">
        <v>9</v>
      </c>
      <c r="E283" s="29" t="s">
        <v>14</v>
      </c>
      <c r="F283" s="29" t="s">
        <v>11</v>
      </c>
      <c r="G283" s="28">
        <v>900</v>
      </c>
      <c r="H283" s="28">
        <v>1</v>
      </c>
      <c r="I283" s="30">
        <f>TownTeam1[[#This Row],[Selling price]]*TownTeam1[[#This Row],[Item quantity]]</f>
        <v>900</v>
      </c>
      <c r="J283" s="30">
        <f>IF(TownTeam1[[#This Row],[Item name]]=" Jeans - Denim",TownTeam1[[#This Row],[Total sales]]*0.85,TownTeam1[[#This Row],[Total sales]])</f>
        <v>900</v>
      </c>
    </row>
    <row r="284" spans="2:10" x14ac:dyDescent="0.25">
      <c r="B284" s="28">
        <v>280</v>
      </c>
      <c r="C284" s="35">
        <v>43745</v>
      </c>
      <c r="D284" s="29" t="s">
        <v>9</v>
      </c>
      <c r="E284" s="29" t="s">
        <v>10</v>
      </c>
      <c r="F284" s="29" t="s">
        <v>11</v>
      </c>
      <c r="G284" s="28">
        <v>1100</v>
      </c>
      <c r="H284" s="28">
        <v>1</v>
      </c>
      <c r="I284" s="30">
        <f>TownTeam1[[#This Row],[Selling price]]*TownTeam1[[#This Row],[Item quantity]]</f>
        <v>1100</v>
      </c>
      <c r="J284" s="30">
        <f>IF(TownTeam1[[#This Row],[Item name]]=" Jeans - Denim",TownTeam1[[#This Row],[Total sales]]*0.85,TownTeam1[[#This Row],[Total sales]])</f>
        <v>1100</v>
      </c>
    </row>
    <row r="285" spans="2:10" x14ac:dyDescent="0.25">
      <c r="B285" s="28">
        <v>281</v>
      </c>
      <c r="C285" s="35">
        <v>43746</v>
      </c>
      <c r="D285" s="29" t="s">
        <v>9</v>
      </c>
      <c r="E285" s="29" t="s">
        <v>12</v>
      </c>
      <c r="F285" s="29" t="s">
        <v>11</v>
      </c>
      <c r="G285" s="28">
        <v>900</v>
      </c>
      <c r="H285" s="28">
        <v>1</v>
      </c>
      <c r="I285" s="30">
        <f>TownTeam1[[#This Row],[Selling price]]*TownTeam1[[#This Row],[Item quantity]]</f>
        <v>900</v>
      </c>
      <c r="J285" s="30">
        <f>IF(TownTeam1[[#This Row],[Item name]]=" Jeans - Denim",TownTeam1[[#This Row],[Total sales]]*0.85,TownTeam1[[#This Row],[Total sales]])</f>
        <v>765</v>
      </c>
    </row>
    <row r="286" spans="2:10" x14ac:dyDescent="0.25">
      <c r="B286" s="28">
        <v>282</v>
      </c>
      <c r="C286" s="35">
        <v>43747</v>
      </c>
      <c r="D286" s="29" t="s">
        <v>9</v>
      </c>
      <c r="E286" s="29" t="s">
        <v>10</v>
      </c>
      <c r="F286" s="29" t="s">
        <v>11</v>
      </c>
      <c r="G286" s="28">
        <v>1100</v>
      </c>
      <c r="H286" s="28">
        <v>1</v>
      </c>
      <c r="I286" s="30">
        <f>TownTeam1[[#This Row],[Selling price]]*TownTeam1[[#This Row],[Item quantity]]</f>
        <v>1100</v>
      </c>
      <c r="J286" s="30">
        <f>IF(TownTeam1[[#This Row],[Item name]]=" Jeans - Denim",TownTeam1[[#This Row],[Total sales]]*0.85,TownTeam1[[#This Row],[Total sales]])</f>
        <v>1100</v>
      </c>
    </row>
    <row r="287" spans="2:10" x14ac:dyDescent="0.25">
      <c r="B287" s="28">
        <v>283</v>
      </c>
      <c r="C287" s="35">
        <v>43748</v>
      </c>
      <c r="D287" s="29" t="s">
        <v>9</v>
      </c>
      <c r="E287" s="29" t="s">
        <v>22</v>
      </c>
      <c r="F287" s="29" t="s">
        <v>23</v>
      </c>
      <c r="G287" s="28">
        <v>900</v>
      </c>
      <c r="H287" s="28">
        <v>1</v>
      </c>
      <c r="I287" s="30">
        <f>TownTeam1[[#This Row],[Selling price]]*TownTeam1[[#This Row],[Item quantity]]</f>
        <v>900</v>
      </c>
      <c r="J287" s="30">
        <f>IF(TownTeam1[[#This Row],[Item name]]=" Jeans - Denim",TownTeam1[[#This Row],[Total sales]]*0.85,TownTeam1[[#This Row],[Total sales]])</f>
        <v>900</v>
      </c>
    </row>
    <row r="288" spans="2:10" x14ac:dyDescent="0.25">
      <c r="B288" s="28">
        <v>284</v>
      </c>
      <c r="C288" s="35">
        <v>43749</v>
      </c>
      <c r="D288" s="29" t="s">
        <v>9</v>
      </c>
      <c r="E288" s="29" t="s">
        <v>22</v>
      </c>
      <c r="F288" s="29" t="s">
        <v>23</v>
      </c>
      <c r="G288" s="28">
        <v>500</v>
      </c>
      <c r="H288" s="28">
        <v>1</v>
      </c>
      <c r="I288" s="30">
        <f>TownTeam1[[#This Row],[Selling price]]*TownTeam1[[#This Row],[Item quantity]]</f>
        <v>500</v>
      </c>
      <c r="J288" s="30">
        <f>IF(TownTeam1[[#This Row],[Item name]]=" Jeans - Denim",TownTeam1[[#This Row],[Total sales]]*0.85,TownTeam1[[#This Row],[Total sales]])</f>
        <v>500</v>
      </c>
    </row>
    <row r="289" spans="2:10" x14ac:dyDescent="0.25">
      <c r="B289" s="28">
        <v>285</v>
      </c>
      <c r="C289" s="35">
        <v>43750</v>
      </c>
      <c r="D289" s="29" t="s">
        <v>9</v>
      </c>
      <c r="E289" s="29" t="s">
        <v>15</v>
      </c>
      <c r="F289" s="29" t="s">
        <v>11</v>
      </c>
      <c r="G289" s="28">
        <v>1000</v>
      </c>
      <c r="H289" s="28">
        <v>1</v>
      </c>
      <c r="I289" s="30">
        <f>TownTeam1[[#This Row],[Selling price]]*TownTeam1[[#This Row],[Item quantity]]</f>
        <v>1000</v>
      </c>
      <c r="J289" s="30">
        <f>IF(TownTeam1[[#This Row],[Item name]]=" Jeans - Denim",TownTeam1[[#This Row],[Total sales]]*0.85,TownTeam1[[#This Row],[Total sales]])</f>
        <v>1000</v>
      </c>
    </row>
    <row r="290" spans="2:10" x14ac:dyDescent="0.25">
      <c r="B290" s="28">
        <v>286</v>
      </c>
      <c r="C290" s="35">
        <v>43751</v>
      </c>
      <c r="D290" s="29" t="s">
        <v>9</v>
      </c>
      <c r="E290" s="29" t="s">
        <v>24</v>
      </c>
      <c r="F290" s="29" t="s">
        <v>23</v>
      </c>
      <c r="G290" s="28">
        <v>600</v>
      </c>
      <c r="H290" s="28">
        <v>1</v>
      </c>
      <c r="I290" s="30">
        <f>TownTeam1[[#This Row],[Selling price]]*TownTeam1[[#This Row],[Item quantity]]</f>
        <v>600</v>
      </c>
      <c r="J290" s="30">
        <f>IF(TownTeam1[[#This Row],[Item name]]=" Jeans - Denim",TownTeam1[[#This Row],[Total sales]]*0.85,TownTeam1[[#This Row],[Total sales]])</f>
        <v>600</v>
      </c>
    </row>
    <row r="291" spans="2:10" x14ac:dyDescent="0.25">
      <c r="B291" s="28">
        <v>287</v>
      </c>
      <c r="C291" s="35">
        <v>43752</v>
      </c>
      <c r="D291" s="29" t="s">
        <v>9</v>
      </c>
      <c r="E291" s="29" t="s">
        <v>12</v>
      </c>
      <c r="F291" s="29" t="s">
        <v>11</v>
      </c>
      <c r="G291" s="28">
        <v>900</v>
      </c>
      <c r="H291" s="28">
        <v>2</v>
      </c>
      <c r="I291" s="30">
        <f>TownTeam1[[#This Row],[Selling price]]*TownTeam1[[#This Row],[Item quantity]]</f>
        <v>1800</v>
      </c>
      <c r="J291" s="30">
        <f>IF(TownTeam1[[#This Row],[Item name]]=" Jeans - Denim",TownTeam1[[#This Row],[Total sales]]*0.85,TownTeam1[[#This Row],[Total sales]])</f>
        <v>1530</v>
      </c>
    </row>
    <row r="292" spans="2:10" x14ac:dyDescent="0.25">
      <c r="B292" s="28">
        <v>288</v>
      </c>
      <c r="C292" s="35">
        <v>43753</v>
      </c>
      <c r="D292" s="29" t="s">
        <v>9</v>
      </c>
      <c r="E292" s="29" t="s">
        <v>19</v>
      </c>
      <c r="F292" s="29" t="s">
        <v>20</v>
      </c>
      <c r="G292" s="28">
        <v>850</v>
      </c>
      <c r="H292" s="28">
        <v>1</v>
      </c>
      <c r="I292" s="30">
        <f>TownTeam1[[#This Row],[Selling price]]*TownTeam1[[#This Row],[Item quantity]]</f>
        <v>850</v>
      </c>
      <c r="J292" s="30">
        <f>IF(TownTeam1[[#This Row],[Item name]]=" Jeans - Denim",TownTeam1[[#This Row],[Total sales]]*0.85,TownTeam1[[#This Row],[Total sales]])</f>
        <v>850</v>
      </c>
    </row>
    <row r="293" spans="2:10" x14ac:dyDescent="0.25">
      <c r="B293" s="28">
        <v>289</v>
      </c>
      <c r="C293" s="35">
        <v>43754</v>
      </c>
      <c r="D293" s="29" t="s">
        <v>9</v>
      </c>
      <c r="E293" s="29" t="s">
        <v>16</v>
      </c>
      <c r="F293" s="29" t="s">
        <v>17</v>
      </c>
      <c r="G293" s="28">
        <v>800</v>
      </c>
      <c r="H293" s="28">
        <v>1</v>
      </c>
      <c r="I293" s="30">
        <f>TownTeam1[[#This Row],[Selling price]]*TownTeam1[[#This Row],[Item quantity]]</f>
        <v>800</v>
      </c>
      <c r="J293" s="30">
        <f>IF(TownTeam1[[#This Row],[Item name]]=" Jeans - Denim",TownTeam1[[#This Row],[Total sales]]*0.85,TownTeam1[[#This Row],[Total sales]])</f>
        <v>800</v>
      </c>
    </row>
    <row r="294" spans="2:10" x14ac:dyDescent="0.25">
      <c r="B294" s="28">
        <v>290</v>
      </c>
      <c r="C294" s="35">
        <v>43755</v>
      </c>
      <c r="D294" s="29" t="s">
        <v>9</v>
      </c>
      <c r="E294" s="29" t="s">
        <v>12</v>
      </c>
      <c r="F294" s="29" t="s">
        <v>11</v>
      </c>
      <c r="G294" s="28">
        <v>900</v>
      </c>
      <c r="H294" s="28">
        <v>1</v>
      </c>
      <c r="I294" s="30">
        <f>TownTeam1[[#This Row],[Selling price]]*TownTeam1[[#This Row],[Item quantity]]</f>
        <v>900</v>
      </c>
      <c r="J294" s="30">
        <f>IF(TownTeam1[[#This Row],[Item name]]=" Jeans - Denim",TownTeam1[[#This Row],[Total sales]]*0.85,TownTeam1[[#This Row],[Total sales]])</f>
        <v>765</v>
      </c>
    </row>
    <row r="295" spans="2:10" x14ac:dyDescent="0.25">
      <c r="B295" s="28">
        <v>291</v>
      </c>
      <c r="C295" s="35">
        <v>43756</v>
      </c>
      <c r="D295" s="29" t="s">
        <v>9</v>
      </c>
      <c r="E295" s="29" t="s">
        <v>12</v>
      </c>
      <c r="F295" s="29" t="s">
        <v>11</v>
      </c>
      <c r="G295" s="28">
        <v>900</v>
      </c>
      <c r="H295" s="28">
        <v>1</v>
      </c>
      <c r="I295" s="30">
        <f>TownTeam1[[#This Row],[Selling price]]*TownTeam1[[#This Row],[Item quantity]]</f>
        <v>900</v>
      </c>
      <c r="J295" s="30">
        <f>IF(TownTeam1[[#This Row],[Item name]]=" Jeans - Denim",TownTeam1[[#This Row],[Total sales]]*0.85,TownTeam1[[#This Row],[Total sales]])</f>
        <v>765</v>
      </c>
    </row>
    <row r="296" spans="2:10" x14ac:dyDescent="0.25">
      <c r="B296" s="28">
        <v>292</v>
      </c>
      <c r="C296" s="35">
        <v>43757</v>
      </c>
      <c r="D296" s="29" t="s">
        <v>9</v>
      </c>
      <c r="E296" s="29" t="s">
        <v>10</v>
      </c>
      <c r="F296" s="29" t="s">
        <v>11</v>
      </c>
      <c r="G296" s="28">
        <v>1100</v>
      </c>
      <c r="H296" s="28">
        <v>1</v>
      </c>
      <c r="I296" s="30">
        <f>TownTeam1[[#This Row],[Selling price]]*TownTeam1[[#This Row],[Item quantity]]</f>
        <v>1100</v>
      </c>
      <c r="J296" s="30">
        <f>IF(TownTeam1[[#This Row],[Item name]]=" Jeans - Denim",TownTeam1[[#This Row],[Total sales]]*0.85,TownTeam1[[#This Row],[Total sales]])</f>
        <v>1100</v>
      </c>
    </row>
    <row r="297" spans="2:10" x14ac:dyDescent="0.25">
      <c r="B297" s="28">
        <v>293</v>
      </c>
      <c r="C297" s="35">
        <v>43758</v>
      </c>
      <c r="D297" s="29" t="s">
        <v>9</v>
      </c>
      <c r="E297" s="29" t="s">
        <v>14</v>
      </c>
      <c r="F297" s="29" t="s">
        <v>11</v>
      </c>
      <c r="G297" s="28">
        <v>900</v>
      </c>
      <c r="H297" s="28">
        <v>1</v>
      </c>
      <c r="I297" s="30">
        <f>TownTeam1[[#This Row],[Selling price]]*TownTeam1[[#This Row],[Item quantity]]</f>
        <v>900</v>
      </c>
      <c r="J297" s="30">
        <f>IF(TownTeam1[[#This Row],[Item name]]=" Jeans - Denim",TownTeam1[[#This Row],[Total sales]]*0.85,TownTeam1[[#This Row],[Total sales]])</f>
        <v>900</v>
      </c>
    </row>
    <row r="298" spans="2:10" x14ac:dyDescent="0.25">
      <c r="B298" s="28">
        <v>294</v>
      </c>
      <c r="C298" s="35">
        <v>43759</v>
      </c>
      <c r="D298" s="29" t="s">
        <v>9</v>
      </c>
      <c r="E298" s="29" t="s">
        <v>18</v>
      </c>
      <c r="F298" s="29" t="s">
        <v>17</v>
      </c>
      <c r="G298" s="28">
        <v>600</v>
      </c>
      <c r="H298" s="28">
        <v>1</v>
      </c>
      <c r="I298" s="30">
        <f>TownTeam1[[#This Row],[Selling price]]*TownTeam1[[#This Row],[Item quantity]]</f>
        <v>600</v>
      </c>
      <c r="J298" s="30">
        <f>IF(TownTeam1[[#This Row],[Item name]]=" Jeans - Denim",TownTeam1[[#This Row],[Total sales]]*0.85,TownTeam1[[#This Row],[Total sales]])</f>
        <v>600</v>
      </c>
    </row>
    <row r="299" spans="2:10" x14ac:dyDescent="0.25">
      <c r="B299" s="28">
        <v>295</v>
      </c>
      <c r="C299" s="35">
        <v>43760</v>
      </c>
      <c r="D299" s="29" t="s">
        <v>9</v>
      </c>
      <c r="E299" s="29" t="s">
        <v>18</v>
      </c>
      <c r="F299" s="29" t="s">
        <v>17</v>
      </c>
      <c r="G299" s="28">
        <v>600</v>
      </c>
      <c r="H299" s="28">
        <v>1</v>
      </c>
      <c r="I299" s="30">
        <f>TownTeam1[[#This Row],[Selling price]]*TownTeam1[[#This Row],[Item quantity]]</f>
        <v>600</v>
      </c>
      <c r="J299" s="30">
        <f>IF(TownTeam1[[#This Row],[Item name]]=" Jeans - Denim",TownTeam1[[#This Row],[Total sales]]*0.85,TownTeam1[[#This Row],[Total sales]])</f>
        <v>600</v>
      </c>
    </row>
    <row r="300" spans="2:10" x14ac:dyDescent="0.25">
      <c r="B300" s="28">
        <v>296</v>
      </c>
      <c r="C300" s="35">
        <v>43761</v>
      </c>
      <c r="D300" s="29" t="s">
        <v>9</v>
      </c>
      <c r="E300" s="29" t="s">
        <v>14</v>
      </c>
      <c r="F300" s="29" t="s">
        <v>11</v>
      </c>
      <c r="G300" s="28">
        <v>900</v>
      </c>
      <c r="H300" s="28">
        <v>1</v>
      </c>
      <c r="I300" s="30">
        <f>TownTeam1[[#This Row],[Selling price]]*TownTeam1[[#This Row],[Item quantity]]</f>
        <v>900</v>
      </c>
      <c r="J300" s="30">
        <f>IF(TownTeam1[[#This Row],[Item name]]=" Jeans - Denim",TownTeam1[[#This Row],[Total sales]]*0.85,TownTeam1[[#This Row],[Total sales]])</f>
        <v>900</v>
      </c>
    </row>
    <row r="301" spans="2:10" x14ac:dyDescent="0.25">
      <c r="B301" s="28">
        <v>297</v>
      </c>
      <c r="C301" s="35">
        <v>43762</v>
      </c>
      <c r="D301" s="29" t="s">
        <v>9</v>
      </c>
      <c r="E301" s="29" t="s">
        <v>19</v>
      </c>
      <c r="F301" s="29" t="s">
        <v>20</v>
      </c>
      <c r="G301" s="28">
        <v>850</v>
      </c>
      <c r="H301" s="28">
        <v>1</v>
      </c>
      <c r="I301" s="30">
        <f>TownTeam1[[#This Row],[Selling price]]*TownTeam1[[#This Row],[Item quantity]]</f>
        <v>850</v>
      </c>
      <c r="J301" s="30">
        <f>IF(TownTeam1[[#This Row],[Item name]]=" Jeans - Denim",TownTeam1[[#This Row],[Total sales]]*0.85,TownTeam1[[#This Row],[Total sales]])</f>
        <v>850</v>
      </c>
    </row>
    <row r="302" spans="2:10" x14ac:dyDescent="0.25">
      <c r="B302" s="28">
        <v>298</v>
      </c>
      <c r="C302" s="35">
        <v>43763</v>
      </c>
      <c r="D302" s="29" t="s">
        <v>9</v>
      </c>
      <c r="E302" s="29" t="s">
        <v>14</v>
      </c>
      <c r="F302" s="29" t="s">
        <v>11</v>
      </c>
      <c r="G302" s="28">
        <v>900</v>
      </c>
      <c r="H302" s="28">
        <v>1</v>
      </c>
      <c r="I302" s="30">
        <f>TownTeam1[[#This Row],[Selling price]]*TownTeam1[[#This Row],[Item quantity]]</f>
        <v>900</v>
      </c>
      <c r="J302" s="30">
        <f>IF(TownTeam1[[#This Row],[Item name]]=" Jeans - Denim",TownTeam1[[#This Row],[Total sales]]*0.85,TownTeam1[[#This Row],[Total sales]])</f>
        <v>900</v>
      </c>
    </row>
    <row r="303" spans="2:10" x14ac:dyDescent="0.25">
      <c r="B303" s="28">
        <v>299</v>
      </c>
      <c r="C303" s="35">
        <v>43764</v>
      </c>
      <c r="D303" s="29" t="s">
        <v>9</v>
      </c>
      <c r="E303" s="29" t="s">
        <v>18</v>
      </c>
      <c r="F303" s="29" t="s">
        <v>17</v>
      </c>
      <c r="G303" s="28">
        <v>600</v>
      </c>
      <c r="H303" s="28">
        <v>1</v>
      </c>
      <c r="I303" s="30">
        <f>TownTeam1[[#This Row],[Selling price]]*TownTeam1[[#This Row],[Item quantity]]</f>
        <v>600</v>
      </c>
      <c r="J303" s="30">
        <f>IF(TownTeam1[[#This Row],[Item name]]=" Jeans - Denim",TownTeam1[[#This Row],[Total sales]]*0.85,TownTeam1[[#This Row],[Total sales]])</f>
        <v>600</v>
      </c>
    </row>
    <row r="304" spans="2:10" x14ac:dyDescent="0.25">
      <c r="B304" s="28">
        <v>300</v>
      </c>
      <c r="C304" s="35">
        <v>43765</v>
      </c>
      <c r="D304" s="29" t="s">
        <v>9</v>
      </c>
      <c r="E304" s="29" t="s">
        <v>18</v>
      </c>
      <c r="F304" s="29" t="s">
        <v>17</v>
      </c>
      <c r="G304" s="28">
        <v>600</v>
      </c>
      <c r="H304" s="28">
        <v>1</v>
      </c>
      <c r="I304" s="30">
        <f>TownTeam1[[#This Row],[Selling price]]*TownTeam1[[#This Row],[Item quantity]]</f>
        <v>600</v>
      </c>
      <c r="J304" s="30">
        <f>IF(TownTeam1[[#This Row],[Item name]]=" Jeans - Denim",TownTeam1[[#This Row],[Total sales]]*0.85,TownTeam1[[#This Row],[Total sales]])</f>
        <v>600</v>
      </c>
    </row>
    <row r="305" spans="2:10" x14ac:dyDescent="0.25">
      <c r="B305" s="28">
        <v>301</v>
      </c>
      <c r="C305" s="35">
        <v>43766</v>
      </c>
      <c r="D305" s="29" t="s">
        <v>9</v>
      </c>
      <c r="E305" s="29" t="s">
        <v>10</v>
      </c>
      <c r="F305" s="29" t="s">
        <v>11</v>
      </c>
      <c r="G305" s="28">
        <v>1100</v>
      </c>
      <c r="H305" s="28">
        <v>1</v>
      </c>
      <c r="I305" s="30">
        <f>TownTeam1[[#This Row],[Selling price]]*TownTeam1[[#This Row],[Item quantity]]</f>
        <v>1100</v>
      </c>
      <c r="J305" s="30">
        <f>IF(TownTeam1[[#This Row],[Item name]]=" Jeans - Denim",TownTeam1[[#This Row],[Total sales]]*0.85,TownTeam1[[#This Row],[Total sales]])</f>
        <v>1100</v>
      </c>
    </row>
    <row r="306" spans="2:10" x14ac:dyDescent="0.25">
      <c r="B306" s="28">
        <v>302</v>
      </c>
      <c r="C306" s="35">
        <v>43767</v>
      </c>
      <c r="D306" s="29" t="s">
        <v>9</v>
      </c>
      <c r="E306" s="29" t="s">
        <v>12</v>
      </c>
      <c r="F306" s="29" t="s">
        <v>11</v>
      </c>
      <c r="G306" s="28">
        <v>900</v>
      </c>
      <c r="H306" s="28">
        <v>1</v>
      </c>
      <c r="I306" s="30">
        <f>TownTeam1[[#This Row],[Selling price]]*TownTeam1[[#This Row],[Item quantity]]</f>
        <v>900</v>
      </c>
      <c r="J306" s="30">
        <f>IF(TownTeam1[[#This Row],[Item name]]=" Jeans - Denim",TownTeam1[[#This Row],[Total sales]]*0.85,TownTeam1[[#This Row],[Total sales]])</f>
        <v>765</v>
      </c>
    </row>
    <row r="307" spans="2:10" x14ac:dyDescent="0.25">
      <c r="B307" s="28">
        <v>303</v>
      </c>
      <c r="C307" s="35">
        <v>43768</v>
      </c>
      <c r="D307" s="29" t="s">
        <v>9</v>
      </c>
      <c r="E307" s="29" t="s">
        <v>10</v>
      </c>
      <c r="F307" s="29" t="s">
        <v>11</v>
      </c>
      <c r="G307" s="28">
        <v>1100</v>
      </c>
      <c r="H307" s="28">
        <v>1</v>
      </c>
      <c r="I307" s="30">
        <f>TownTeam1[[#This Row],[Selling price]]*TownTeam1[[#This Row],[Item quantity]]</f>
        <v>1100</v>
      </c>
      <c r="J307" s="30">
        <f>IF(TownTeam1[[#This Row],[Item name]]=" Jeans - Denim",TownTeam1[[#This Row],[Total sales]]*0.85,TownTeam1[[#This Row],[Total sales]])</f>
        <v>1100</v>
      </c>
    </row>
    <row r="308" spans="2:10" x14ac:dyDescent="0.25">
      <c r="B308" s="28">
        <v>304</v>
      </c>
      <c r="C308" s="35">
        <v>43769</v>
      </c>
      <c r="D308" s="29" t="s">
        <v>9</v>
      </c>
      <c r="E308" s="29" t="s">
        <v>18</v>
      </c>
      <c r="F308" s="29" t="s">
        <v>17</v>
      </c>
      <c r="G308" s="28">
        <v>600</v>
      </c>
      <c r="H308" s="28">
        <v>1</v>
      </c>
      <c r="I308" s="30">
        <f>TownTeam1[[#This Row],[Selling price]]*TownTeam1[[#This Row],[Item quantity]]</f>
        <v>600</v>
      </c>
      <c r="J308" s="30">
        <f>IF(TownTeam1[[#This Row],[Item name]]=" Jeans - Denim",TownTeam1[[#This Row],[Total sales]]*0.85,TownTeam1[[#This Row],[Total sales]])</f>
        <v>600</v>
      </c>
    </row>
    <row r="309" spans="2:10" x14ac:dyDescent="0.25">
      <c r="B309" s="28">
        <v>305</v>
      </c>
      <c r="C309" s="35">
        <v>43770</v>
      </c>
      <c r="D309" s="29" t="s">
        <v>9</v>
      </c>
      <c r="E309" s="29" t="s">
        <v>21</v>
      </c>
      <c r="F309" s="29" t="s">
        <v>20</v>
      </c>
      <c r="G309" s="28">
        <v>1200</v>
      </c>
      <c r="H309" s="28">
        <v>1</v>
      </c>
      <c r="I309" s="30">
        <f>TownTeam1[[#This Row],[Selling price]]*TownTeam1[[#This Row],[Item quantity]]</f>
        <v>1200</v>
      </c>
      <c r="J309" s="30">
        <f>IF(TownTeam1[[#This Row],[Item name]]=" Jeans - Denim",TownTeam1[[#This Row],[Total sales]]*0.85,TownTeam1[[#This Row],[Total sales]])</f>
        <v>1200</v>
      </c>
    </row>
    <row r="310" spans="2:10" x14ac:dyDescent="0.25">
      <c r="B310" s="28">
        <v>306</v>
      </c>
      <c r="C310" s="35">
        <v>43771</v>
      </c>
      <c r="D310" s="29" t="s">
        <v>9</v>
      </c>
      <c r="E310" s="29" t="s">
        <v>24</v>
      </c>
      <c r="F310" s="29" t="s">
        <v>23</v>
      </c>
      <c r="G310" s="28">
        <v>600</v>
      </c>
      <c r="H310" s="28">
        <v>1</v>
      </c>
      <c r="I310" s="30">
        <f>TownTeam1[[#This Row],[Selling price]]*TownTeam1[[#This Row],[Item quantity]]</f>
        <v>600</v>
      </c>
      <c r="J310" s="30">
        <f>IF(TownTeam1[[#This Row],[Item name]]=" Jeans - Denim",TownTeam1[[#This Row],[Total sales]]*0.85,TownTeam1[[#This Row],[Total sales]])</f>
        <v>600</v>
      </c>
    </row>
    <row r="311" spans="2:10" x14ac:dyDescent="0.25">
      <c r="B311" s="28">
        <v>307</v>
      </c>
      <c r="C311" s="35">
        <v>43772</v>
      </c>
      <c r="D311" s="29" t="s">
        <v>9</v>
      </c>
      <c r="E311" s="29" t="s">
        <v>10</v>
      </c>
      <c r="F311" s="29" t="s">
        <v>11</v>
      </c>
      <c r="G311" s="28">
        <v>1100</v>
      </c>
      <c r="H311" s="28">
        <v>1</v>
      </c>
      <c r="I311" s="30">
        <f>TownTeam1[[#This Row],[Selling price]]*TownTeam1[[#This Row],[Item quantity]]</f>
        <v>1100</v>
      </c>
      <c r="J311" s="30">
        <f>IF(TownTeam1[[#This Row],[Item name]]=" Jeans - Denim",TownTeam1[[#This Row],[Total sales]]*0.85,TownTeam1[[#This Row],[Total sales]])</f>
        <v>1100</v>
      </c>
    </row>
    <row r="312" spans="2:10" x14ac:dyDescent="0.25">
      <c r="B312" s="28">
        <v>308</v>
      </c>
      <c r="C312" s="35">
        <v>43773</v>
      </c>
      <c r="D312" s="29" t="s">
        <v>9</v>
      </c>
      <c r="E312" s="29" t="s">
        <v>22</v>
      </c>
      <c r="F312" s="29" t="s">
        <v>23</v>
      </c>
      <c r="G312" s="28">
        <v>500</v>
      </c>
      <c r="H312" s="28">
        <v>1</v>
      </c>
      <c r="I312" s="30">
        <f>TownTeam1[[#This Row],[Selling price]]*TownTeam1[[#This Row],[Item quantity]]</f>
        <v>500</v>
      </c>
      <c r="J312" s="30">
        <f>IF(TownTeam1[[#This Row],[Item name]]=" Jeans - Denim",TownTeam1[[#This Row],[Total sales]]*0.85,TownTeam1[[#This Row],[Total sales]])</f>
        <v>500</v>
      </c>
    </row>
    <row r="313" spans="2:10" x14ac:dyDescent="0.25">
      <c r="B313" s="28">
        <v>309</v>
      </c>
      <c r="C313" s="35">
        <v>43774</v>
      </c>
      <c r="D313" s="29" t="s">
        <v>9</v>
      </c>
      <c r="E313" s="29" t="s">
        <v>12</v>
      </c>
      <c r="F313" s="29" t="s">
        <v>11</v>
      </c>
      <c r="G313" s="28">
        <v>900</v>
      </c>
      <c r="H313" s="28">
        <v>1</v>
      </c>
      <c r="I313" s="30">
        <f>TownTeam1[[#This Row],[Selling price]]*TownTeam1[[#This Row],[Item quantity]]</f>
        <v>900</v>
      </c>
      <c r="J313" s="30">
        <f>IF(TownTeam1[[#This Row],[Item name]]=" Jeans - Denim",TownTeam1[[#This Row],[Total sales]]*0.85,TownTeam1[[#This Row],[Total sales]])</f>
        <v>765</v>
      </c>
    </row>
    <row r="314" spans="2:10" x14ac:dyDescent="0.25">
      <c r="B314" s="28">
        <v>310</v>
      </c>
      <c r="C314" s="35">
        <v>43775</v>
      </c>
      <c r="D314" s="29" t="s">
        <v>9</v>
      </c>
      <c r="E314" s="29" t="s">
        <v>19</v>
      </c>
      <c r="F314" s="29" t="s">
        <v>20</v>
      </c>
      <c r="G314" s="28">
        <v>850</v>
      </c>
      <c r="H314" s="28">
        <v>1</v>
      </c>
      <c r="I314" s="30">
        <f>TownTeam1[[#This Row],[Selling price]]*TownTeam1[[#This Row],[Item quantity]]</f>
        <v>850</v>
      </c>
      <c r="J314" s="30">
        <f>IF(TownTeam1[[#This Row],[Item name]]=" Jeans - Denim",TownTeam1[[#This Row],[Total sales]]*0.85,TownTeam1[[#This Row],[Total sales]])</f>
        <v>850</v>
      </c>
    </row>
    <row r="315" spans="2:10" x14ac:dyDescent="0.25">
      <c r="B315" s="28">
        <v>311</v>
      </c>
      <c r="C315" s="35">
        <v>43776</v>
      </c>
      <c r="D315" s="29" t="s">
        <v>9</v>
      </c>
      <c r="E315" s="29" t="s">
        <v>18</v>
      </c>
      <c r="F315" s="29" t="s">
        <v>17</v>
      </c>
      <c r="G315" s="28">
        <v>600</v>
      </c>
      <c r="H315" s="28">
        <v>1</v>
      </c>
      <c r="I315" s="30">
        <f>TownTeam1[[#This Row],[Selling price]]*TownTeam1[[#This Row],[Item quantity]]</f>
        <v>600</v>
      </c>
      <c r="J315" s="30">
        <f>IF(TownTeam1[[#This Row],[Item name]]=" Jeans - Denim",TownTeam1[[#This Row],[Total sales]]*0.85,TownTeam1[[#This Row],[Total sales]])</f>
        <v>600</v>
      </c>
    </row>
    <row r="316" spans="2:10" x14ac:dyDescent="0.25">
      <c r="B316" s="28">
        <v>312</v>
      </c>
      <c r="C316" s="35">
        <v>43777</v>
      </c>
      <c r="D316" s="29" t="s">
        <v>9</v>
      </c>
      <c r="E316" s="29" t="s">
        <v>10</v>
      </c>
      <c r="F316" s="29" t="s">
        <v>11</v>
      </c>
      <c r="G316" s="28">
        <v>1100</v>
      </c>
      <c r="H316" s="28">
        <v>1</v>
      </c>
      <c r="I316" s="30">
        <f>TownTeam1[[#This Row],[Selling price]]*TownTeam1[[#This Row],[Item quantity]]</f>
        <v>1100</v>
      </c>
      <c r="J316" s="30">
        <f>IF(TownTeam1[[#This Row],[Item name]]=" Jeans - Denim",TownTeam1[[#This Row],[Total sales]]*0.85,TownTeam1[[#This Row],[Total sales]])</f>
        <v>1100</v>
      </c>
    </row>
    <row r="317" spans="2:10" x14ac:dyDescent="0.25">
      <c r="B317" s="28">
        <v>313</v>
      </c>
      <c r="C317" s="35">
        <v>43778</v>
      </c>
      <c r="D317" s="29" t="s">
        <v>9</v>
      </c>
      <c r="E317" s="29" t="s">
        <v>22</v>
      </c>
      <c r="F317" s="29" t="s">
        <v>23</v>
      </c>
      <c r="G317" s="28">
        <v>500</v>
      </c>
      <c r="H317" s="28">
        <v>1</v>
      </c>
      <c r="I317" s="30">
        <f>TownTeam1[[#This Row],[Selling price]]*TownTeam1[[#This Row],[Item quantity]]</f>
        <v>500</v>
      </c>
      <c r="J317" s="30">
        <f>IF(TownTeam1[[#This Row],[Item name]]=" Jeans - Denim",TownTeam1[[#This Row],[Total sales]]*0.85,TownTeam1[[#This Row],[Total sales]])</f>
        <v>500</v>
      </c>
    </row>
    <row r="318" spans="2:10" x14ac:dyDescent="0.25">
      <c r="B318" s="28">
        <v>314</v>
      </c>
      <c r="C318" s="35">
        <v>43779</v>
      </c>
      <c r="D318" s="29" t="s">
        <v>9</v>
      </c>
      <c r="E318" s="29" t="s">
        <v>18</v>
      </c>
      <c r="F318" s="29" t="s">
        <v>17</v>
      </c>
      <c r="G318" s="28">
        <v>600</v>
      </c>
      <c r="H318" s="28">
        <v>1</v>
      </c>
      <c r="I318" s="30">
        <f>TownTeam1[[#This Row],[Selling price]]*TownTeam1[[#This Row],[Item quantity]]</f>
        <v>600</v>
      </c>
      <c r="J318" s="30">
        <f>IF(TownTeam1[[#This Row],[Item name]]=" Jeans - Denim",TownTeam1[[#This Row],[Total sales]]*0.85,TownTeam1[[#This Row],[Total sales]])</f>
        <v>600</v>
      </c>
    </row>
    <row r="319" spans="2:10" x14ac:dyDescent="0.25">
      <c r="B319" s="28">
        <v>315</v>
      </c>
      <c r="C319" s="35">
        <v>43780</v>
      </c>
      <c r="D319" s="29" t="s">
        <v>9</v>
      </c>
      <c r="E319" s="29" t="s">
        <v>15</v>
      </c>
      <c r="F319" s="29" t="s">
        <v>11</v>
      </c>
      <c r="G319" s="28">
        <v>1000</v>
      </c>
      <c r="H319" s="28">
        <v>1</v>
      </c>
      <c r="I319" s="30">
        <f>TownTeam1[[#This Row],[Selling price]]*TownTeam1[[#This Row],[Item quantity]]</f>
        <v>1000</v>
      </c>
      <c r="J319" s="30">
        <f>IF(TownTeam1[[#This Row],[Item name]]=" Jeans - Denim",TownTeam1[[#This Row],[Total sales]]*0.85,TownTeam1[[#This Row],[Total sales]])</f>
        <v>1000</v>
      </c>
    </row>
    <row r="320" spans="2:10" x14ac:dyDescent="0.25">
      <c r="B320" s="28">
        <v>316</v>
      </c>
      <c r="C320" s="35">
        <v>43781</v>
      </c>
      <c r="D320" s="29" t="s">
        <v>13</v>
      </c>
      <c r="E320" s="29" t="s">
        <v>18</v>
      </c>
      <c r="F320" s="29" t="s">
        <v>17</v>
      </c>
      <c r="G320" s="28">
        <v>600</v>
      </c>
      <c r="H320" s="28">
        <v>1</v>
      </c>
      <c r="I320" s="30">
        <f>TownTeam1[[#This Row],[Selling price]]*TownTeam1[[#This Row],[Item quantity]]</f>
        <v>600</v>
      </c>
      <c r="J320" s="30">
        <f>IF(TownTeam1[[#This Row],[Item name]]=" Jeans - Denim",TownTeam1[[#This Row],[Total sales]]*0.85,TownTeam1[[#This Row],[Total sales]])</f>
        <v>600</v>
      </c>
    </row>
    <row r="321" spans="2:10" x14ac:dyDescent="0.25">
      <c r="B321" s="28">
        <v>317</v>
      </c>
      <c r="C321" s="35">
        <v>43782</v>
      </c>
      <c r="D321" s="29" t="s">
        <v>13</v>
      </c>
      <c r="E321" s="29" t="s">
        <v>10</v>
      </c>
      <c r="F321" s="29" t="s">
        <v>11</v>
      </c>
      <c r="G321" s="28">
        <v>1100</v>
      </c>
      <c r="H321" s="28">
        <v>1</v>
      </c>
      <c r="I321" s="30">
        <f>TownTeam1[[#This Row],[Selling price]]*TownTeam1[[#This Row],[Item quantity]]</f>
        <v>1100</v>
      </c>
      <c r="J321" s="30">
        <f>IF(TownTeam1[[#This Row],[Item name]]=" Jeans - Denim",TownTeam1[[#This Row],[Total sales]]*0.85,TownTeam1[[#This Row],[Total sales]])</f>
        <v>1100</v>
      </c>
    </row>
    <row r="322" spans="2:10" x14ac:dyDescent="0.25">
      <c r="B322" s="28">
        <v>318</v>
      </c>
      <c r="C322" s="35">
        <v>43783</v>
      </c>
      <c r="D322" s="29" t="s">
        <v>13</v>
      </c>
      <c r="E322" s="29" t="s">
        <v>22</v>
      </c>
      <c r="F322" s="29" t="s">
        <v>23</v>
      </c>
      <c r="G322" s="28">
        <v>500</v>
      </c>
      <c r="H322" s="28">
        <v>1</v>
      </c>
      <c r="I322" s="30">
        <f>TownTeam1[[#This Row],[Selling price]]*TownTeam1[[#This Row],[Item quantity]]</f>
        <v>500</v>
      </c>
      <c r="J322" s="30">
        <f>IF(TownTeam1[[#This Row],[Item name]]=" Jeans - Denim",TownTeam1[[#This Row],[Total sales]]*0.85,TownTeam1[[#This Row],[Total sales]])</f>
        <v>500</v>
      </c>
    </row>
    <row r="323" spans="2:10" x14ac:dyDescent="0.25">
      <c r="B323" s="28">
        <v>319</v>
      </c>
      <c r="C323" s="35">
        <v>43784</v>
      </c>
      <c r="D323" s="29" t="s">
        <v>13</v>
      </c>
      <c r="E323" s="29" t="s">
        <v>10</v>
      </c>
      <c r="F323" s="29" t="s">
        <v>11</v>
      </c>
      <c r="G323" s="28">
        <v>1100</v>
      </c>
      <c r="H323" s="28">
        <v>2</v>
      </c>
      <c r="I323" s="30">
        <f>TownTeam1[[#This Row],[Selling price]]*TownTeam1[[#This Row],[Item quantity]]</f>
        <v>2200</v>
      </c>
      <c r="J323" s="30">
        <f>IF(TownTeam1[[#This Row],[Item name]]=" Jeans - Denim",TownTeam1[[#This Row],[Total sales]]*0.85,TownTeam1[[#This Row],[Total sales]])</f>
        <v>2200</v>
      </c>
    </row>
    <row r="324" spans="2:10" x14ac:dyDescent="0.25">
      <c r="B324" s="28">
        <v>320</v>
      </c>
      <c r="C324" s="35">
        <v>43785</v>
      </c>
      <c r="D324" s="29" t="s">
        <v>13</v>
      </c>
      <c r="E324" s="29" t="s">
        <v>18</v>
      </c>
      <c r="F324" s="29" t="s">
        <v>17</v>
      </c>
      <c r="G324" s="28">
        <v>600</v>
      </c>
      <c r="H324" s="28">
        <v>1</v>
      </c>
      <c r="I324" s="30">
        <f>TownTeam1[[#This Row],[Selling price]]*TownTeam1[[#This Row],[Item quantity]]</f>
        <v>600</v>
      </c>
      <c r="J324" s="30">
        <f>IF(TownTeam1[[#This Row],[Item name]]=" Jeans - Denim",TownTeam1[[#This Row],[Total sales]]*0.85,TownTeam1[[#This Row],[Total sales]])</f>
        <v>600</v>
      </c>
    </row>
    <row r="325" spans="2:10" x14ac:dyDescent="0.25">
      <c r="B325" s="28">
        <v>321</v>
      </c>
      <c r="C325" s="35">
        <v>43786</v>
      </c>
      <c r="D325" s="29" t="s">
        <v>13</v>
      </c>
      <c r="E325" s="29" t="s">
        <v>16</v>
      </c>
      <c r="F325" s="29" t="s">
        <v>17</v>
      </c>
      <c r="G325" s="28">
        <v>800</v>
      </c>
      <c r="H325" s="28">
        <v>1</v>
      </c>
      <c r="I325" s="30">
        <f>TownTeam1[[#This Row],[Selling price]]*TownTeam1[[#This Row],[Item quantity]]</f>
        <v>800</v>
      </c>
      <c r="J325" s="30">
        <f>IF(TownTeam1[[#This Row],[Item name]]=" Jeans - Denim",TownTeam1[[#This Row],[Total sales]]*0.85,TownTeam1[[#This Row],[Total sales]])</f>
        <v>800</v>
      </c>
    </row>
    <row r="326" spans="2:10" x14ac:dyDescent="0.25">
      <c r="B326" s="28">
        <v>322</v>
      </c>
      <c r="C326" s="35">
        <v>43787</v>
      </c>
      <c r="D326" s="29" t="s">
        <v>13</v>
      </c>
      <c r="E326" s="29" t="s">
        <v>14</v>
      </c>
      <c r="F326" s="29" t="s">
        <v>11</v>
      </c>
      <c r="G326" s="28">
        <v>900</v>
      </c>
      <c r="H326" s="28">
        <v>1</v>
      </c>
      <c r="I326" s="30">
        <f>TownTeam1[[#This Row],[Selling price]]*TownTeam1[[#This Row],[Item quantity]]</f>
        <v>900</v>
      </c>
      <c r="J326" s="30">
        <f>IF(TownTeam1[[#This Row],[Item name]]=" Jeans - Denim",TownTeam1[[#This Row],[Total sales]]*0.85,TownTeam1[[#This Row],[Total sales]])</f>
        <v>900</v>
      </c>
    </row>
    <row r="327" spans="2:10" x14ac:dyDescent="0.25">
      <c r="B327" s="28">
        <v>323</v>
      </c>
      <c r="C327" s="35">
        <v>43788</v>
      </c>
      <c r="D327" s="29" t="s">
        <v>13</v>
      </c>
      <c r="E327" s="29" t="s">
        <v>24</v>
      </c>
      <c r="F327" s="29" t="s">
        <v>23</v>
      </c>
      <c r="G327" s="28">
        <v>600</v>
      </c>
      <c r="H327" s="28">
        <v>1</v>
      </c>
      <c r="I327" s="30">
        <f>TownTeam1[[#This Row],[Selling price]]*TownTeam1[[#This Row],[Item quantity]]</f>
        <v>600</v>
      </c>
      <c r="J327" s="30">
        <f>IF(TownTeam1[[#This Row],[Item name]]=" Jeans - Denim",TownTeam1[[#This Row],[Total sales]]*0.85,TownTeam1[[#This Row],[Total sales]])</f>
        <v>600</v>
      </c>
    </row>
    <row r="328" spans="2:10" x14ac:dyDescent="0.25">
      <c r="B328" s="28">
        <v>324</v>
      </c>
      <c r="C328" s="35">
        <v>43789</v>
      </c>
      <c r="D328" s="29" t="s">
        <v>13</v>
      </c>
      <c r="E328" s="29" t="s">
        <v>10</v>
      </c>
      <c r="F328" s="29" t="s">
        <v>11</v>
      </c>
      <c r="G328" s="28">
        <v>1100</v>
      </c>
      <c r="H328" s="28">
        <v>2</v>
      </c>
      <c r="I328" s="30">
        <f>TownTeam1[[#This Row],[Selling price]]*TownTeam1[[#This Row],[Item quantity]]</f>
        <v>2200</v>
      </c>
      <c r="J328" s="30">
        <f>IF(TownTeam1[[#This Row],[Item name]]=" Jeans - Denim",TownTeam1[[#This Row],[Total sales]]*0.85,TownTeam1[[#This Row],[Total sales]])</f>
        <v>2200</v>
      </c>
    </row>
    <row r="329" spans="2:10" x14ac:dyDescent="0.25">
      <c r="B329" s="28">
        <v>325</v>
      </c>
      <c r="C329" s="35">
        <v>43790</v>
      </c>
      <c r="D329" s="29" t="s">
        <v>9</v>
      </c>
      <c r="E329" s="29" t="s">
        <v>18</v>
      </c>
      <c r="F329" s="29" t="s">
        <v>17</v>
      </c>
      <c r="G329" s="28">
        <v>600</v>
      </c>
      <c r="H329" s="28">
        <v>1</v>
      </c>
      <c r="I329" s="30">
        <f>TownTeam1[[#This Row],[Selling price]]*TownTeam1[[#This Row],[Item quantity]]</f>
        <v>600</v>
      </c>
      <c r="J329" s="30">
        <f>IF(TownTeam1[[#This Row],[Item name]]=" Jeans - Denim",TownTeam1[[#This Row],[Total sales]]*0.85,TownTeam1[[#This Row],[Total sales]])</f>
        <v>600</v>
      </c>
    </row>
    <row r="330" spans="2:10" x14ac:dyDescent="0.25">
      <c r="B330" s="28">
        <v>326</v>
      </c>
      <c r="C330" s="35">
        <v>43791</v>
      </c>
      <c r="D330" s="29" t="s">
        <v>9</v>
      </c>
      <c r="E330" s="29" t="s">
        <v>10</v>
      </c>
      <c r="F330" s="29" t="s">
        <v>11</v>
      </c>
      <c r="G330" s="28">
        <v>1100</v>
      </c>
      <c r="H330" s="28">
        <v>1</v>
      </c>
      <c r="I330" s="30">
        <f>TownTeam1[[#This Row],[Selling price]]*TownTeam1[[#This Row],[Item quantity]]</f>
        <v>1100</v>
      </c>
      <c r="J330" s="30">
        <f>IF(TownTeam1[[#This Row],[Item name]]=" Jeans - Denim",TownTeam1[[#This Row],[Total sales]]*0.85,TownTeam1[[#This Row],[Total sales]])</f>
        <v>1100</v>
      </c>
    </row>
    <row r="331" spans="2:10" x14ac:dyDescent="0.25">
      <c r="B331" s="28">
        <v>327</v>
      </c>
      <c r="C331" s="35">
        <v>43792</v>
      </c>
      <c r="D331" s="29" t="s">
        <v>9</v>
      </c>
      <c r="E331" s="29" t="s">
        <v>15</v>
      </c>
      <c r="F331" s="29" t="s">
        <v>11</v>
      </c>
      <c r="G331" s="28">
        <v>1000</v>
      </c>
      <c r="H331" s="28">
        <v>1</v>
      </c>
      <c r="I331" s="30">
        <f>TownTeam1[[#This Row],[Selling price]]*TownTeam1[[#This Row],[Item quantity]]</f>
        <v>1000</v>
      </c>
      <c r="J331" s="30">
        <f>IF(TownTeam1[[#This Row],[Item name]]=" Jeans - Denim",TownTeam1[[#This Row],[Total sales]]*0.85,TownTeam1[[#This Row],[Total sales]])</f>
        <v>1000</v>
      </c>
    </row>
    <row r="332" spans="2:10" x14ac:dyDescent="0.25">
      <c r="B332" s="28">
        <v>328</v>
      </c>
      <c r="C332" s="35">
        <v>43793</v>
      </c>
      <c r="D332" s="29" t="s">
        <v>9</v>
      </c>
      <c r="E332" s="29" t="s">
        <v>10</v>
      </c>
      <c r="F332" s="29" t="s">
        <v>11</v>
      </c>
      <c r="G332" s="28">
        <v>1100</v>
      </c>
      <c r="H332" s="28">
        <v>1</v>
      </c>
      <c r="I332" s="30">
        <f>TownTeam1[[#This Row],[Selling price]]*TownTeam1[[#This Row],[Item quantity]]</f>
        <v>1100</v>
      </c>
      <c r="J332" s="30">
        <f>IF(TownTeam1[[#This Row],[Item name]]=" Jeans - Denim",TownTeam1[[#This Row],[Total sales]]*0.85,TownTeam1[[#This Row],[Total sales]])</f>
        <v>1100</v>
      </c>
    </row>
    <row r="333" spans="2:10" x14ac:dyDescent="0.25">
      <c r="B333" s="28">
        <v>329</v>
      </c>
      <c r="C333" s="35">
        <v>43794</v>
      </c>
      <c r="D333" s="29" t="s">
        <v>9</v>
      </c>
      <c r="E333" s="29" t="s">
        <v>21</v>
      </c>
      <c r="F333" s="29" t="s">
        <v>20</v>
      </c>
      <c r="G333" s="28">
        <v>1200</v>
      </c>
      <c r="H333" s="28">
        <v>1</v>
      </c>
      <c r="I333" s="30">
        <f>TownTeam1[[#This Row],[Selling price]]*TownTeam1[[#This Row],[Item quantity]]</f>
        <v>1200</v>
      </c>
      <c r="J333" s="30">
        <f>IF(TownTeam1[[#This Row],[Item name]]=" Jeans - Denim",TownTeam1[[#This Row],[Total sales]]*0.85,TownTeam1[[#This Row],[Total sales]])</f>
        <v>1200</v>
      </c>
    </row>
    <row r="334" spans="2:10" x14ac:dyDescent="0.25">
      <c r="B334" s="28">
        <v>330</v>
      </c>
      <c r="C334" s="35">
        <v>43795</v>
      </c>
      <c r="D334" s="29" t="s">
        <v>9</v>
      </c>
      <c r="E334" s="29" t="s">
        <v>14</v>
      </c>
      <c r="F334" s="29" t="s">
        <v>11</v>
      </c>
      <c r="G334" s="28">
        <v>900</v>
      </c>
      <c r="H334" s="28">
        <v>1</v>
      </c>
      <c r="I334" s="30">
        <f>TownTeam1[[#This Row],[Selling price]]*TownTeam1[[#This Row],[Item quantity]]</f>
        <v>900</v>
      </c>
      <c r="J334" s="30">
        <f>IF(TownTeam1[[#This Row],[Item name]]=" Jeans - Denim",TownTeam1[[#This Row],[Total sales]]*0.85,TownTeam1[[#This Row],[Total sales]])</f>
        <v>900</v>
      </c>
    </row>
    <row r="335" spans="2:10" x14ac:dyDescent="0.25">
      <c r="B335" s="28">
        <v>331</v>
      </c>
      <c r="C335" s="35">
        <v>43796</v>
      </c>
      <c r="D335" s="29" t="s">
        <v>9</v>
      </c>
      <c r="E335" s="29" t="s">
        <v>24</v>
      </c>
      <c r="F335" s="29" t="s">
        <v>23</v>
      </c>
      <c r="G335" s="28">
        <v>600</v>
      </c>
      <c r="H335" s="28">
        <v>1</v>
      </c>
      <c r="I335" s="30">
        <f>TownTeam1[[#This Row],[Selling price]]*TownTeam1[[#This Row],[Item quantity]]</f>
        <v>600</v>
      </c>
      <c r="J335" s="30">
        <f>IF(TownTeam1[[#This Row],[Item name]]=" Jeans - Denim",TownTeam1[[#This Row],[Total sales]]*0.85,TownTeam1[[#This Row],[Total sales]])</f>
        <v>600</v>
      </c>
    </row>
    <row r="336" spans="2:10" x14ac:dyDescent="0.25">
      <c r="B336" s="28">
        <v>332</v>
      </c>
      <c r="C336" s="35">
        <v>43797</v>
      </c>
      <c r="D336" s="29" t="s">
        <v>9</v>
      </c>
      <c r="E336" s="29" t="s">
        <v>10</v>
      </c>
      <c r="F336" s="29" t="s">
        <v>11</v>
      </c>
      <c r="G336" s="28">
        <v>1100</v>
      </c>
      <c r="H336" s="28">
        <v>2</v>
      </c>
      <c r="I336" s="30">
        <f>TownTeam1[[#This Row],[Selling price]]*TownTeam1[[#This Row],[Item quantity]]</f>
        <v>2200</v>
      </c>
      <c r="J336" s="30">
        <f>IF(TownTeam1[[#This Row],[Item name]]=" Jeans - Denim",TownTeam1[[#This Row],[Total sales]]*0.85,TownTeam1[[#This Row],[Total sales]])</f>
        <v>2200</v>
      </c>
    </row>
    <row r="337" spans="2:10" x14ac:dyDescent="0.25">
      <c r="B337" s="28">
        <v>333</v>
      </c>
      <c r="C337" s="35">
        <v>43798</v>
      </c>
      <c r="D337" s="29" t="s">
        <v>9</v>
      </c>
      <c r="E337" s="29" t="s">
        <v>15</v>
      </c>
      <c r="F337" s="29" t="s">
        <v>11</v>
      </c>
      <c r="G337" s="28">
        <v>1000</v>
      </c>
      <c r="H337" s="28">
        <v>1</v>
      </c>
      <c r="I337" s="30">
        <f>TownTeam1[[#This Row],[Selling price]]*TownTeam1[[#This Row],[Item quantity]]</f>
        <v>1000</v>
      </c>
      <c r="J337" s="30">
        <f>IF(TownTeam1[[#This Row],[Item name]]=" Jeans - Denim",TownTeam1[[#This Row],[Total sales]]*0.85,TownTeam1[[#This Row],[Total sales]])</f>
        <v>1000</v>
      </c>
    </row>
    <row r="338" spans="2:10" x14ac:dyDescent="0.25">
      <c r="B338" s="28">
        <v>334</v>
      </c>
      <c r="C338" s="35">
        <v>43799</v>
      </c>
      <c r="D338" s="29" t="s">
        <v>9</v>
      </c>
      <c r="E338" s="29" t="s">
        <v>15</v>
      </c>
      <c r="F338" s="29" t="s">
        <v>11</v>
      </c>
      <c r="G338" s="28">
        <v>1000</v>
      </c>
      <c r="H338" s="28">
        <v>1</v>
      </c>
      <c r="I338" s="30">
        <f>TownTeam1[[#This Row],[Selling price]]*TownTeam1[[#This Row],[Item quantity]]</f>
        <v>1000</v>
      </c>
      <c r="J338" s="30">
        <f>IF(TownTeam1[[#This Row],[Item name]]=" Jeans - Denim",TownTeam1[[#This Row],[Total sales]]*0.85,TownTeam1[[#This Row],[Total sales]])</f>
        <v>1000</v>
      </c>
    </row>
    <row r="339" spans="2:10" x14ac:dyDescent="0.25">
      <c r="B339" s="28">
        <v>335</v>
      </c>
      <c r="C339" s="35">
        <v>43800</v>
      </c>
      <c r="D339" s="29" t="s">
        <v>9</v>
      </c>
      <c r="E339" s="29" t="s">
        <v>22</v>
      </c>
      <c r="F339" s="29" t="s">
        <v>23</v>
      </c>
      <c r="G339" s="28">
        <v>500</v>
      </c>
      <c r="H339" s="28">
        <v>1</v>
      </c>
      <c r="I339" s="30">
        <f>TownTeam1[[#This Row],[Selling price]]*TownTeam1[[#This Row],[Item quantity]]</f>
        <v>500</v>
      </c>
      <c r="J339" s="30">
        <f>IF(TownTeam1[[#This Row],[Item name]]=" Jeans - Denim",TownTeam1[[#This Row],[Total sales]]*0.85,TownTeam1[[#This Row],[Total sales]])</f>
        <v>500</v>
      </c>
    </row>
    <row r="340" spans="2:10" x14ac:dyDescent="0.25">
      <c r="B340" s="28">
        <v>336</v>
      </c>
      <c r="C340" s="35">
        <v>43801</v>
      </c>
      <c r="D340" s="29" t="s">
        <v>9</v>
      </c>
      <c r="E340" s="29" t="s">
        <v>15</v>
      </c>
      <c r="F340" s="29" t="s">
        <v>11</v>
      </c>
      <c r="G340" s="28">
        <v>1000</v>
      </c>
      <c r="H340" s="28">
        <v>1</v>
      </c>
      <c r="I340" s="30">
        <f>TownTeam1[[#This Row],[Selling price]]*TownTeam1[[#This Row],[Item quantity]]</f>
        <v>1000</v>
      </c>
      <c r="J340" s="30">
        <f>IF(TownTeam1[[#This Row],[Item name]]=" Jeans - Denim",TownTeam1[[#This Row],[Total sales]]*0.85,TownTeam1[[#This Row],[Total sales]])</f>
        <v>1000</v>
      </c>
    </row>
    <row r="341" spans="2:10" x14ac:dyDescent="0.25">
      <c r="B341" s="28">
        <v>337</v>
      </c>
      <c r="C341" s="35">
        <v>43802</v>
      </c>
      <c r="D341" s="29" t="s">
        <v>9</v>
      </c>
      <c r="E341" s="29" t="s">
        <v>21</v>
      </c>
      <c r="F341" s="29" t="s">
        <v>20</v>
      </c>
      <c r="G341" s="28">
        <v>1200</v>
      </c>
      <c r="H341" s="28">
        <v>1</v>
      </c>
      <c r="I341" s="30">
        <f>TownTeam1[[#This Row],[Selling price]]*TownTeam1[[#This Row],[Item quantity]]</f>
        <v>1200</v>
      </c>
      <c r="J341" s="30">
        <f>IF(TownTeam1[[#This Row],[Item name]]=" Jeans - Denim",TownTeam1[[#This Row],[Total sales]]*0.85,TownTeam1[[#This Row],[Total sales]])</f>
        <v>1200</v>
      </c>
    </row>
    <row r="342" spans="2:10" x14ac:dyDescent="0.25">
      <c r="B342" s="28">
        <v>338</v>
      </c>
      <c r="C342" s="35">
        <v>43803</v>
      </c>
      <c r="D342" s="29" t="s">
        <v>9</v>
      </c>
      <c r="E342" s="29" t="s">
        <v>21</v>
      </c>
      <c r="F342" s="29" t="s">
        <v>20</v>
      </c>
      <c r="G342" s="28">
        <v>1006</v>
      </c>
      <c r="H342" s="28">
        <v>1</v>
      </c>
      <c r="I342" s="30">
        <f>TownTeam1[[#This Row],[Selling price]]*TownTeam1[[#This Row],[Item quantity]]</f>
        <v>1006</v>
      </c>
      <c r="J342" s="30">
        <f>IF(TownTeam1[[#This Row],[Item name]]=" Jeans - Denim",TownTeam1[[#This Row],[Total sales]]*0.85,TownTeam1[[#This Row],[Total sales]])</f>
        <v>1006</v>
      </c>
    </row>
    <row r="343" spans="2:10" x14ac:dyDescent="0.25">
      <c r="B343" s="28">
        <v>339</v>
      </c>
      <c r="C343" s="35">
        <v>43804</v>
      </c>
      <c r="D343" s="29" t="s">
        <v>9</v>
      </c>
      <c r="E343" s="29" t="s">
        <v>12</v>
      </c>
      <c r="F343" s="29" t="s">
        <v>11</v>
      </c>
      <c r="G343" s="28">
        <v>1002</v>
      </c>
      <c r="H343" s="28">
        <v>1</v>
      </c>
      <c r="I343" s="30">
        <f>TownTeam1[[#This Row],[Selling price]]*TownTeam1[[#This Row],[Item quantity]]</f>
        <v>1002</v>
      </c>
      <c r="J343" s="30">
        <f>IF(TownTeam1[[#This Row],[Item name]]=" Jeans - Denim",TownTeam1[[#This Row],[Total sales]]*0.85,TownTeam1[[#This Row],[Total sales]])</f>
        <v>851.69999999999993</v>
      </c>
    </row>
    <row r="344" spans="2:10" x14ac:dyDescent="0.25">
      <c r="B344" s="28">
        <v>340</v>
      </c>
      <c r="C344" s="35">
        <v>43805</v>
      </c>
      <c r="D344" s="29" t="s">
        <v>9</v>
      </c>
      <c r="E344" s="29" t="s">
        <v>15</v>
      </c>
      <c r="F344" s="29" t="s">
        <v>11</v>
      </c>
      <c r="G344" s="28">
        <v>1002</v>
      </c>
      <c r="H344" s="28">
        <v>1</v>
      </c>
      <c r="I344" s="30">
        <f>TownTeam1[[#This Row],[Selling price]]*TownTeam1[[#This Row],[Item quantity]]</f>
        <v>1002</v>
      </c>
      <c r="J344" s="30">
        <f>IF(TownTeam1[[#This Row],[Item name]]=" Jeans - Denim",TownTeam1[[#This Row],[Total sales]]*0.85,TownTeam1[[#This Row],[Total sales]])</f>
        <v>1002</v>
      </c>
    </row>
    <row r="345" spans="2:10" x14ac:dyDescent="0.25">
      <c r="B345" s="28">
        <v>341</v>
      </c>
      <c r="C345" s="35">
        <v>43806</v>
      </c>
      <c r="D345" s="29" t="s">
        <v>9</v>
      </c>
      <c r="E345" s="29" t="s">
        <v>18</v>
      </c>
      <c r="F345" s="29" t="s">
        <v>17</v>
      </c>
      <c r="G345" s="28">
        <v>649</v>
      </c>
      <c r="H345" s="28">
        <v>1</v>
      </c>
      <c r="I345" s="30">
        <f>TownTeam1[[#This Row],[Selling price]]*TownTeam1[[#This Row],[Item quantity]]</f>
        <v>649</v>
      </c>
      <c r="J345" s="30">
        <f>IF(TownTeam1[[#This Row],[Item name]]=" Jeans - Denim",TownTeam1[[#This Row],[Total sales]]*0.85,TownTeam1[[#This Row],[Total sales]])</f>
        <v>649</v>
      </c>
    </row>
    <row r="346" spans="2:10" x14ac:dyDescent="0.25">
      <c r="B346" s="28">
        <v>342</v>
      </c>
      <c r="C346" s="35">
        <v>43807</v>
      </c>
      <c r="D346" s="29" t="s">
        <v>9</v>
      </c>
      <c r="E346" s="29" t="s">
        <v>18</v>
      </c>
      <c r="F346" s="29" t="s">
        <v>17</v>
      </c>
      <c r="G346" s="28">
        <v>649</v>
      </c>
      <c r="H346" s="28">
        <v>1</v>
      </c>
      <c r="I346" s="30">
        <f>TownTeam1[[#This Row],[Selling price]]*TownTeam1[[#This Row],[Item quantity]]</f>
        <v>649</v>
      </c>
      <c r="J346" s="30">
        <f>IF(TownTeam1[[#This Row],[Item name]]=" Jeans - Denim",TownTeam1[[#This Row],[Total sales]]*0.85,TownTeam1[[#This Row],[Total sales]])</f>
        <v>649</v>
      </c>
    </row>
    <row r="347" spans="2:10" x14ac:dyDescent="0.25">
      <c r="B347" s="28">
        <v>343</v>
      </c>
      <c r="C347" s="35">
        <v>43808</v>
      </c>
      <c r="D347" s="29" t="s">
        <v>9</v>
      </c>
      <c r="E347" s="29" t="s">
        <v>15</v>
      </c>
      <c r="F347" s="29" t="s">
        <v>11</v>
      </c>
      <c r="G347" s="28">
        <v>1002</v>
      </c>
      <c r="H347" s="28">
        <v>1</v>
      </c>
      <c r="I347" s="30">
        <f>TownTeam1[[#This Row],[Selling price]]*TownTeam1[[#This Row],[Item quantity]]</f>
        <v>1002</v>
      </c>
      <c r="J347" s="30">
        <f>IF(TownTeam1[[#This Row],[Item name]]=" Jeans - Denim",TownTeam1[[#This Row],[Total sales]]*0.85,TownTeam1[[#This Row],[Total sales]])</f>
        <v>1002</v>
      </c>
    </row>
    <row r="348" spans="2:10" x14ac:dyDescent="0.25">
      <c r="B348" s="28">
        <v>344</v>
      </c>
      <c r="C348" s="35">
        <v>43809</v>
      </c>
      <c r="D348" s="29" t="s">
        <v>9</v>
      </c>
      <c r="E348" s="29" t="s">
        <v>14</v>
      </c>
      <c r="F348" s="29" t="s">
        <v>11</v>
      </c>
      <c r="G348" s="28">
        <v>900</v>
      </c>
      <c r="H348" s="28">
        <v>2</v>
      </c>
      <c r="I348" s="30">
        <f>TownTeam1[[#This Row],[Selling price]]*TownTeam1[[#This Row],[Item quantity]]</f>
        <v>1800</v>
      </c>
      <c r="J348" s="30">
        <f>IF(TownTeam1[[#This Row],[Item name]]=" Jeans - Denim",TownTeam1[[#This Row],[Total sales]]*0.85,TownTeam1[[#This Row],[Total sales]])</f>
        <v>1800</v>
      </c>
    </row>
    <row r="349" spans="2:10" x14ac:dyDescent="0.25">
      <c r="B349" s="28">
        <v>345</v>
      </c>
      <c r="C349" s="35">
        <v>43810</v>
      </c>
      <c r="D349" s="29" t="s">
        <v>9</v>
      </c>
      <c r="E349" s="29" t="s">
        <v>10</v>
      </c>
      <c r="F349" s="29" t="s">
        <v>11</v>
      </c>
      <c r="G349" s="28">
        <v>1100</v>
      </c>
      <c r="H349" s="28">
        <v>2</v>
      </c>
      <c r="I349" s="30">
        <f>TownTeam1[[#This Row],[Selling price]]*TownTeam1[[#This Row],[Item quantity]]</f>
        <v>2200</v>
      </c>
      <c r="J349" s="30">
        <f>IF(TownTeam1[[#This Row],[Item name]]=" Jeans - Denim",TownTeam1[[#This Row],[Total sales]]*0.85,TownTeam1[[#This Row],[Total sales]])</f>
        <v>2200</v>
      </c>
    </row>
    <row r="350" spans="2:10" x14ac:dyDescent="0.25">
      <c r="B350" s="28">
        <v>346</v>
      </c>
      <c r="C350" s="35">
        <v>43811</v>
      </c>
      <c r="D350" s="29" t="s">
        <v>13</v>
      </c>
      <c r="E350" s="29" t="s">
        <v>14</v>
      </c>
      <c r="F350" s="29" t="s">
        <v>11</v>
      </c>
      <c r="G350" s="28">
        <v>900</v>
      </c>
      <c r="H350" s="28">
        <v>2</v>
      </c>
      <c r="I350" s="30">
        <f>TownTeam1[[#This Row],[Selling price]]*TownTeam1[[#This Row],[Item quantity]]</f>
        <v>1800</v>
      </c>
      <c r="J350" s="30">
        <f>IF(TownTeam1[[#This Row],[Item name]]=" Jeans - Denim",TownTeam1[[#This Row],[Total sales]]*0.85,TownTeam1[[#This Row],[Total sales]])</f>
        <v>1800</v>
      </c>
    </row>
    <row r="351" spans="2:10" x14ac:dyDescent="0.25">
      <c r="B351" s="28">
        <v>347</v>
      </c>
      <c r="C351" s="35">
        <v>43812</v>
      </c>
      <c r="D351" s="29" t="s">
        <v>9</v>
      </c>
      <c r="E351" s="29" t="s">
        <v>22</v>
      </c>
      <c r="F351" s="29" t="s">
        <v>23</v>
      </c>
      <c r="G351" s="28">
        <v>800</v>
      </c>
      <c r="H351" s="28">
        <v>1</v>
      </c>
      <c r="I351" s="30">
        <f>TownTeam1[[#This Row],[Selling price]]*TownTeam1[[#This Row],[Item quantity]]</f>
        <v>800</v>
      </c>
      <c r="J351" s="30">
        <f>IF(TownTeam1[[#This Row],[Item name]]=" Jeans - Denim",TownTeam1[[#This Row],[Total sales]]*0.85,TownTeam1[[#This Row],[Total sales]])</f>
        <v>800</v>
      </c>
    </row>
    <row r="352" spans="2:10" x14ac:dyDescent="0.25">
      <c r="B352" s="28">
        <v>348</v>
      </c>
      <c r="C352" s="35">
        <v>43813</v>
      </c>
      <c r="D352" s="29" t="s">
        <v>9</v>
      </c>
      <c r="E352" s="29" t="s">
        <v>10</v>
      </c>
      <c r="F352" s="29" t="s">
        <v>11</v>
      </c>
      <c r="G352" s="28">
        <v>1100</v>
      </c>
      <c r="H352" s="28">
        <v>1</v>
      </c>
      <c r="I352" s="30">
        <f>TownTeam1[[#This Row],[Selling price]]*TownTeam1[[#This Row],[Item quantity]]</f>
        <v>1100</v>
      </c>
      <c r="J352" s="30">
        <f>IF(TownTeam1[[#This Row],[Item name]]=" Jeans - Denim",TownTeam1[[#This Row],[Total sales]]*0.85,TownTeam1[[#This Row],[Total sales]])</f>
        <v>1100</v>
      </c>
    </row>
    <row r="353" spans="2:10" x14ac:dyDescent="0.25">
      <c r="B353" s="28">
        <v>349</v>
      </c>
      <c r="C353" s="35">
        <v>43814</v>
      </c>
      <c r="D353" s="29" t="s">
        <v>9</v>
      </c>
      <c r="E353" s="29" t="s">
        <v>24</v>
      </c>
      <c r="F353" s="29" t="s">
        <v>23</v>
      </c>
      <c r="G353" s="28">
        <v>600</v>
      </c>
      <c r="H353" s="28">
        <v>1</v>
      </c>
      <c r="I353" s="30">
        <f>TownTeam1[[#This Row],[Selling price]]*TownTeam1[[#This Row],[Item quantity]]</f>
        <v>600</v>
      </c>
      <c r="J353" s="30">
        <f>IF(TownTeam1[[#This Row],[Item name]]=" Jeans - Denim",TownTeam1[[#This Row],[Total sales]]*0.85,TownTeam1[[#This Row],[Total sales]])</f>
        <v>600</v>
      </c>
    </row>
    <row r="354" spans="2:10" x14ac:dyDescent="0.25">
      <c r="B354" s="28">
        <v>350</v>
      </c>
      <c r="C354" s="35">
        <v>43815</v>
      </c>
      <c r="D354" s="29" t="s">
        <v>13</v>
      </c>
      <c r="E354" s="29" t="s">
        <v>10</v>
      </c>
      <c r="F354" s="29" t="s">
        <v>11</v>
      </c>
      <c r="G354" s="28">
        <v>1100</v>
      </c>
      <c r="H354" s="28">
        <v>3</v>
      </c>
      <c r="I354" s="30">
        <f>TownTeam1[[#This Row],[Selling price]]*TownTeam1[[#This Row],[Item quantity]]</f>
        <v>3300</v>
      </c>
      <c r="J354" s="30">
        <f>IF(TownTeam1[[#This Row],[Item name]]=" Jeans - Denim",TownTeam1[[#This Row],[Total sales]]*0.85,TownTeam1[[#This Row],[Total sales]])</f>
        <v>3300</v>
      </c>
    </row>
    <row r="355" spans="2:10" x14ac:dyDescent="0.25">
      <c r="B355" s="28">
        <v>351</v>
      </c>
      <c r="C355" s="35">
        <v>43816</v>
      </c>
      <c r="D355" s="29" t="s">
        <v>13</v>
      </c>
      <c r="E355" s="29" t="s">
        <v>19</v>
      </c>
      <c r="F355" s="29" t="s">
        <v>20</v>
      </c>
      <c r="G355" s="28">
        <v>850</v>
      </c>
      <c r="H355" s="28">
        <v>1</v>
      </c>
      <c r="I355" s="30">
        <f>TownTeam1[[#This Row],[Selling price]]*TownTeam1[[#This Row],[Item quantity]]</f>
        <v>850</v>
      </c>
      <c r="J355" s="30">
        <f>IF(TownTeam1[[#This Row],[Item name]]=" Jeans - Denim",TownTeam1[[#This Row],[Total sales]]*0.85,TownTeam1[[#This Row],[Total sales]])</f>
        <v>850</v>
      </c>
    </row>
    <row r="356" spans="2:10" x14ac:dyDescent="0.25">
      <c r="B356" s="28">
        <v>352</v>
      </c>
      <c r="C356" s="35">
        <v>43817</v>
      </c>
      <c r="D356" s="29" t="s">
        <v>13</v>
      </c>
      <c r="E356" s="29" t="s">
        <v>24</v>
      </c>
      <c r="F356" s="29" t="s">
        <v>23</v>
      </c>
      <c r="G356" s="28">
        <v>600</v>
      </c>
      <c r="H356" s="28">
        <v>1</v>
      </c>
      <c r="I356" s="30">
        <f>TownTeam1[[#This Row],[Selling price]]*TownTeam1[[#This Row],[Item quantity]]</f>
        <v>600</v>
      </c>
      <c r="J356" s="30">
        <f>IF(TownTeam1[[#This Row],[Item name]]=" Jeans - Denim",TownTeam1[[#This Row],[Total sales]]*0.85,TownTeam1[[#This Row],[Total sales]])</f>
        <v>600</v>
      </c>
    </row>
    <row r="357" spans="2:10" x14ac:dyDescent="0.25">
      <c r="B357" s="28">
        <v>353</v>
      </c>
      <c r="C357" s="35">
        <v>43818</v>
      </c>
      <c r="D357" s="29" t="s">
        <v>13</v>
      </c>
      <c r="E357" s="29" t="s">
        <v>24</v>
      </c>
      <c r="F357" s="29" t="s">
        <v>23</v>
      </c>
      <c r="G357" s="28">
        <v>600</v>
      </c>
      <c r="H357" s="28">
        <v>1</v>
      </c>
      <c r="I357" s="30">
        <f>TownTeam1[[#This Row],[Selling price]]*TownTeam1[[#This Row],[Item quantity]]</f>
        <v>600</v>
      </c>
      <c r="J357" s="30">
        <f>IF(TownTeam1[[#This Row],[Item name]]=" Jeans - Denim",TownTeam1[[#This Row],[Total sales]]*0.85,TownTeam1[[#This Row],[Total sales]])</f>
        <v>600</v>
      </c>
    </row>
    <row r="358" spans="2:10" x14ac:dyDescent="0.25">
      <c r="B358" s="28">
        <v>354</v>
      </c>
      <c r="C358" s="35">
        <v>43819</v>
      </c>
      <c r="D358" s="29" t="s">
        <v>9</v>
      </c>
      <c r="E358" s="29" t="s">
        <v>10</v>
      </c>
      <c r="F358" s="29" t="s">
        <v>11</v>
      </c>
      <c r="G358" s="28">
        <v>1100</v>
      </c>
      <c r="H358" s="28">
        <v>1</v>
      </c>
      <c r="I358" s="30">
        <f>TownTeam1[[#This Row],[Selling price]]*TownTeam1[[#This Row],[Item quantity]]</f>
        <v>1100</v>
      </c>
      <c r="J358" s="30">
        <f>IF(TownTeam1[[#This Row],[Item name]]=" Jeans - Denim",TownTeam1[[#This Row],[Total sales]]*0.85,TownTeam1[[#This Row],[Total sales]])</f>
        <v>1100</v>
      </c>
    </row>
    <row r="359" spans="2:10" x14ac:dyDescent="0.25">
      <c r="B359" s="28">
        <v>355</v>
      </c>
      <c r="C359" s="35">
        <v>43820</v>
      </c>
      <c r="D359" s="29" t="s">
        <v>9</v>
      </c>
      <c r="E359" s="29" t="s">
        <v>15</v>
      </c>
      <c r="F359" s="29" t="s">
        <v>11</v>
      </c>
      <c r="G359" s="28">
        <v>1000</v>
      </c>
      <c r="H359" s="28">
        <v>1</v>
      </c>
      <c r="I359" s="30">
        <f>TownTeam1[[#This Row],[Selling price]]*TownTeam1[[#This Row],[Item quantity]]</f>
        <v>1000</v>
      </c>
      <c r="J359" s="30">
        <f>IF(TownTeam1[[#This Row],[Item name]]=" Jeans - Denim",TownTeam1[[#This Row],[Total sales]]*0.85,TownTeam1[[#This Row],[Total sales]])</f>
        <v>1000</v>
      </c>
    </row>
    <row r="360" spans="2:10" x14ac:dyDescent="0.25">
      <c r="B360" s="28">
        <v>356</v>
      </c>
      <c r="C360" s="35">
        <v>43821</v>
      </c>
      <c r="D360" s="29" t="s">
        <v>9</v>
      </c>
      <c r="E360" s="29" t="s">
        <v>14</v>
      </c>
      <c r="F360" s="29" t="s">
        <v>11</v>
      </c>
      <c r="G360" s="28">
        <v>900</v>
      </c>
      <c r="H360" s="28">
        <v>1</v>
      </c>
      <c r="I360" s="30">
        <f>TownTeam1[[#This Row],[Selling price]]*TownTeam1[[#This Row],[Item quantity]]</f>
        <v>900</v>
      </c>
      <c r="J360" s="30">
        <f>IF(TownTeam1[[#This Row],[Item name]]=" Jeans - Denim",TownTeam1[[#This Row],[Total sales]]*0.85,TownTeam1[[#This Row],[Total sales]])</f>
        <v>900</v>
      </c>
    </row>
    <row r="361" spans="2:10" x14ac:dyDescent="0.25">
      <c r="B361" s="28">
        <v>357</v>
      </c>
      <c r="C361" s="35">
        <v>43822</v>
      </c>
      <c r="D361" s="29" t="s">
        <v>9</v>
      </c>
      <c r="E361" s="29" t="s">
        <v>24</v>
      </c>
      <c r="F361" s="29" t="s">
        <v>23</v>
      </c>
      <c r="G361" s="28">
        <v>600</v>
      </c>
      <c r="H361" s="28">
        <v>1</v>
      </c>
      <c r="I361" s="30">
        <f>TownTeam1[[#This Row],[Selling price]]*TownTeam1[[#This Row],[Item quantity]]</f>
        <v>600</v>
      </c>
      <c r="J361" s="30">
        <f>IF(TownTeam1[[#This Row],[Item name]]=" Jeans - Denim",TownTeam1[[#This Row],[Total sales]]*0.85,TownTeam1[[#This Row],[Total sales]])</f>
        <v>600</v>
      </c>
    </row>
    <row r="362" spans="2:10" x14ac:dyDescent="0.25">
      <c r="B362" s="28">
        <v>358</v>
      </c>
      <c r="C362" s="35">
        <v>43823</v>
      </c>
      <c r="D362" s="29" t="s">
        <v>9</v>
      </c>
      <c r="E362" s="29" t="s">
        <v>14</v>
      </c>
      <c r="F362" s="29" t="s">
        <v>11</v>
      </c>
      <c r="G362" s="28">
        <v>900</v>
      </c>
      <c r="H362" s="28">
        <v>1</v>
      </c>
      <c r="I362" s="30">
        <f>TownTeam1[[#This Row],[Selling price]]*TownTeam1[[#This Row],[Item quantity]]</f>
        <v>900</v>
      </c>
      <c r="J362" s="30">
        <f>IF(TownTeam1[[#This Row],[Item name]]=" Jeans - Denim",TownTeam1[[#This Row],[Total sales]]*0.85,TownTeam1[[#This Row],[Total sales]])</f>
        <v>900</v>
      </c>
    </row>
    <row r="363" spans="2:10" x14ac:dyDescent="0.25">
      <c r="B363" s="28">
        <v>359</v>
      </c>
      <c r="C363" s="35">
        <v>43824</v>
      </c>
      <c r="D363" s="29" t="s">
        <v>9</v>
      </c>
      <c r="E363" s="29" t="s">
        <v>18</v>
      </c>
      <c r="F363" s="29" t="s">
        <v>17</v>
      </c>
      <c r="G363" s="28">
        <v>600</v>
      </c>
      <c r="H363" s="28">
        <v>1</v>
      </c>
      <c r="I363" s="30">
        <f>TownTeam1[[#This Row],[Selling price]]*TownTeam1[[#This Row],[Item quantity]]</f>
        <v>600</v>
      </c>
      <c r="J363" s="30">
        <f>IF(TownTeam1[[#This Row],[Item name]]=" Jeans - Denim",TownTeam1[[#This Row],[Total sales]]*0.85,TownTeam1[[#This Row],[Total sales]])</f>
        <v>600</v>
      </c>
    </row>
    <row r="364" spans="2:10" x14ac:dyDescent="0.25">
      <c r="B364" s="28">
        <v>360</v>
      </c>
      <c r="C364" s="35">
        <v>43825</v>
      </c>
      <c r="D364" s="29" t="s">
        <v>9</v>
      </c>
      <c r="E364" s="29" t="s">
        <v>12</v>
      </c>
      <c r="F364" s="29" t="s">
        <v>11</v>
      </c>
      <c r="G364" s="28">
        <v>900</v>
      </c>
      <c r="H364" s="28">
        <v>1</v>
      </c>
      <c r="I364" s="30">
        <f>TownTeam1[[#This Row],[Selling price]]*TownTeam1[[#This Row],[Item quantity]]</f>
        <v>900</v>
      </c>
      <c r="J364" s="30">
        <f>IF(TownTeam1[[#This Row],[Item name]]=" Jeans - Denim",TownTeam1[[#This Row],[Total sales]]*0.85,TownTeam1[[#This Row],[Total sales]])</f>
        <v>765</v>
      </c>
    </row>
    <row r="365" spans="2:10" x14ac:dyDescent="0.25">
      <c r="B365" s="28">
        <v>361</v>
      </c>
      <c r="C365" s="35">
        <v>43826</v>
      </c>
      <c r="D365" s="29" t="s">
        <v>9</v>
      </c>
      <c r="E365" s="29" t="s">
        <v>18</v>
      </c>
      <c r="F365" s="29" t="s">
        <v>17</v>
      </c>
      <c r="G365" s="28">
        <v>600</v>
      </c>
      <c r="H365" s="28">
        <v>1</v>
      </c>
      <c r="I365" s="30">
        <f>TownTeam1[[#This Row],[Selling price]]*TownTeam1[[#This Row],[Item quantity]]</f>
        <v>600</v>
      </c>
      <c r="J365" s="30">
        <f>IF(TownTeam1[[#This Row],[Item name]]=" Jeans - Denim",TownTeam1[[#This Row],[Total sales]]*0.85,TownTeam1[[#This Row],[Total sales]])</f>
        <v>600</v>
      </c>
    </row>
    <row r="366" spans="2:10" x14ac:dyDescent="0.25">
      <c r="B366" s="28">
        <v>362</v>
      </c>
      <c r="C366" s="35">
        <v>43827</v>
      </c>
      <c r="D366" s="29" t="s">
        <v>9</v>
      </c>
      <c r="E366" s="29" t="s">
        <v>14</v>
      </c>
      <c r="F366" s="29" t="s">
        <v>11</v>
      </c>
      <c r="G366" s="28">
        <v>900</v>
      </c>
      <c r="H366" s="28">
        <v>1</v>
      </c>
      <c r="I366" s="30">
        <f>TownTeam1[[#This Row],[Selling price]]*TownTeam1[[#This Row],[Item quantity]]</f>
        <v>900</v>
      </c>
      <c r="J366" s="30">
        <f>IF(TownTeam1[[#This Row],[Item name]]=" Jeans - Denim",TownTeam1[[#This Row],[Total sales]]*0.85,TownTeam1[[#This Row],[Total sales]])</f>
        <v>900</v>
      </c>
    </row>
    <row r="367" spans="2:10" x14ac:dyDescent="0.25">
      <c r="B367" s="28">
        <v>363</v>
      </c>
      <c r="C367" s="35">
        <v>43828</v>
      </c>
      <c r="D367" s="29" t="s">
        <v>9</v>
      </c>
      <c r="E367" s="29" t="s">
        <v>24</v>
      </c>
      <c r="F367" s="29" t="s">
        <v>23</v>
      </c>
      <c r="G367" s="28">
        <v>600</v>
      </c>
      <c r="H367" s="28">
        <v>1</v>
      </c>
      <c r="I367" s="30">
        <f>TownTeam1[[#This Row],[Selling price]]*TownTeam1[[#This Row],[Item quantity]]</f>
        <v>600</v>
      </c>
      <c r="J367" s="30">
        <f>IF(TownTeam1[[#This Row],[Item name]]=" Jeans - Denim",TownTeam1[[#This Row],[Total sales]]*0.85,TownTeam1[[#This Row],[Total sales]])</f>
        <v>600</v>
      </c>
    </row>
    <row r="368" spans="2:10" x14ac:dyDescent="0.25">
      <c r="B368" s="28">
        <v>364</v>
      </c>
      <c r="C368" s="35">
        <v>43829</v>
      </c>
      <c r="D368" s="29" t="s">
        <v>9</v>
      </c>
      <c r="E368" s="29" t="s">
        <v>10</v>
      </c>
      <c r="F368" s="29" t="s">
        <v>11</v>
      </c>
      <c r="G368" s="28">
        <v>1100</v>
      </c>
      <c r="H368" s="28">
        <v>2</v>
      </c>
      <c r="I368" s="30">
        <f>TownTeam1[[#This Row],[Selling price]]*TownTeam1[[#This Row],[Item quantity]]</f>
        <v>2200</v>
      </c>
      <c r="J368" s="30">
        <f>IF(TownTeam1[[#This Row],[Item name]]=" Jeans - Denim",TownTeam1[[#This Row],[Total sales]]*0.85,TownTeam1[[#This Row],[Total sales]])</f>
        <v>2200</v>
      </c>
    </row>
    <row r="369" spans="2:10" x14ac:dyDescent="0.25">
      <c r="B369" s="28">
        <v>365</v>
      </c>
      <c r="C369" s="35">
        <v>43830</v>
      </c>
      <c r="D369" s="29" t="s">
        <v>9</v>
      </c>
      <c r="E369" s="29" t="s">
        <v>10</v>
      </c>
      <c r="F369" s="29" t="s">
        <v>11</v>
      </c>
      <c r="G369" s="28">
        <v>1100</v>
      </c>
      <c r="H369" s="28">
        <v>1</v>
      </c>
      <c r="I369" s="30">
        <f>TownTeam1[[#This Row],[Selling price]]*TownTeam1[[#This Row],[Item quantity]]</f>
        <v>1100</v>
      </c>
      <c r="J369" s="30">
        <f>IF(TownTeam1[[#This Row],[Item name]]=" Jeans - Denim",TownTeam1[[#This Row],[Total sales]]*0.85,TownTeam1[[#This Row],[Total sales]])</f>
        <v>1100</v>
      </c>
    </row>
    <row r="370" spans="2:10" x14ac:dyDescent="0.25">
      <c r="B370" s="28">
        <v>366</v>
      </c>
      <c r="C370" s="35">
        <v>43831</v>
      </c>
      <c r="D370" s="29" t="s">
        <v>9</v>
      </c>
      <c r="E370" s="29" t="s">
        <v>10</v>
      </c>
      <c r="F370" s="29" t="s">
        <v>11</v>
      </c>
      <c r="G370" s="28">
        <v>1100</v>
      </c>
      <c r="H370" s="28">
        <v>1</v>
      </c>
      <c r="I370" s="30">
        <f>TownTeam1[[#This Row],[Selling price]]*TownTeam1[[#This Row],[Item quantity]]</f>
        <v>1100</v>
      </c>
      <c r="J370" s="30">
        <f>IF(TownTeam1[[#This Row],[Item name]]=" Jeans - Denim",TownTeam1[[#This Row],[Total sales]]*0.85,TownTeam1[[#This Row],[Total sales]])</f>
        <v>1100</v>
      </c>
    </row>
    <row r="371" spans="2:10" x14ac:dyDescent="0.25">
      <c r="B371" s="28">
        <v>367</v>
      </c>
      <c r="C371" s="35">
        <v>43832</v>
      </c>
      <c r="D371" s="29" t="s">
        <v>9</v>
      </c>
      <c r="E371" s="29" t="s">
        <v>18</v>
      </c>
      <c r="F371" s="29" t="s">
        <v>17</v>
      </c>
      <c r="G371" s="28">
        <v>600</v>
      </c>
      <c r="H371" s="28">
        <v>2</v>
      </c>
      <c r="I371" s="30">
        <f>TownTeam1[[#This Row],[Selling price]]*TownTeam1[[#This Row],[Item quantity]]</f>
        <v>1200</v>
      </c>
      <c r="J371" s="30">
        <f>IF(TownTeam1[[#This Row],[Item name]]=" Jeans - Denim",TownTeam1[[#This Row],[Total sales]]*0.85,TownTeam1[[#This Row],[Total sales]])</f>
        <v>1200</v>
      </c>
    </row>
    <row r="372" spans="2:10" x14ac:dyDescent="0.25">
      <c r="B372" s="28">
        <v>368</v>
      </c>
      <c r="C372" s="35">
        <v>43833</v>
      </c>
      <c r="D372" s="29" t="s">
        <v>9</v>
      </c>
      <c r="E372" s="29" t="s">
        <v>10</v>
      </c>
      <c r="F372" s="29" t="s">
        <v>11</v>
      </c>
      <c r="G372" s="28">
        <v>1100</v>
      </c>
      <c r="H372" s="28">
        <v>1</v>
      </c>
      <c r="I372" s="30">
        <f>TownTeam1[[#This Row],[Selling price]]*TownTeam1[[#This Row],[Item quantity]]</f>
        <v>1100</v>
      </c>
      <c r="J372" s="30">
        <f>IF(TownTeam1[[#This Row],[Item name]]=" Jeans - Denim",TownTeam1[[#This Row],[Total sales]]*0.85,TownTeam1[[#This Row],[Total sales]])</f>
        <v>1100</v>
      </c>
    </row>
    <row r="373" spans="2:10" x14ac:dyDescent="0.25">
      <c r="B373" s="28">
        <v>369</v>
      </c>
      <c r="C373" s="35">
        <v>43834</v>
      </c>
      <c r="D373" s="29" t="s">
        <v>9</v>
      </c>
      <c r="E373" s="29" t="s">
        <v>24</v>
      </c>
      <c r="F373" s="29" t="s">
        <v>23</v>
      </c>
      <c r="G373" s="28">
        <v>600</v>
      </c>
      <c r="H373" s="28">
        <v>1</v>
      </c>
      <c r="I373" s="30">
        <f>TownTeam1[[#This Row],[Selling price]]*TownTeam1[[#This Row],[Item quantity]]</f>
        <v>600</v>
      </c>
      <c r="J373" s="30">
        <f>IF(TownTeam1[[#This Row],[Item name]]=" Jeans - Denim",TownTeam1[[#This Row],[Total sales]]*0.85,TownTeam1[[#This Row],[Total sales]])</f>
        <v>600</v>
      </c>
    </row>
    <row r="374" spans="2:10" x14ac:dyDescent="0.25">
      <c r="B374" s="28">
        <v>370</v>
      </c>
      <c r="C374" s="35">
        <v>43835</v>
      </c>
      <c r="D374" s="29" t="s">
        <v>9</v>
      </c>
      <c r="E374" s="29" t="s">
        <v>10</v>
      </c>
      <c r="F374" s="29" t="s">
        <v>11</v>
      </c>
      <c r="G374" s="28">
        <v>1100</v>
      </c>
      <c r="H374" s="28">
        <v>1</v>
      </c>
      <c r="I374" s="30">
        <f>TownTeam1[[#This Row],[Selling price]]*TownTeam1[[#This Row],[Item quantity]]</f>
        <v>1100</v>
      </c>
      <c r="J374" s="30">
        <f>IF(TownTeam1[[#This Row],[Item name]]=" Jeans - Denim",TownTeam1[[#This Row],[Total sales]]*0.85,TownTeam1[[#This Row],[Total sales]])</f>
        <v>1100</v>
      </c>
    </row>
    <row r="375" spans="2:10" x14ac:dyDescent="0.25">
      <c r="B375" s="28">
        <v>371</v>
      </c>
      <c r="C375" s="35">
        <v>43836</v>
      </c>
      <c r="D375" s="29" t="s">
        <v>13</v>
      </c>
      <c r="E375" s="29" t="s">
        <v>18</v>
      </c>
      <c r="F375" s="29" t="s">
        <v>17</v>
      </c>
      <c r="G375" s="28">
        <v>600</v>
      </c>
      <c r="H375" s="28">
        <v>1</v>
      </c>
      <c r="I375" s="30">
        <f>TownTeam1[[#This Row],[Selling price]]*TownTeam1[[#This Row],[Item quantity]]</f>
        <v>600</v>
      </c>
      <c r="J375" s="30">
        <f>IF(TownTeam1[[#This Row],[Item name]]=" Jeans - Denim",TownTeam1[[#This Row],[Total sales]]*0.85,TownTeam1[[#This Row],[Total sales]])</f>
        <v>600</v>
      </c>
    </row>
    <row r="376" spans="2:10" x14ac:dyDescent="0.25">
      <c r="B376" s="28">
        <v>372</v>
      </c>
      <c r="C376" s="35">
        <v>43837</v>
      </c>
      <c r="D376" s="29" t="s">
        <v>13</v>
      </c>
      <c r="E376" s="29" t="s">
        <v>10</v>
      </c>
      <c r="F376" s="29" t="s">
        <v>11</v>
      </c>
      <c r="G376" s="28">
        <v>1100</v>
      </c>
      <c r="H376" s="28">
        <v>1</v>
      </c>
      <c r="I376" s="30">
        <f>TownTeam1[[#This Row],[Selling price]]*TownTeam1[[#This Row],[Item quantity]]</f>
        <v>1100</v>
      </c>
      <c r="J376" s="30">
        <f>IF(TownTeam1[[#This Row],[Item name]]=" Jeans - Denim",TownTeam1[[#This Row],[Total sales]]*0.85,TownTeam1[[#This Row],[Total sales]])</f>
        <v>1100</v>
      </c>
    </row>
    <row r="377" spans="2:10" x14ac:dyDescent="0.25">
      <c r="B377" s="28">
        <v>373</v>
      </c>
      <c r="C377" s="35">
        <v>43838</v>
      </c>
      <c r="D377" s="29" t="s">
        <v>13</v>
      </c>
      <c r="E377" s="29" t="s">
        <v>14</v>
      </c>
      <c r="F377" s="29" t="s">
        <v>11</v>
      </c>
      <c r="G377" s="28">
        <v>900</v>
      </c>
      <c r="H377" s="28">
        <v>1</v>
      </c>
      <c r="I377" s="30">
        <f>TownTeam1[[#This Row],[Selling price]]*TownTeam1[[#This Row],[Item quantity]]</f>
        <v>900</v>
      </c>
      <c r="J377" s="30">
        <f>IF(TownTeam1[[#This Row],[Item name]]=" Jeans - Denim",TownTeam1[[#This Row],[Total sales]]*0.85,TownTeam1[[#This Row],[Total sales]])</f>
        <v>900</v>
      </c>
    </row>
    <row r="378" spans="2:10" x14ac:dyDescent="0.25">
      <c r="B378" s="28">
        <v>374</v>
      </c>
      <c r="C378" s="35">
        <v>43839</v>
      </c>
      <c r="D378" s="29" t="s">
        <v>13</v>
      </c>
      <c r="E378" s="29" t="s">
        <v>21</v>
      </c>
      <c r="F378" s="29" t="s">
        <v>20</v>
      </c>
      <c r="G378" s="28">
        <v>1200</v>
      </c>
      <c r="H378" s="28">
        <v>1</v>
      </c>
      <c r="I378" s="30">
        <f>TownTeam1[[#This Row],[Selling price]]*TownTeam1[[#This Row],[Item quantity]]</f>
        <v>1200</v>
      </c>
      <c r="J378" s="30">
        <f>IF(TownTeam1[[#This Row],[Item name]]=" Jeans - Denim",TownTeam1[[#This Row],[Total sales]]*0.85,TownTeam1[[#This Row],[Total sales]])</f>
        <v>1200</v>
      </c>
    </row>
    <row r="379" spans="2:10" x14ac:dyDescent="0.25">
      <c r="B379" s="28">
        <v>375</v>
      </c>
      <c r="C379" s="35">
        <v>43840</v>
      </c>
      <c r="D379" s="29" t="s">
        <v>13</v>
      </c>
      <c r="E379" s="29" t="s">
        <v>22</v>
      </c>
      <c r="F379" s="29" t="s">
        <v>23</v>
      </c>
      <c r="G379" s="28">
        <v>500</v>
      </c>
      <c r="H379" s="28">
        <v>1</v>
      </c>
      <c r="I379" s="30">
        <f>TownTeam1[[#This Row],[Selling price]]*TownTeam1[[#This Row],[Item quantity]]</f>
        <v>500</v>
      </c>
      <c r="J379" s="30">
        <f>IF(TownTeam1[[#This Row],[Item name]]=" Jeans - Denim",TownTeam1[[#This Row],[Total sales]]*0.85,TownTeam1[[#This Row],[Total sales]])</f>
        <v>500</v>
      </c>
    </row>
    <row r="380" spans="2:10" x14ac:dyDescent="0.25">
      <c r="B380" s="28">
        <v>376</v>
      </c>
      <c r="C380" s="35">
        <v>43841</v>
      </c>
      <c r="D380" s="29" t="s">
        <v>13</v>
      </c>
      <c r="E380" s="29" t="s">
        <v>18</v>
      </c>
      <c r="F380" s="29" t="s">
        <v>17</v>
      </c>
      <c r="G380" s="28">
        <v>600</v>
      </c>
      <c r="H380" s="28">
        <v>1</v>
      </c>
      <c r="I380" s="30">
        <f>TownTeam1[[#This Row],[Selling price]]*TownTeam1[[#This Row],[Item quantity]]</f>
        <v>600</v>
      </c>
      <c r="J380" s="30">
        <f>IF(TownTeam1[[#This Row],[Item name]]=" Jeans - Denim",TownTeam1[[#This Row],[Total sales]]*0.85,TownTeam1[[#This Row],[Total sales]])</f>
        <v>600</v>
      </c>
    </row>
    <row r="381" spans="2:10" x14ac:dyDescent="0.25">
      <c r="B381" s="28">
        <v>377</v>
      </c>
      <c r="C381" s="35">
        <v>43842</v>
      </c>
      <c r="D381" s="29" t="s">
        <v>13</v>
      </c>
      <c r="E381" s="29" t="s">
        <v>18</v>
      </c>
      <c r="F381" s="29" t="s">
        <v>17</v>
      </c>
      <c r="G381" s="28">
        <v>600</v>
      </c>
      <c r="H381" s="28">
        <v>1</v>
      </c>
      <c r="I381" s="30">
        <f>TownTeam1[[#This Row],[Selling price]]*TownTeam1[[#This Row],[Item quantity]]</f>
        <v>600</v>
      </c>
      <c r="J381" s="30">
        <f>IF(TownTeam1[[#This Row],[Item name]]=" Jeans - Denim",TownTeam1[[#This Row],[Total sales]]*0.85,TownTeam1[[#This Row],[Total sales]])</f>
        <v>600</v>
      </c>
    </row>
    <row r="382" spans="2:10" x14ac:dyDescent="0.25">
      <c r="B382" s="28">
        <v>378</v>
      </c>
      <c r="C382" s="35">
        <v>43843</v>
      </c>
      <c r="D382" s="29" t="s">
        <v>13</v>
      </c>
      <c r="E382" s="29" t="s">
        <v>10</v>
      </c>
      <c r="F382" s="29" t="s">
        <v>11</v>
      </c>
      <c r="G382" s="28">
        <v>1100</v>
      </c>
      <c r="H382" s="28">
        <v>1</v>
      </c>
      <c r="I382" s="30">
        <f>TownTeam1[[#This Row],[Selling price]]*TownTeam1[[#This Row],[Item quantity]]</f>
        <v>1100</v>
      </c>
      <c r="J382" s="30">
        <f>IF(TownTeam1[[#This Row],[Item name]]=" Jeans - Denim",TownTeam1[[#This Row],[Total sales]]*0.85,TownTeam1[[#This Row],[Total sales]])</f>
        <v>1100</v>
      </c>
    </row>
    <row r="383" spans="2:10" x14ac:dyDescent="0.25">
      <c r="B383" s="28">
        <v>379</v>
      </c>
      <c r="C383" s="35">
        <v>43844</v>
      </c>
      <c r="D383" s="29" t="s">
        <v>13</v>
      </c>
      <c r="E383" s="29" t="s">
        <v>10</v>
      </c>
      <c r="F383" s="29" t="s">
        <v>11</v>
      </c>
      <c r="G383" s="28">
        <v>1100</v>
      </c>
      <c r="H383" s="28">
        <v>1</v>
      </c>
      <c r="I383" s="30">
        <f>TownTeam1[[#This Row],[Selling price]]*TownTeam1[[#This Row],[Item quantity]]</f>
        <v>1100</v>
      </c>
      <c r="J383" s="30">
        <f>IF(TownTeam1[[#This Row],[Item name]]=" Jeans - Denim",TownTeam1[[#This Row],[Total sales]]*0.85,TownTeam1[[#This Row],[Total sales]])</f>
        <v>1100</v>
      </c>
    </row>
    <row r="384" spans="2:10" x14ac:dyDescent="0.25">
      <c r="B384" s="28">
        <v>380</v>
      </c>
      <c r="C384" s="35">
        <v>43845</v>
      </c>
      <c r="D384" s="29" t="s">
        <v>9</v>
      </c>
      <c r="E384" s="29" t="s">
        <v>22</v>
      </c>
      <c r="F384" s="29" t="s">
        <v>23</v>
      </c>
      <c r="G384" s="28">
        <v>900</v>
      </c>
      <c r="H384" s="28">
        <v>1</v>
      </c>
      <c r="I384" s="30">
        <f>TownTeam1[[#This Row],[Selling price]]*TownTeam1[[#This Row],[Item quantity]]</f>
        <v>900</v>
      </c>
      <c r="J384" s="30">
        <f>IF(TownTeam1[[#This Row],[Item name]]=" Jeans - Denim",TownTeam1[[#This Row],[Total sales]]*0.85,TownTeam1[[#This Row],[Total sales]])</f>
        <v>900</v>
      </c>
    </row>
    <row r="385" spans="2:10" x14ac:dyDescent="0.25">
      <c r="B385" s="28">
        <v>381</v>
      </c>
      <c r="C385" s="35">
        <v>43846</v>
      </c>
      <c r="D385" s="29" t="s">
        <v>9</v>
      </c>
      <c r="E385" s="29" t="s">
        <v>24</v>
      </c>
      <c r="F385" s="29" t="s">
        <v>23</v>
      </c>
      <c r="G385" s="28">
        <v>600</v>
      </c>
      <c r="H385" s="28">
        <v>1</v>
      </c>
      <c r="I385" s="30">
        <f>TownTeam1[[#This Row],[Selling price]]*TownTeam1[[#This Row],[Item quantity]]</f>
        <v>600</v>
      </c>
      <c r="J385" s="30">
        <f>IF(TownTeam1[[#This Row],[Item name]]=" Jeans - Denim",TownTeam1[[#This Row],[Total sales]]*0.85,TownTeam1[[#This Row],[Total sales]])</f>
        <v>600</v>
      </c>
    </row>
    <row r="386" spans="2:10" x14ac:dyDescent="0.25">
      <c r="B386" s="28">
        <v>382</v>
      </c>
      <c r="C386" s="35">
        <v>43847</v>
      </c>
      <c r="D386" s="29" t="s">
        <v>13</v>
      </c>
      <c r="E386" s="29" t="s">
        <v>10</v>
      </c>
      <c r="F386" s="29" t="s">
        <v>11</v>
      </c>
      <c r="G386" s="28">
        <v>1100</v>
      </c>
      <c r="H386" s="28">
        <v>1</v>
      </c>
      <c r="I386" s="30">
        <f>TownTeam1[[#This Row],[Selling price]]*TownTeam1[[#This Row],[Item quantity]]</f>
        <v>1100</v>
      </c>
      <c r="J386" s="30">
        <f>IF(TownTeam1[[#This Row],[Item name]]=" Jeans - Denim",TownTeam1[[#This Row],[Total sales]]*0.85,TownTeam1[[#This Row],[Total sales]])</f>
        <v>1100</v>
      </c>
    </row>
    <row r="387" spans="2:10" x14ac:dyDescent="0.25">
      <c r="B387" s="28">
        <v>383</v>
      </c>
      <c r="C387" s="35">
        <v>43848</v>
      </c>
      <c r="D387" s="29" t="s">
        <v>13</v>
      </c>
      <c r="E387" s="29" t="s">
        <v>18</v>
      </c>
      <c r="F387" s="29" t="s">
        <v>17</v>
      </c>
      <c r="G387" s="28">
        <v>600</v>
      </c>
      <c r="H387" s="28">
        <v>1</v>
      </c>
      <c r="I387" s="30">
        <f>TownTeam1[[#This Row],[Selling price]]*TownTeam1[[#This Row],[Item quantity]]</f>
        <v>600</v>
      </c>
      <c r="J387" s="30">
        <f>IF(TownTeam1[[#This Row],[Item name]]=" Jeans - Denim",TownTeam1[[#This Row],[Total sales]]*0.85,TownTeam1[[#This Row],[Total sales]])</f>
        <v>600</v>
      </c>
    </row>
    <row r="388" spans="2:10" x14ac:dyDescent="0.25">
      <c r="B388" s="28">
        <v>384</v>
      </c>
      <c r="C388" s="35">
        <v>43849</v>
      </c>
      <c r="D388" s="29" t="s">
        <v>13</v>
      </c>
      <c r="E388" s="29" t="s">
        <v>14</v>
      </c>
      <c r="F388" s="29" t="s">
        <v>11</v>
      </c>
      <c r="G388" s="28">
        <v>900</v>
      </c>
      <c r="H388" s="28">
        <v>1</v>
      </c>
      <c r="I388" s="30">
        <f>TownTeam1[[#This Row],[Selling price]]*TownTeam1[[#This Row],[Item quantity]]</f>
        <v>900</v>
      </c>
      <c r="J388" s="30">
        <f>IF(TownTeam1[[#This Row],[Item name]]=" Jeans - Denim",TownTeam1[[#This Row],[Total sales]]*0.85,TownTeam1[[#This Row],[Total sales]])</f>
        <v>900</v>
      </c>
    </row>
    <row r="389" spans="2:10" x14ac:dyDescent="0.25">
      <c r="B389" s="28">
        <v>385</v>
      </c>
      <c r="C389" s="35">
        <v>43850</v>
      </c>
      <c r="D389" s="29" t="s">
        <v>13</v>
      </c>
      <c r="E389" s="29" t="s">
        <v>18</v>
      </c>
      <c r="F389" s="29" t="s">
        <v>17</v>
      </c>
      <c r="G389" s="28">
        <v>600</v>
      </c>
      <c r="H389" s="28">
        <v>1</v>
      </c>
      <c r="I389" s="30">
        <f>TownTeam1[[#This Row],[Selling price]]*TownTeam1[[#This Row],[Item quantity]]</f>
        <v>600</v>
      </c>
      <c r="J389" s="30">
        <f>IF(TownTeam1[[#This Row],[Item name]]=" Jeans - Denim",TownTeam1[[#This Row],[Total sales]]*0.85,TownTeam1[[#This Row],[Total sales]])</f>
        <v>600</v>
      </c>
    </row>
    <row r="390" spans="2:10" x14ac:dyDescent="0.25">
      <c r="B390" s="28">
        <v>386</v>
      </c>
      <c r="C390" s="35">
        <v>43851</v>
      </c>
      <c r="D390" s="29" t="s">
        <v>9</v>
      </c>
      <c r="E390" s="29" t="s">
        <v>18</v>
      </c>
      <c r="F390" s="29" t="s">
        <v>17</v>
      </c>
      <c r="G390" s="28">
        <v>600</v>
      </c>
      <c r="H390" s="28">
        <v>1</v>
      </c>
      <c r="I390" s="30">
        <f>TownTeam1[[#This Row],[Selling price]]*TownTeam1[[#This Row],[Item quantity]]</f>
        <v>600</v>
      </c>
      <c r="J390" s="30">
        <f>IF(TownTeam1[[#This Row],[Item name]]=" Jeans - Denim",TownTeam1[[#This Row],[Total sales]]*0.85,TownTeam1[[#This Row],[Total sales]])</f>
        <v>600</v>
      </c>
    </row>
    <row r="391" spans="2:10" x14ac:dyDescent="0.25">
      <c r="B391" s="28">
        <v>387</v>
      </c>
      <c r="C391" s="35">
        <v>43852</v>
      </c>
      <c r="D391" s="29" t="s">
        <v>9</v>
      </c>
      <c r="E391" s="29" t="s">
        <v>18</v>
      </c>
      <c r="F391" s="29" t="s">
        <v>17</v>
      </c>
      <c r="G391" s="28">
        <v>600</v>
      </c>
      <c r="H391" s="28">
        <v>1</v>
      </c>
      <c r="I391" s="30">
        <f>TownTeam1[[#This Row],[Selling price]]*TownTeam1[[#This Row],[Item quantity]]</f>
        <v>600</v>
      </c>
      <c r="J391" s="30">
        <f>IF(TownTeam1[[#This Row],[Item name]]=" Jeans - Denim",TownTeam1[[#This Row],[Total sales]]*0.85,TownTeam1[[#This Row],[Total sales]])</f>
        <v>600</v>
      </c>
    </row>
    <row r="392" spans="2:10" x14ac:dyDescent="0.25">
      <c r="B392" s="28">
        <v>388</v>
      </c>
      <c r="C392" s="35">
        <v>43853</v>
      </c>
      <c r="D392" s="29" t="s">
        <v>9</v>
      </c>
      <c r="E392" s="29" t="s">
        <v>22</v>
      </c>
      <c r="F392" s="29" t="s">
        <v>23</v>
      </c>
      <c r="G392" s="28">
        <v>500</v>
      </c>
      <c r="H392" s="28">
        <v>1</v>
      </c>
      <c r="I392" s="30">
        <f>TownTeam1[[#This Row],[Selling price]]*TownTeam1[[#This Row],[Item quantity]]</f>
        <v>500</v>
      </c>
      <c r="J392" s="30">
        <f>IF(TownTeam1[[#This Row],[Item name]]=" Jeans - Denim",TownTeam1[[#This Row],[Total sales]]*0.85,TownTeam1[[#This Row],[Total sales]])</f>
        <v>500</v>
      </c>
    </row>
    <row r="393" spans="2:10" x14ac:dyDescent="0.25">
      <c r="B393" s="28">
        <v>389</v>
      </c>
      <c r="C393" s="35">
        <v>43854</v>
      </c>
      <c r="D393" s="29" t="s">
        <v>9</v>
      </c>
      <c r="E393" s="29" t="s">
        <v>18</v>
      </c>
      <c r="F393" s="29" t="s">
        <v>17</v>
      </c>
      <c r="G393" s="28">
        <v>600</v>
      </c>
      <c r="H393" s="28">
        <v>1</v>
      </c>
      <c r="I393" s="30">
        <f>TownTeam1[[#This Row],[Selling price]]*TownTeam1[[#This Row],[Item quantity]]</f>
        <v>600</v>
      </c>
      <c r="J393" s="30">
        <f>IF(TownTeam1[[#This Row],[Item name]]=" Jeans - Denim",TownTeam1[[#This Row],[Total sales]]*0.85,TownTeam1[[#This Row],[Total sales]])</f>
        <v>600</v>
      </c>
    </row>
    <row r="394" spans="2:10" x14ac:dyDescent="0.25">
      <c r="B394" s="28">
        <v>390</v>
      </c>
      <c r="C394" s="35">
        <v>43855</v>
      </c>
      <c r="D394" s="29" t="s">
        <v>13</v>
      </c>
      <c r="E394" s="29" t="s">
        <v>14</v>
      </c>
      <c r="F394" s="29" t="s">
        <v>11</v>
      </c>
      <c r="G394" s="28">
        <v>900</v>
      </c>
      <c r="H394" s="28">
        <v>1</v>
      </c>
      <c r="I394" s="30">
        <f>TownTeam1[[#This Row],[Selling price]]*TownTeam1[[#This Row],[Item quantity]]</f>
        <v>900</v>
      </c>
      <c r="J394" s="30">
        <f>IF(TownTeam1[[#This Row],[Item name]]=" Jeans - Denim",TownTeam1[[#This Row],[Total sales]]*0.85,TownTeam1[[#This Row],[Total sales]])</f>
        <v>900</v>
      </c>
    </row>
    <row r="395" spans="2:10" x14ac:dyDescent="0.25">
      <c r="B395" s="28">
        <v>391</v>
      </c>
      <c r="C395" s="35">
        <v>43856</v>
      </c>
      <c r="D395" s="29" t="s">
        <v>9</v>
      </c>
      <c r="E395" s="29" t="s">
        <v>21</v>
      </c>
      <c r="F395" s="29" t="s">
        <v>20</v>
      </c>
      <c r="G395" s="28">
        <v>1200</v>
      </c>
      <c r="H395" s="28">
        <v>2</v>
      </c>
      <c r="I395" s="30">
        <f>TownTeam1[[#This Row],[Selling price]]*TownTeam1[[#This Row],[Item quantity]]</f>
        <v>2400</v>
      </c>
      <c r="J395" s="30">
        <f>IF(TownTeam1[[#This Row],[Item name]]=" Jeans - Denim",TownTeam1[[#This Row],[Total sales]]*0.85,TownTeam1[[#This Row],[Total sales]])</f>
        <v>2400</v>
      </c>
    </row>
    <row r="396" spans="2:10" x14ac:dyDescent="0.25">
      <c r="B396" s="28">
        <v>392</v>
      </c>
      <c r="C396" s="35">
        <v>43857</v>
      </c>
      <c r="D396" s="29" t="s">
        <v>9</v>
      </c>
      <c r="E396" s="29" t="s">
        <v>10</v>
      </c>
      <c r="F396" s="29" t="s">
        <v>11</v>
      </c>
      <c r="G396" s="28">
        <v>1100</v>
      </c>
      <c r="H396" s="28">
        <v>1</v>
      </c>
      <c r="I396" s="30">
        <f>TownTeam1[[#This Row],[Selling price]]*TownTeam1[[#This Row],[Item quantity]]</f>
        <v>1100</v>
      </c>
      <c r="J396" s="30">
        <f>IF(TownTeam1[[#This Row],[Item name]]=" Jeans - Denim",TownTeam1[[#This Row],[Total sales]]*0.85,TownTeam1[[#This Row],[Total sales]])</f>
        <v>1100</v>
      </c>
    </row>
    <row r="397" spans="2:10" x14ac:dyDescent="0.25">
      <c r="B397" s="28">
        <v>393</v>
      </c>
      <c r="C397" s="35">
        <v>43858</v>
      </c>
      <c r="D397" s="29" t="s">
        <v>9</v>
      </c>
      <c r="E397" s="29" t="s">
        <v>16</v>
      </c>
      <c r="F397" s="29" t="s">
        <v>17</v>
      </c>
      <c r="G397" s="28">
        <v>800</v>
      </c>
      <c r="H397" s="28">
        <v>1</v>
      </c>
      <c r="I397" s="30">
        <f>TownTeam1[[#This Row],[Selling price]]*TownTeam1[[#This Row],[Item quantity]]</f>
        <v>800</v>
      </c>
      <c r="J397" s="30">
        <f>IF(TownTeam1[[#This Row],[Item name]]=" Jeans - Denim",TownTeam1[[#This Row],[Total sales]]*0.85,TownTeam1[[#This Row],[Total sales]])</f>
        <v>800</v>
      </c>
    </row>
    <row r="398" spans="2:10" x14ac:dyDescent="0.25">
      <c r="B398" s="28">
        <v>394</v>
      </c>
      <c r="C398" s="35">
        <v>43859</v>
      </c>
      <c r="D398" s="29" t="s">
        <v>9</v>
      </c>
      <c r="E398" s="29" t="s">
        <v>16</v>
      </c>
      <c r="F398" s="29" t="s">
        <v>17</v>
      </c>
      <c r="G398" s="28">
        <v>800</v>
      </c>
      <c r="H398" s="28">
        <v>1</v>
      </c>
      <c r="I398" s="30">
        <f>TownTeam1[[#This Row],[Selling price]]*TownTeam1[[#This Row],[Item quantity]]</f>
        <v>800</v>
      </c>
      <c r="J398" s="30">
        <f>IF(TownTeam1[[#This Row],[Item name]]=" Jeans - Denim",TownTeam1[[#This Row],[Total sales]]*0.85,TownTeam1[[#This Row],[Total sales]])</f>
        <v>800</v>
      </c>
    </row>
    <row r="399" spans="2:10" x14ac:dyDescent="0.25">
      <c r="B399" s="28">
        <v>395</v>
      </c>
      <c r="C399" s="35">
        <v>43860</v>
      </c>
      <c r="D399" s="29" t="s">
        <v>9</v>
      </c>
      <c r="E399" s="29" t="s">
        <v>10</v>
      </c>
      <c r="F399" s="29" t="s">
        <v>11</v>
      </c>
      <c r="G399" s="28">
        <v>1100</v>
      </c>
      <c r="H399" s="28">
        <v>1</v>
      </c>
      <c r="I399" s="30">
        <f>TownTeam1[[#This Row],[Selling price]]*TownTeam1[[#This Row],[Item quantity]]</f>
        <v>1100</v>
      </c>
      <c r="J399" s="30">
        <f>IF(TownTeam1[[#This Row],[Item name]]=" Jeans - Denim",TownTeam1[[#This Row],[Total sales]]*0.85,TownTeam1[[#This Row],[Total sales]])</f>
        <v>1100</v>
      </c>
    </row>
    <row r="400" spans="2:10" x14ac:dyDescent="0.25">
      <c r="B400" s="28">
        <v>396</v>
      </c>
      <c r="C400" s="35">
        <v>43861</v>
      </c>
      <c r="D400" s="29" t="s">
        <v>9</v>
      </c>
      <c r="E400" s="29" t="s">
        <v>15</v>
      </c>
      <c r="F400" s="29" t="s">
        <v>11</v>
      </c>
      <c r="G400" s="28">
        <v>1000</v>
      </c>
      <c r="H400" s="28">
        <v>1</v>
      </c>
      <c r="I400" s="30">
        <f>TownTeam1[[#This Row],[Selling price]]*TownTeam1[[#This Row],[Item quantity]]</f>
        <v>1000</v>
      </c>
      <c r="J400" s="30">
        <f>IF(TownTeam1[[#This Row],[Item name]]=" Jeans - Denim",TownTeam1[[#This Row],[Total sales]]*0.85,TownTeam1[[#This Row],[Total sales]])</f>
        <v>1000</v>
      </c>
    </row>
    <row r="401" spans="2:10" x14ac:dyDescent="0.25">
      <c r="B401" s="28">
        <v>397</v>
      </c>
      <c r="C401" s="35">
        <v>43862</v>
      </c>
      <c r="D401" s="29" t="s">
        <v>9</v>
      </c>
      <c r="E401" s="29" t="s">
        <v>22</v>
      </c>
      <c r="F401" s="29" t="s">
        <v>23</v>
      </c>
      <c r="G401" s="28">
        <v>500</v>
      </c>
      <c r="H401" s="28">
        <v>1</v>
      </c>
      <c r="I401" s="30">
        <f>TownTeam1[[#This Row],[Selling price]]*TownTeam1[[#This Row],[Item quantity]]</f>
        <v>500</v>
      </c>
      <c r="J401" s="30">
        <f>IF(TownTeam1[[#This Row],[Item name]]=" Jeans - Denim",TownTeam1[[#This Row],[Total sales]]*0.85,TownTeam1[[#This Row],[Total sales]])</f>
        <v>500</v>
      </c>
    </row>
    <row r="402" spans="2:10" x14ac:dyDescent="0.25">
      <c r="B402" s="28">
        <v>398</v>
      </c>
      <c r="C402" s="35">
        <v>43863</v>
      </c>
      <c r="D402" s="29" t="s">
        <v>9</v>
      </c>
      <c r="E402" s="29" t="s">
        <v>12</v>
      </c>
      <c r="F402" s="29" t="s">
        <v>11</v>
      </c>
      <c r="G402" s="28">
        <v>900</v>
      </c>
      <c r="H402" s="28">
        <v>1</v>
      </c>
      <c r="I402" s="30">
        <f>TownTeam1[[#This Row],[Selling price]]*TownTeam1[[#This Row],[Item quantity]]</f>
        <v>900</v>
      </c>
      <c r="J402" s="30">
        <f>IF(TownTeam1[[#This Row],[Item name]]=" Jeans - Denim",TownTeam1[[#This Row],[Total sales]]*0.85,TownTeam1[[#This Row],[Total sales]])</f>
        <v>765</v>
      </c>
    </row>
    <row r="403" spans="2:10" x14ac:dyDescent="0.25">
      <c r="B403" s="28">
        <v>399</v>
      </c>
      <c r="C403" s="35">
        <v>43864</v>
      </c>
      <c r="D403" s="29" t="s">
        <v>9</v>
      </c>
      <c r="E403" s="29" t="s">
        <v>18</v>
      </c>
      <c r="F403" s="29" t="s">
        <v>17</v>
      </c>
      <c r="G403" s="28">
        <v>600</v>
      </c>
      <c r="H403" s="28">
        <v>1</v>
      </c>
      <c r="I403" s="30">
        <f>TownTeam1[[#This Row],[Selling price]]*TownTeam1[[#This Row],[Item quantity]]</f>
        <v>600</v>
      </c>
      <c r="J403" s="30">
        <f>IF(TownTeam1[[#This Row],[Item name]]=" Jeans - Denim",TownTeam1[[#This Row],[Total sales]]*0.85,TownTeam1[[#This Row],[Total sales]])</f>
        <v>600</v>
      </c>
    </row>
    <row r="404" spans="2:10" x14ac:dyDescent="0.25">
      <c r="B404" s="28">
        <v>400</v>
      </c>
      <c r="C404" s="35">
        <v>43865</v>
      </c>
      <c r="D404" s="29" t="s">
        <v>9</v>
      </c>
      <c r="E404" s="29" t="s">
        <v>12</v>
      </c>
      <c r="F404" s="29" t="s">
        <v>11</v>
      </c>
      <c r="G404" s="28">
        <v>900</v>
      </c>
      <c r="H404" s="28">
        <v>1</v>
      </c>
      <c r="I404" s="30">
        <f>TownTeam1[[#This Row],[Selling price]]*TownTeam1[[#This Row],[Item quantity]]</f>
        <v>900</v>
      </c>
      <c r="J404" s="30">
        <f>IF(TownTeam1[[#This Row],[Item name]]=" Jeans - Denim",TownTeam1[[#This Row],[Total sales]]*0.85,TownTeam1[[#This Row],[Total sales]])</f>
        <v>765</v>
      </c>
    </row>
    <row r="405" spans="2:10" x14ac:dyDescent="0.25">
      <c r="B405" s="28">
        <v>401</v>
      </c>
      <c r="C405" s="35">
        <v>43866</v>
      </c>
      <c r="D405" s="29" t="s">
        <v>9</v>
      </c>
      <c r="E405" s="29" t="s">
        <v>21</v>
      </c>
      <c r="F405" s="29" t="s">
        <v>20</v>
      </c>
      <c r="G405" s="28">
        <v>1200</v>
      </c>
      <c r="H405" s="28">
        <v>1</v>
      </c>
      <c r="I405" s="30">
        <f>TownTeam1[[#This Row],[Selling price]]*TownTeam1[[#This Row],[Item quantity]]</f>
        <v>1200</v>
      </c>
      <c r="J405" s="30">
        <f>IF(TownTeam1[[#This Row],[Item name]]=" Jeans - Denim",TownTeam1[[#This Row],[Total sales]]*0.85,TownTeam1[[#This Row],[Total sales]])</f>
        <v>1200</v>
      </c>
    </row>
    <row r="406" spans="2:10" x14ac:dyDescent="0.25">
      <c r="B406" s="28">
        <v>402</v>
      </c>
      <c r="C406" s="35">
        <v>43867</v>
      </c>
      <c r="D406" s="29" t="s">
        <v>9</v>
      </c>
      <c r="E406" s="29" t="s">
        <v>10</v>
      </c>
      <c r="F406" s="29" t="s">
        <v>11</v>
      </c>
      <c r="G406" s="28">
        <v>1100</v>
      </c>
      <c r="H406" s="28">
        <v>1</v>
      </c>
      <c r="I406" s="30">
        <f>TownTeam1[[#This Row],[Selling price]]*TownTeam1[[#This Row],[Item quantity]]</f>
        <v>1100</v>
      </c>
      <c r="J406" s="30">
        <f>IF(TownTeam1[[#This Row],[Item name]]=" Jeans - Denim",TownTeam1[[#This Row],[Total sales]]*0.85,TownTeam1[[#This Row],[Total sales]])</f>
        <v>1100</v>
      </c>
    </row>
    <row r="407" spans="2:10" x14ac:dyDescent="0.25">
      <c r="B407" s="28">
        <v>403</v>
      </c>
      <c r="C407" s="35">
        <v>43868</v>
      </c>
      <c r="D407" s="29" t="s">
        <v>9</v>
      </c>
      <c r="E407" s="29" t="s">
        <v>16</v>
      </c>
      <c r="F407" s="29" t="s">
        <v>17</v>
      </c>
      <c r="G407" s="28">
        <v>800</v>
      </c>
      <c r="H407" s="28">
        <v>1</v>
      </c>
      <c r="I407" s="30">
        <f>TownTeam1[[#This Row],[Selling price]]*TownTeam1[[#This Row],[Item quantity]]</f>
        <v>800</v>
      </c>
      <c r="J407" s="30">
        <f>IF(TownTeam1[[#This Row],[Item name]]=" Jeans - Denim",TownTeam1[[#This Row],[Total sales]]*0.85,TownTeam1[[#This Row],[Total sales]])</f>
        <v>800</v>
      </c>
    </row>
    <row r="408" spans="2:10" x14ac:dyDescent="0.25">
      <c r="B408" s="28">
        <v>404</v>
      </c>
      <c r="C408" s="35">
        <v>43869</v>
      </c>
      <c r="D408" s="29" t="s">
        <v>9</v>
      </c>
      <c r="E408" s="29" t="s">
        <v>12</v>
      </c>
      <c r="F408" s="29" t="s">
        <v>11</v>
      </c>
      <c r="G408" s="28">
        <v>900</v>
      </c>
      <c r="H408" s="28">
        <v>1</v>
      </c>
      <c r="I408" s="30">
        <f>TownTeam1[[#This Row],[Selling price]]*TownTeam1[[#This Row],[Item quantity]]</f>
        <v>900</v>
      </c>
      <c r="J408" s="30">
        <f>IF(TownTeam1[[#This Row],[Item name]]=" Jeans - Denim",TownTeam1[[#This Row],[Total sales]]*0.85,TownTeam1[[#This Row],[Total sales]])</f>
        <v>765</v>
      </c>
    </row>
    <row r="409" spans="2:10" x14ac:dyDescent="0.25">
      <c r="B409" s="28">
        <v>405</v>
      </c>
      <c r="C409" s="35">
        <v>43870</v>
      </c>
      <c r="D409" s="29" t="s">
        <v>9</v>
      </c>
      <c r="E409" s="29" t="s">
        <v>10</v>
      </c>
      <c r="F409" s="29" t="s">
        <v>11</v>
      </c>
      <c r="G409" s="28">
        <v>1100</v>
      </c>
      <c r="H409" s="28">
        <v>1</v>
      </c>
      <c r="I409" s="30">
        <f>TownTeam1[[#This Row],[Selling price]]*TownTeam1[[#This Row],[Item quantity]]</f>
        <v>1100</v>
      </c>
      <c r="J409" s="30">
        <f>IF(TownTeam1[[#This Row],[Item name]]=" Jeans - Denim",TownTeam1[[#This Row],[Total sales]]*0.85,TownTeam1[[#This Row],[Total sales]])</f>
        <v>1100</v>
      </c>
    </row>
    <row r="410" spans="2:10" x14ac:dyDescent="0.25">
      <c r="B410" s="28">
        <v>406</v>
      </c>
      <c r="C410" s="35">
        <v>43871</v>
      </c>
      <c r="D410" s="29" t="s">
        <v>13</v>
      </c>
      <c r="E410" s="29" t="s">
        <v>16</v>
      </c>
      <c r="F410" s="29" t="s">
        <v>17</v>
      </c>
      <c r="G410" s="28">
        <v>800</v>
      </c>
      <c r="H410" s="28">
        <v>1</v>
      </c>
      <c r="I410" s="30">
        <f>TownTeam1[[#This Row],[Selling price]]*TownTeam1[[#This Row],[Item quantity]]</f>
        <v>800</v>
      </c>
      <c r="J410" s="30">
        <f>IF(TownTeam1[[#This Row],[Item name]]=" Jeans - Denim",TownTeam1[[#This Row],[Total sales]]*0.85,TownTeam1[[#This Row],[Total sales]])</f>
        <v>800</v>
      </c>
    </row>
    <row r="411" spans="2:10" x14ac:dyDescent="0.25">
      <c r="B411" s="28">
        <v>407</v>
      </c>
      <c r="C411" s="35">
        <v>43872</v>
      </c>
      <c r="D411" s="29" t="s">
        <v>9</v>
      </c>
      <c r="E411" s="29" t="s">
        <v>19</v>
      </c>
      <c r="F411" s="29" t="s">
        <v>20</v>
      </c>
      <c r="G411" s="28">
        <v>1006</v>
      </c>
      <c r="H411" s="28">
        <v>1</v>
      </c>
      <c r="I411" s="30">
        <f>TownTeam1[[#This Row],[Selling price]]*TownTeam1[[#This Row],[Item quantity]]</f>
        <v>1006</v>
      </c>
      <c r="J411" s="30">
        <f>IF(TownTeam1[[#This Row],[Item name]]=" Jeans - Denim",TownTeam1[[#This Row],[Total sales]]*0.85,TownTeam1[[#This Row],[Total sales]])</f>
        <v>1006</v>
      </c>
    </row>
    <row r="412" spans="2:10" x14ac:dyDescent="0.25">
      <c r="B412" s="28">
        <v>408</v>
      </c>
      <c r="C412" s="35">
        <v>43873</v>
      </c>
      <c r="D412" s="29" t="s">
        <v>9</v>
      </c>
      <c r="E412" s="29" t="s">
        <v>14</v>
      </c>
      <c r="F412" s="29" t="s">
        <v>11</v>
      </c>
      <c r="G412" s="28">
        <v>1002</v>
      </c>
      <c r="H412" s="28">
        <v>1</v>
      </c>
      <c r="I412" s="30">
        <f>TownTeam1[[#This Row],[Selling price]]*TownTeam1[[#This Row],[Item quantity]]</f>
        <v>1002</v>
      </c>
      <c r="J412" s="30">
        <f>IF(TownTeam1[[#This Row],[Item name]]=" Jeans - Denim",TownTeam1[[#This Row],[Total sales]]*0.85,TownTeam1[[#This Row],[Total sales]])</f>
        <v>1002</v>
      </c>
    </row>
    <row r="413" spans="2:10" x14ac:dyDescent="0.25">
      <c r="B413" s="28">
        <v>409</v>
      </c>
      <c r="C413" s="35">
        <v>43874</v>
      </c>
      <c r="D413" s="29" t="s">
        <v>9</v>
      </c>
      <c r="E413" s="29" t="s">
        <v>10</v>
      </c>
      <c r="F413" s="29" t="s">
        <v>11</v>
      </c>
      <c r="G413" s="28">
        <v>1002</v>
      </c>
      <c r="H413" s="28">
        <v>1</v>
      </c>
      <c r="I413" s="30">
        <f>TownTeam1[[#This Row],[Selling price]]*TownTeam1[[#This Row],[Item quantity]]</f>
        <v>1002</v>
      </c>
      <c r="J413" s="30">
        <f>IF(TownTeam1[[#This Row],[Item name]]=" Jeans - Denim",TownTeam1[[#This Row],[Total sales]]*0.85,TownTeam1[[#This Row],[Total sales]])</f>
        <v>1002</v>
      </c>
    </row>
    <row r="414" spans="2:10" x14ac:dyDescent="0.25">
      <c r="B414" s="28">
        <v>410</v>
      </c>
      <c r="C414" s="35">
        <v>43875</v>
      </c>
      <c r="D414" s="29" t="s">
        <v>9</v>
      </c>
      <c r="E414" s="29" t="s">
        <v>18</v>
      </c>
      <c r="F414" s="29" t="s">
        <v>17</v>
      </c>
      <c r="G414" s="28">
        <v>600</v>
      </c>
      <c r="H414" s="28">
        <v>1</v>
      </c>
      <c r="I414" s="30">
        <f>TownTeam1[[#This Row],[Selling price]]*TownTeam1[[#This Row],[Item quantity]]</f>
        <v>600</v>
      </c>
      <c r="J414" s="30">
        <f>IF(TownTeam1[[#This Row],[Item name]]=" Jeans - Denim",TownTeam1[[#This Row],[Total sales]]*0.85,TownTeam1[[#This Row],[Total sales]])</f>
        <v>600</v>
      </c>
    </row>
    <row r="415" spans="2:10" x14ac:dyDescent="0.25">
      <c r="B415" s="28">
        <v>411</v>
      </c>
      <c r="C415" s="35">
        <v>43876</v>
      </c>
      <c r="D415" s="29" t="s">
        <v>9</v>
      </c>
      <c r="E415" s="29" t="s">
        <v>21</v>
      </c>
      <c r="F415" s="29" t="s">
        <v>20</v>
      </c>
      <c r="G415" s="28">
        <v>1200</v>
      </c>
      <c r="H415" s="28">
        <v>1</v>
      </c>
      <c r="I415" s="30">
        <f>TownTeam1[[#This Row],[Selling price]]*TownTeam1[[#This Row],[Item quantity]]</f>
        <v>1200</v>
      </c>
      <c r="J415" s="30">
        <f>IF(TownTeam1[[#This Row],[Item name]]=" Jeans - Denim",TownTeam1[[#This Row],[Total sales]]*0.85,TownTeam1[[#This Row],[Total sales]])</f>
        <v>1200</v>
      </c>
    </row>
    <row r="416" spans="2:10" x14ac:dyDescent="0.25">
      <c r="B416" s="28">
        <v>412</v>
      </c>
      <c r="C416" s="35">
        <v>43877</v>
      </c>
      <c r="D416" s="29" t="s">
        <v>9</v>
      </c>
      <c r="E416" s="29" t="s">
        <v>18</v>
      </c>
      <c r="F416" s="29" t="s">
        <v>17</v>
      </c>
      <c r="G416" s="28">
        <v>600</v>
      </c>
      <c r="H416" s="28">
        <v>1</v>
      </c>
      <c r="I416" s="30">
        <f>TownTeam1[[#This Row],[Selling price]]*TownTeam1[[#This Row],[Item quantity]]</f>
        <v>600</v>
      </c>
      <c r="J416" s="30">
        <f>IF(TownTeam1[[#This Row],[Item name]]=" Jeans - Denim",TownTeam1[[#This Row],[Total sales]]*0.85,TownTeam1[[#This Row],[Total sales]])</f>
        <v>600</v>
      </c>
    </row>
    <row r="417" spans="2:10" x14ac:dyDescent="0.25">
      <c r="B417" s="28">
        <v>413</v>
      </c>
      <c r="C417" s="35">
        <v>43878</v>
      </c>
      <c r="D417" s="29" t="s">
        <v>9</v>
      </c>
      <c r="E417" s="29" t="s">
        <v>18</v>
      </c>
      <c r="F417" s="29" t="s">
        <v>17</v>
      </c>
      <c r="G417" s="28">
        <v>600</v>
      </c>
      <c r="H417" s="28">
        <v>1</v>
      </c>
      <c r="I417" s="30">
        <f>TownTeam1[[#This Row],[Selling price]]*TownTeam1[[#This Row],[Item quantity]]</f>
        <v>600</v>
      </c>
      <c r="J417" s="30">
        <f>IF(TownTeam1[[#This Row],[Item name]]=" Jeans - Denim",TownTeam1[[#This Row],[Total sales]]*0.85,TownTeam1[[#This Row],[Total sales]])</f>
        <v>600</v>
      </c>
    </row>
    <row r="418" spans="2:10" x14ac:dyDescent="0.25">
      <c r="B418" s="28">
        <v>414</v>
      </c>
      <c r="C418" s="35">
        <v>43879</v>
      </c>
      <c r="D418" s="29" t="s">
        <v>9</v>
      </c>
      <c r="E418" s="29" t="s">
        <v>10</v>
      </c>
      <c r="F418" s="29" t="s">
        <v>11</v>
      </c>
      <c r="G418" s="28">
        <v>1100</v>
      </c>
      <c r="H418" s="28">
        <v>1</v>
      </c>
      <c r="I418" s="30">
        <f>TownTeam1[[#This Row],[Selling price]]*TownTeam1[[#This Row],[Item quantity]]</f>
        <v>1100</v>
      </c>
      <c r="J418" s="30">
        <f>IF(TownTeam1[[#This Row],[Item name]]=" Jeans - Denim",TownTeam1[[#This Row],[Total sales]]*0.85,TownTeam1[[#This Row],[Total sales]])</f>
        <v>1100</v>
      </c>
    </row>
    <row r="419" spans="2:10" x14ac:dyDescent="0.25">
      <c r="B419" s="28">
        <v>415</v>
      </c>
      <c r="C419" s="35">
        <v>43880</v>
      </c>
      <c r="D419" s="29" t="s">
        <v>9</v>
      </c>
      <c r="E419" s="29" t="s">
        <v>12</v>
      </c>
      <c r="F419" s="29" t="s">
        <v>11</v>
      </c>
      <c r="G419" s="28">
        <v>900</v>
      </c>
      <c r="H419" s="28">
        <v>1</v>
      </c>
      <c r="I419" s="30">
        <f>TownTeam1[[#This Row],[Selling price]]*TownTeam1[[#This Row],[Item quantity]]</f>
        <v>900</v>
      </c>
      <c r="J419" s="30">
        <f>IF(TownTeam1[[#This Row],[Item name]]=" Jeans - Denim",TownTeam1[[#This Row],[Total sales]]*0.85,TownTeam1[[#This Row],[Total sales]])</f>
        <v>765</v>
      </c>
    </row>
    <row r="420" spans="2:10" x14ac:dyDescent="0.25">
      <c r="B420" s="28">
        <v>416</v>
      </c>
      <c r="C420" s="35">
        <v>43881</v>
      </c>
      <c r="D420" s="29" t="s">
        <v>9</v>
      </c>
      <c r="E420" s="29" t="s">
        <v>15</v>
      </c>
      <c r="F420" s="29" t="s">
        <v>11</v>
      </c>
      <c r="G420" s="28">
        <v>1000</v>
      </c>
      <c r="H420" s="28">
        <v>1</v>
      </c>
      <c r="I420" s="30">
        <f>TownTeam1[[#This Row],[Selling price]]*TownTeam1[[#This Row],[Item quantity]]</f>
        <v>1000</v>
      </c>
      <c r="J420" s="30">
        <f>IF(TownTeam1[[#This Row],[Item name]]=" Jeans - Denim",TownTeam1[[#This Row],[Total sales]]*0.85,TownTeam1[[#This Row],[Total sales]])</f>
        <v>1000</v>
      </c>
    </row>
    <row r="421" spans="2:10" x14ac:dyDescent="0.25">
      <c r="B421" s="28">
        <v>417</v>
      </c>
      <c r="C421" s="35">
        <v>43882</v>
      </c>
      <c r="D421" s="29" t="s">
        <v>9</v>
      </c>
      <c r="E421" s="29" t="s">
        <v>12</v>
      </c>
      <c r="F421" s="29" t="s">
        <v>11</v>
      </c>
      <c r="G421" s="28">
        <v>900</v>
      </c>
      <c r="H421" s="28">
        <v>1</v>
      </c>
      <c r="I421" s="30">
        <f>TownTeam1[[#This Row],[Selling price]]*TownTeam1[[#This Row],[Item quantity]]</f>
        <v>900</v>
      </c>
      <c r="J421" s="30">
        <f>IF(TownTeam1[[#This Row],[Item name]]=" Jeans - Denim",TownTeam1[[#This Row],[Total sales]]*0.85,TownTeam1[[#This Row],[Total sales]])</f>
        <v>765</v>
      </c>
    </row>
    <row r="422" spans="2:10" x14ac:dyDescent="0.25">
      <c r="B422" s="28">
        <v>418</v>
      </c>
      <c r="C422" s="35">
        <v>43883</v>
      </c>
      <c r="D422" s="29" t="s">
        <v>9</v>
      </c>
      <c r="E422" s="29" t="s">
        <v>18</v>
      </c>
      <c r="F422" s="29" t="s">
        <v>17</v>
      </c>
      <c r="G422" s="28">
        <v>600</v>
      </c>
      <c r="H422" s="28">
        <v>1</v>
      </c>
      <c r="I422" s="30">
        <f>TownTeam1[[#This Row],[Selling price]]*TownTeam1[[#This Row],[Item quantity]]</f>
        <v>600</v>
      </c>
      <c r="J422" s="30">
        <f>IF(TownTeam1[[#This Row],[Item name]]=" Jeans - Denim",TownTeam1[[#This Row],[Total sales]]*0.85,TownTeam1[[#This Row],[Total sales]])</f>
        <v>600</v>
      </c>
    </row>
    <row r="423" spans="2:10" x14ac:dyDescent="0.25">
      <c r="B423" s="28">
        <v>419</v>
      </c>
      <c r="C423" s="35">
        <v>43884</v>
      </c>
      <c r="D423" s="29" t="s">
        <v>9</v>
      </c>
      <c r="E423" s="29" t="s">
        <v>19</v>
      </c>
      <c r="F423" s="29" t="s">
        <v>20</v>
      </c>
      <c r="G423" s="28">
        <v>850</v>
      </c>
      <c r="H423" s="28">
        <v>1</v>
      </c>
      <c r="I423" s="30">
        <f>TownTeam1[[#This Row],[Selling price]]*TownTeam1[[#This Row],[Item quantity]]</f>
        <v>850</v>
      </c>
      <c r="J423" s="30">
        <f>IF(TownTeam1[[#This Row],[Item name]]=" Jeans - Denim",TownTeam1[[#This Row],[Total sales]]*0.85,TownTeam1[[#This Row],[Total sales]])</f>
        <v>850</v>
      </c>
    </row>
    <row r="424" spans="2:10" x14ac:dyDescent="0.25">
      <c r="B424" s="28">
        <v>420</v>
      </c>
      <c r="C424" s="35">
        <v>43885</v>
      </c>
      <c r="D424" s="29" t="s">
        <v>9</v>
      </c>
      <c r="E424" s="29" t="s">
        <v>22</v>
      </c>
      <c r="F424" s="29" t="s">
        <v>23</v>
      </c>
      <c r="G424" s="28">
        <v>500</v>
      </c>
      <c r="H424" s="28">
        <v>1</v>
      </c>
      <c r="I424" s="30">
        <f>TownTeam1[[#This Row],[Selling price]]*TownTeam1[[#This Row],[Item quantity]]</f>
        <v>500</v>
      </c>
      <c r="J424" s="30">
        <f>IF(TownTeam1[[#This Row],[Item name]]=" Jeans - Denim",TownTeam1[[#This Row],[Total sales]]*0.85,TownTeam1[[#This Row],[Total sales]])</f>
        <v>500</v>
      </c>
    </row>
    <row r="425" spans="2:10" x14ac:dyDescent="0.25">
      <c r="B425" s="28">
        <v>421</v>
      </c>
      <c r="C425" s="35">
        <v>43886</v>
      </c>
      <c r="D425" s="29" t="s">
        <v>9</v>
      </c>
      <c r="E425" s="29" t="s">
        <v>15</v>
      </c>
      <c r="F425" s="29" t="s">
        <v>11</v>
      </c>
      <c r="G425" s="28">
        <v>1000</v>
      </c>
      <c r="H425" s="28">
        <v>1</v>
      </c>
      <c r="I425" s="30">
        <f>TownTeam1[[#This Row],[Selling price]]*TownTeam1[[#This Row],[Item quantity]]</f>
        <v>1000</v>
      </c>
      <c r="J425" s="30">
        <f>IF(TownTeam1[[#This Row],[Item name]]=" Jeans - Denim",TownTeam1[[#This Row],[Total sales]]*0.85,TownTeam1[[#This Row],[Total sales]])</f>
        <v>1000</v>
      </c>
    </row>
    <row r="426" spans="2:10" x14ac:dyDescent="0.25">
      <c r="B426" s="28">
        <v>422</v>
      </c>
      <c r="C426" s="35">
        <v>43887</v>
      </c>
      <c r="D426" s="29" t="s">
        <v>9</v>
      </c>
      <c r="E426" s="29" t="s">
        <v>10</v>
      </c>
      <c r="F426" s="29" t="s">
        <v>11</v>
      </c>
      <c r="G426" s="28">
        <v>1100</v>
      </c>
      <c r="H426" s="28">
        <v>1</v>
      </c>
      <c r="I426" s="30">
        <f>TownTeam1[[#This Row],[Selling price]]*TownTeam1[[#This Row],[Item quantity]]</f>
        <v>1100</v>
      </c>
      <c r="J426" s="30">
        <f>IF(TownTeam1[[#This Row],[Item name]]=" Jeans - Denim",TownTeam1[[#This Row],[Total sales]]*0.85,TownTeam1[[#This Row],[Total sales]])</f>
        <v>1100</v>
      </c>
    </row>
    <row r="427" spans="2:10" x14ac:dyDescent="0.25">
      <c r="B427" s="28">
        <v>423</v>
      </c>
      <c r="C427" s="35">
        <v>43888</v>
      </c>
      <c r="D427" s="29" t="s">
        <v>9</v>
      </c>
      <c r="E427" s="29" t="s">
        <v>10</v>
      </c>
      <c r="F427" s="29" t="s">
        <v>11</v>
      </c>
      <c r="G427" s="28">
        <v>1100</v>
      </c>
      <c r="H427" s="28">
        <v>2</v>
      </c>
      <c r="I427" s="30">
        <f>TownTeam1[[#This Row],[Selling price]]*TownTeam1[[#This Row],[Item quantity]]</f>
        <v>2200</v>
      </c>
      <c r="J427" s="30">
        <f>IF(TownTeam1[[#This Row],[Item name]]=" Jeans - Denim",TownTeam1[[#This Row],[Total sales]]*0.85,TownTeam1[[#This Row],[Total sales]])</f>
        <v>2200</v>
      </c>
    </row>
    <row r="428" spans="2:10" x14ac:dyDescent="0.25">
      <c r="B428" s="28">
        <v>424</v>
      </c>
      <c r="C428" s="35">
        <v>43889</v>
      </c>
      <c r="D428" s="29" t="s">
        <v>9</v>
      </c>
      <c r="E428" s="29" t="s">
        <v>14</v>
      </c>
      <c r="F428" s="29" t="s">
        <v>11</v>
      </c>
      <c r="G428" s="28">
        <v>900</v>
      </c>
      <c r="H428" s="28">
        <v>1</v>
      </c>
      <c r="I428" s="30">
        <f>TownTeam1[[#This Row],[Selling price]]*TownTeam1[[#This Row],[Item quantity]]</f>
        <v>900</v>
      </c>
      <c r="J428" s="30">
        <f>IF(TownTeam1[[#This Row],[Item name]]=" Jeans - Denim",TownTeam1[[#This Row],[Total sales]]*0.85,TownTeam1[[#This Row],[Total sales]])</f>
        <v>900</v>
      </c>
    </row>
    <row r="429" spans="2:10" x14ac:dyDescent="0.25">
      <c r="B429" s="28">
        <v>425</v>
      </c>
      <c r="C429" s="35">
        <v>43890</v>
      </c>
      <c r="D429" s="29" t="s">
        <v>9</v>
      </c>
      <c r="E429" s="29" t="s">
        <v>14</v>
      </c>
      <c r="F429" s="29" t="s">
        <v>11</v>
      </c>
      <c r="G429" s="28">
        <v>900</v>
      </c>
      <c r="H429" s="28">
        <v>1</v>
      </c>
      <c r="I429" s="30">
        <f>TownTeam1[[#This Row],[Selling price]]*TownTeam1[[#This Row],[Item quantity]]</f>
        <v>900</v>
      </c>
      <c r="J429" s="30">
        <f>IF(TownTeam1[[#This Row],[Item name]]=" Jeans - Denim",TownTeam1[[#This Row],[Total sales]]*0.85,TownTeam1[[#This Row],[Total sales]])</f>
        <v>900</v>
      </c>
    </row>
    <row r="430" spans="2:10" x14ac:dyDescent="0.25">
      <c r="B430" s="28">
        <v>426</v>
      </c>
      <c r="C430" s="35">
        <v>43891</v>
      </c>
      <c r="D430" s="29" t="s">
        <v>9</v>
      </c>
      <c r="E430" s="29" t="s">
        <v>18</v>
      </c>
      <c r="F430" s="29" t="s">
        <v>17</v>
      </c>
      <c r="G430" s="28">
        <v>600</v>
      </c>
      <c r="H430" s="28">
        <v>1</v>
      </c>
      <c r="I430" s="30">
        <f>TownTeam1[[#This Row],[Selling price]]*TownTeam1[[#This Row],[Item quantity]]</f>
        <v>600</v>
      </c>
      <c r="J430" s="30">
        <f>IF(TownTeam1[[#This Row],[Item name]]=" Jeans - Denim",TownTeam1[[#This Row],[Total sales]]*0.85,TownTeam1[[#This Row],[Total sales]])</f>
        <v>600</v>
      </c>
    </row>
    <row r="431" spans="2:10" x14ac:dyDescent="0.25">
      <c r="B431" s="28">
        <v>427</v>
      </c>
      <c r="C431" s="35">
        <v>43892</v>
      </c>
      <c r="D431" s="29" t="s">
        <v>9</v>
      </c>
      <c r="E431" s="29" t="s">
        <v>22</v>
      </c>
      <c r="F431" s="29" t="s">
        <v>23</v>
      </c>
      <c r="G431" s="28">
        <v>900</v>
      </c>
      <c r="H431" s="28">
        <v>1</v>
      </c>
      <c r="I431" s="30">
        <f>TownTeam1[[#This Row],[Selling price]]*TownTeam1[[#This Row],[Item quantity]]</f>
        <v>900</v>
      </c>
      <c r="J431" s="30">
        <f>IF(TownTeam1[[#This Row],[Item name]]=" Jeans - Denim",TownTeam1[[#This Row],[Total sales]]*0.85,TownTeam1[[#This Row],[Total sales]])</f>
        <v>900</v>
      </c>
    </row>
    <row r="432" spans="2:10" x14ac:dyDescent="0.25">
      <c r="B432" s="28">
        <v>428</v>
      </c>
      <c r="C432" s="35">
        <v>43893</v>
      </c>
      <c r="D432" s="29" t="s">
        <v>9</v>
      </c>
      <c r="E432" s="29" t="s">
        <v>10</v>
      </c>
      <c r="F432" s="29" t="s">
        <v>11</v>
      </c>
      <c r="G432" s="28">
        <v>1100</v>
      </c>
      <c r="H432" s="28">
        <v>1</v>
      </c>
      <c r="I432" s="30">
        <f>TownTeam1[[#This Row],[Selling price]]*TownTeam1[[#This Row],[Item quantity]]</f>
        <v>1100</v>
      </c>
      <c r="J432" s="30">
        <f>IF(TownTeam1[[#This Row],[Item name]]=" Jeans - Denim",TownTeam1[[#This Row],[Total sales]]*0.85,TownTeam1[[#This Row],[Total sales]])</f>
        <v>1100</v>
      </c>
    </row>
    <row r="433" spans="2:10" x14ac:dyDescent="0.25">
      <c r="B433" s="28">
        <v>429</v>
      </c>
      <c r="C433" s="35">
        <v>43894</v>
      </c>
      <c r="D433" s="29" t="s">
        <v>9</v>
      </c>
      <c r="E433" s="29" t="s">
        <v>18</v>
      </c>
      <c r="F433" s="29" t="s">
        <v>17</v>
      </c>
      <c r="G433" s="28">
        <v>600</v>
      </c>
      <c r="H433" s="28">
        <v>1</v>
      </c>
      <c r="I433" s="30">
        <f>TownTeam1[[#This Row],[Selling price]]*TownTeam1[[#This Row],[Item quantity]]</f>
        <v>600</v>
      </c>
      <c r="J433" s="30">
        <f>IF(TownTeam1[[#This Row],[Item name]]=" Jeans - Denim",TownTeam1[[#This Row],[Total sales]]*0.85,TownTeam1[[#This Row],[Total sales]])</f>
        <v>600</v>
      </c>
    </row>
    <row r="434" spans="2:10" x14ac:dyDescent="0.25">
      <c r="B434" s="28">
        <v>430</v>
      </c>
      <c r="C434" s="35">
        <v>43895</v>
      </c>
      <c r="D434" s="29" t="s">
        <v>9</v>
      </c>
      <c r="E434" s="29" t="s">
        <v>18</v>
      </c>
      <c r="F434" s="29" t="s">
        <v>17</v>
      </c>
      <c r="G434" s="28">
        <v>600</v>
      </c>
      <c r="H434" s="28">
        <v>1</v>
      </c>
      <c r="I434" s="30">
        <f>TownTeam1[[#This Row],[Selling price]]*TownTeam1[[#This Row],[Item quantity]]</f>
        <v>600</v>
      </c>
      <c r="J434" s="30">
        <f>IF(TownTeam1[[#This Row],[Item name]]=" Jeans - Denim",TownTeam1[[#This Row],[Total sales]]*0.85,TownTeam1[[#This Row],[Total sales]])</f>
        <v>600</v>
      </c>
    </row>
    <row r="435" spans="2:10" x14ac:dyDescent="0.25">
      <c r="B435" s="28">
        <v>431</v>
      </c>
      <c r="C435" s="35">
        <v>43896</v>
      </c>
      <c r="D435" s="29" t="s">
        <v>9</v>
      </c>
      <c r="E435" s="29" t="s">
        <v>22</v>
      </c>
      <c r="F435" s="29" t="s">
        <v>23</v>
      </c>
      <c r="G435" s="28">
        <v>500</v>
      </c>
      <c r="H435" s="28">
        <v>1</v>
      </c>
      <c r="I435" s="30">
        <f>TownTeam1[[#This Row],[Selling price]]*TownTeam1[[#This Row],[Item quantity]]</f>
        <v>500</v>
      </c>
      <c r="J435" s="30">
        <f>IF(TownTeam1[[#This Row],[Item name]]=" Jeans - Denim",TownTeam1[[#This Row],[Total sales]]*0.85,TownTeam1[[#This Row],[Total sales]])</f>
        <v>500</v>
      </c>
    </row>
    <row r="436" spans="2:10" x14ac:dyDescent="0.25">
      <c r="B436" s="28">
        <v>432</v>
      </c>
      <c r="C436" s="35">
        <v>43897</v>
      </c>
      <c r="D436" s="29" t="s">
        <v>9</v>
      </c>
      <c r="E436" s="29" t="s">
        <v>14</v>
      </c>
      <c r="F436" s="29" t="s">
        <v>11</v>
      </c>
      <c r="G436" s="28">
        <v>900</v>
      </c>
      <c r="H436" s="28">
        <v>1</v>
      </c>
      <c r="I436" s="30">
        <f>TownTeam1[[#This Row],[Selling price]]*TownTeam1[[#This Row],[Item quantity]]</f>
        <v>900</v>
      </c>
      <c r="J436" s="30">
        <f>IF(TownTeam1[[#This Row],[Item name]]=" Jeans - Denim",TownTeam1[[#This Row],[Total sales]]*0.85,TownTeam1[[#This Row],[Total sales]])</f>
        <v>900</v>
      </c>
    </row>
    <row r="437" spans="2:10" x14ac:dyDescent="0.25">
      <c r="B437" s="28">
        <v>433</v>
      </c>
      <c r="C437" s="35">
        <v>43898</v>
      </c>
      <c r="D437" s="29" t="s">
        <v>9</v>
      </c>
      <c r="E437" s="29" t="s">
        <v>21</v>
      </c>
      <c r="F437" s="29" t="s">
        <v>20</v>
      </c>
      <c r="G437" s="28">
        <v>1200</v>
      </c>
      <c r="H437" s="28">
        <v>1</v>
      </c>
      <c r="I437" s="30">
        <f>TownTeam1[[#This Row],[Selling price]]*TownTeam1[[#This Row],[Item quantity]]</f>
        <v>1200</v>
      </c>
      <c r="J437" s="30">
        <f>IF(TownTeam1[[#This Row],[Item name]]=" Jeans - Denim",TownTeam1[[#This Row],[Total sales]]*0.85,TownTeam1[[#This Row],[Total sales]])</f>
        <v>1200</v>
      </c>
    </row>
    <row r="438" spans="2:10" x14ac:dyDescent="0.25">
      <c r="B438" s="28">
        <v>434</v>
      </c>
      <c r="C438" s="35">
        <v>43899</v>
      </c>
      <c r="D438" s="29" t="s">
        <v>9</v>
      </c>
      <c r="E438" s="29" t="s">
        <v>18</v>
      </c>
      <c r="F438" s="29" t="s">
        <v>17</v>
      </c>
      <c r="G438" s="28">
        <v>600</v>
      </c>
      <c r="H438" s="28">
        <v>2</v>
      </c>
      <c r="I438" s="30">
        <f>TownTeam1[[#This Row],[Selling price]]*TownTeam1[[#This Row],[Item quantity]]</f>
        <v>1200</v>
      </c>
      <c r="J438" s="30">
        <f>IF(TownTeam1[[#This Row],[Item name]]=" Jeans - Denim",TownTeam1[[#This Row],[Total sales]]*0.85,TownTeam1[[#This Row],[Total sales]])</f>
        <v>1200</v>
      </c>
    </row>
    <row r="439" spans="2:10" x14ac:dyDescent="0.25">
      <c r="B439" s="28">
        <v>435</v>
      </c>
      <c r="C439" s="35">
        <v>43900</v>
      </c>
      <c r="D439" s="29" t="s">
        <v>9</v>
      </c>
      <c r="E439" s="29" t="s">
        <v>14</v>
      </c>
      <c r="F439" s="29" t="s">
        <v>11</v>
      </c>
      <c r="G439" s="28">
        <v>900</v>
      </c>
      <c r="H439" s="28">
        <v>1</v>
      </c>
      <c r="I439" s="30">
        <f>TownTeam1[[#This Row],[Selling price]]*TownTeam1[[#This Row],[Item quantity]]</f>
        <v>900</v>
      </c>
      <c r="J439" s="30">
        <f>IF(TownTeam1[[#This Row],[Item name]]=" Jeans - Denim",TownTeam1[[#This Row],[Total sales]]*0.85,TownTeam1[[#This Row],[Total sales]])</f>
        <v>900</v>
      </c>
    </row>
    <row r="440" spans="2:10" x14ac:dyDescent="0.25">
      <c r="B440" s="28">
        <v>436</v>
      </c>
      <c r="C440" s="35">
        <v>43901</v>
      </c>
      <c r="D440" s="29" t="s">
        <v>9</v>
      </c>
      <c r="E440" s="29" t="s">
        <v>10</v>
      </c>
      <c r="F440" s="29" t="s">
        <v>11</v>
      </c>
      <c r="G440" s="28">
        <v>1100</v>
      </c>
      <c r="H440" s="28">
        <v>2</v>
      </c>
      <c r="I440" s="30">
        <f>TownTeam1[[#This Row],[Selling price]]*TownTeam1[[#This Row],[Item quantity]]</f>
        <v>2200</v>
      </c>
      <c r="J440" s="30">
        <f>IF(TownTeam1[[#This Row],[Item name]]=" Jeans - Denim",TownTeam1[[#This Row],[Total sales]]*0.85,TownTeam1[[#This Row],[Total sales]])</f>
        <v>2200</v>
      </c>
    </row>
    <row r="441" spans="2:10" x14ac:dyDescent="0.25">
      <c r="B441" s="28">
        <v>437</v>
      </c>
      <c r="C441" s="35">
        <v>43902</v>
      </c>
      <c r="D441" s="29" t="s">
        <v>9</v>
      </c>
      <c r="E441" s="29" t="s">
        <v>24</v>
      </c>
      <c r="F441" s="29" t="s">
        <v>23</v>
      </c>
      <c r="G441" s="28">
        <v>600</v>
      </c>
      <c r="H441" s="28">
        <v>1</v>
      </c>
      <c r="I441" s="30">
        <f>TownTeam1[[#This Row],[Selling price]]*TownTeam1[[#This Row],[Item quantity]]</f>
        <v>600</v>
      </c>
      <c r="J441" s="30">
        <f>IF(TownTeam1[[#This Row],[Item name]]=" Jeans - Denim",TownTeam1[[#This Row],[Total sales]]*0.85,TownTeam1[[#This Row],[Total sales]])</f>
        <v>600</v>
      </c>
    </row>
    <row r="442" spans="2:10" x14ac:dyDescent="0.25">
      <c r="B442" s="28">
        <v>438</v>
      </c>
      <c r="C442" s="35">
        <v>43903</v>
      </c>
      <c r="D442" s="29" t="s">
        <v>9</v>
      </c>
      <c r="E442" s="29" t="s">
        <v>18</v>
      </c>
      <c r="F442" s="29" t="s">
        <v>17</v>
      </c>
      <c r="G442" s="28">
        <v>600</v>
      </c>
      <c r="H442" s="28">
        <v>1</v>
      </c>
      <c r="I442" s="30">
        <f>TownTeam1[[#This Row],[Selling price]]*TownTeam1[[#This Row],[Item quantity]]</f>
        <v>600</v>
      </c>
      <c r="J442" s="30">
        <f>IF(TownTeam1[[#This Row],[Item name]]=" Jeans - Denim",TownTeam1[[#This Row],[Total sales]]*0.85,TownTeam1[[#This Row],[Total sales]])</f>
        <v>600</v>
      </c>
    </row>
    <row r="443" spans="2:10" x14ac:dyDescent="0.25">
      <c r="B443" s="28">
        <v>439</v>
      </c>
      <c r="C443" s="35">
        <v>43904</v>
      </c>
      <c r="D443" s="29" t="s">
        <v>9</v>
      </c>
      <c r="E443" s="29" t="s">
        <v>24</v>
      </c>
      <c r="F443" s="29" t="s">
        <v>23</v>
      </c>
      <c r="G443" s="28">
        <v>300</v>
      </c>
      <c r="H443" s="28">
        <v>2</v>
      </c>
      <c r="I443" s="30">
        <f>TownTeam1[[#This Row],[Selling price]]*TownTeam1[[#This Row],[Item quantity]]</f>
        <v>600</v>
      </c>
      <c r="J443" s="30">
        <f>IF(TownTeam1[[#This Row],[Item name]]=" Jeans - Denim",TownTeam1[[#This Row],[Total sales]]*0.85,TownTeam1[[#This Row],[Total sales]])</f>
        <v>600</v>
      </c>
    </row>
    <row r="444" spans="2:10" x14ac:dyDescent="0.25">
      <c r="B444" s="28">
        <v>440</v>
      </c>
      <c r="C444" s="35">
        <v>43905</v>
      </c>
      <c r="D444" s="29" t="s">
        <v>9</v>
      </c>
      <c r="E444" s="29" t="s">
        <v>10</v>
      </c>
      <c r="F444" s="29" t="s">
        <v>11</v>
      </c>
      <c r="G444" s="28">
        <v>1100</v>
      </c>
      <c r="H444" s="28">
        <v>2</v>
      </c>
      <c r="I444" s="30">
        <f>TownTeam1[[#This Row],[Selling price]]*TownTeam1[[#This Row],[Item quantity]]</f>
        <v>2200</v>
      </c>
      <c r="J444" s="30">
        <f>IF(TownTeam1[[#This Row],[Item name]]=" Jeans - Denim",TownTeam1[[#This Row],[Total sales]]*0.85,TownTeam1[[#This Row],[Total sales]])</f>
        <v>2200</v>
      </c>
    </row>
    <row r="445" spans="2:10" x14ac:dyDescent="0.25">
      <c r="B445" s="28">
        <v>441</v>
      </c>
      <c r="C445" s="35">
        <v>43906</v>
      </c>
      <c r="D445" s="29" t="s">
        <v>9</v>
      </c>
      <c r="E445" s="29" t="s">
        <v>15</v>
      </c>
      <c r="F445" s="29" t="s">
        <v>11</v>
      </c>
      <c r="G445" s="28">
        <v>1000</v>
      </c>
      <c r="H445" s="28">
        <v>1</v>
      </c>
      <c r="I445" s="30">
        <f>TownTeam1[[#This Row],[Selling price]]*TownTeam1[[#This Row],[Item quantity]]</f>
        <v>1000</v>
      </c>
      <c r="J445" s="30">
        <f>IF(TownTeam1[[#This Row],[Item name]]=" Jeans - Denim",TownTeam1[[#This Row],[Total sales]]*0.85,TownTeam1[[#This Row],[Total sales]])</f>
        <v>1000</v>
      </c>
    </row>
    <row r="446" spans="2:10" x14ac:dyDescent="0.25">
      <c r="B446" s="28">
        <v>442</v>
      </c>
      <c r="C446" s="35">
        <v>43907</v>
      </c>
      <c r="D446" s="29" t="s">
        <v>9</v>
      </c>
      <c r="E446" s="29" t="s">
        <v>18</v>
      </c>
      <c r="F446" s="29" t="s">
        <v>17</v>
      </c>
      <c r="G446" s="28">
        <v>600</v>
      </c>
      <c r="H446" s="28">
        <v>1</v>
      </c>
      <c r="I446" s="30">
        <f>TownTeam1[[#This Row],[Selling price]]*TownTeam1[[#This Row],[Item quantity]]</f>
        <v>600</v>
      </c>
      <c r="J446" s="30">
        <f>IF(TownTeam1[[#This Row],[Item name]]=" Jeans - Denim",TownTeam1[[#This Row],[Total sales]]*0.85,TownTeam1[[#This Row],[Total sales]])</f>
        <v>600</v>
      </c>
    </row>
    <row r="447" spans="2:10" x14ac:dyDescent="0.25">
      <c r="B447" s="28">
        <v>443</v>
      </c>
      <c r="C447" s="35">
        <v>43908</v>
      </c>
      <c r="D447" s="29" t="s">
        <v>9</v>
      </c>
      <c r="E447" s="29" t="s">
        <v>14</v>
      </c>
      <c r="F447" s="29" t="s">
        <v>11</v>
      </c>
      <c r="G447" s="28">
        <v>900</v>
      </c>
      <c r="H447" s="28">
        <v>1</v>
      </c>
      <c r="I447" s="30">
        <f>TownTeam1[[#This Row],[Selling price]]*TownTeam1[[#This Row],[Item quantity]]</f>
        <v>900</v>
      </c>
      <c r="J447" s="30">
        <f>IF(TownTeam1[[#This Row],[Item name]]=" Jeans - Denim",TownTeam1[[#This Row],[Total sales]]*0.85,TownTeam1[[#This Row],[Total sales]])</f>
        <v>900</v>
      </c>
    </row>
    <row r="448" spans="2:10" x14ac:dyDescent="0.25">
      <c r="B448" s="28">
        <v>444</v>
      </c>
      <c r="C448" s="35">
        <v>43909</v>
      </c>
      <c r="D448" s="29" t="s">
        <v>9</v>
      </c>
      <c r="E448" s="29" t="s">
        <v>21</v>
      </c>
      <c r="F448" s="29" t="s">
        <v>20</v>
      </c>
      <c r="G448" s="28">
        <v>1200</v>
      </c>
      <c r="H448" s="28">
        <v>1</v>
      </c>
      <c r="I448" s="30">
        <f>TownTeam1[[#This Row],[Selling price]]*TownTeam1[[#This Row],[Item quantity]]</f>
        <v>1200</v>
      </c>
      <c r="J448" s="30">
        <f>IF(TownTeam1[[#This Row],[Item name]]=" Jeans - Denim",TownTeam1[[#This Row],[Total sales]]*0.85,TownTeam1[[#This Row],[Total sales]])</f>
        <v>1200</v>
      </c>
    </row>
    <row r="449" spans="2:10" x14ac:dyDescent="0.25">
      <c r="B449" s="28">
        <v>445</v>
      </c>
      <c r="C449" s="35">
        <v>43910</v>
      </c>
      <c r="D449" s="29" t="s">
        <v>9</v>
      </c>
      <c r="E449" s="29" t="s">
        <v>10</v>
      </c>
      <c r="F449" s="29" t="s">
        <v>11</v>
      </c>
      <c r="G449" s="28">
        <v>1100</v>
      </c>
      <c r="H449" s="28">
        <v>1</v>
      </c>
      <c r="I449" s="30">
        <f>TownTeam1[[#This Row],[Selling price]]*TownTeam1[[#This Row],[Item quantity]]</f>
        <v>1100</v>
      </c>
      <c r="J449" s="30">
        <f>IF(TownTeam1[[#This Row],[Item name]]=" Jeans - Denim",TownTeam1[[#This Row],[Total sales]]*0.85,TownTeam1[[#This Row],[Total sales]])</f>
        <v>1100</v>
      </c>
    </row>
    <row r="450" spans="2:10" x14ac:dyDescent="0.25">
      <c r="B450" s="28">
        <v>446</v>
      </c>
      <c r="C450" s="35">
        <v>43911</v>
      </c>
      <c r="D450" s="29" t="s">
        <v>9</v>
      </c>
      <c r="E450" s="29" t="s">
        <v>19</v>
      </c>
      <c r="F450" s="29" t="s">
        <v>20</v>
      </c>
      <c r="G450" s="28">
        <v>850</v>
      </c>
      <c r="H450" s="28">
        <v>1</v>
      </c>
      <c r="I450" s="30">
        <f>TownTeam1[[#This Row],[Selling price]]*TownTeam1[[#This Row],[Item quantity]]</f>
        <v>850</v>
      </c>
      <c r="J450" s="30">
        <f>IF(TownTeam1[[#This Row],[Item name]]=" Jeans - Denim",TownTeam1[[#This Row],[Total sales]]*0.85,TownTeam1[[#This Row],[Total sales]])</f>
        <v>850</v>
      </c>
    </row>
    <row r="451" spans="2:10" x14ac:dyDescent="0.25">
      <c r="B451" s="28">
        <v>447</v>
      </c>
      <c r="C451" s="35">
        <v>43912</v>
      </c>
      <c r="D451" s="29" t="s">
        <v>9</v>
      </c>
      <c r="E451" s="29" t="s">
        <v>10</v>
      </c>
      <c r="F451" s="29" t="s">
        <v>11</v>
      </c>
      <c r="G451" s="28">
        <v>1100</v>
      </c>
      <c r="H451" s="28">
        <v>1</v>
      </c>
      <c r="I451" s="30">
        <f>TownTeam1[[#This Row],[Selling price]]*TownTeam1[[#This Row],[Item quantity]]</f>
        <v>1100</v>
      </c>
      <c r="J451" s="30">
        <f>IF(TownTeam1[[#This Row],[Item name]]=" Jeans - Denim",TownTeam1[[#This Row],[Total sales]]*0.85,TownTeam1[[#This Row],[Total sales]])</f>
        <v>1100</v>
      </c>
    </row>
    <row r="452" spans="2:10" x14ac:dyDescent="0.25">
      <c r="B452" s="28">
        <v>448</v>
      </c>
      <c r="C452" s="35">
        <v>43913</v>
      </c>
      <c r="D452" s="29" t="s">
        <v>9</v>
      </c>
      <c r="E452" s="29" t="s">
        <v>10</v>
      </c>
      <c r="F452" s="29" t="s">
        <v>11</v>
      </c>
      <c r="G452" s="28">
        <v>1100</v>
      </c>
      <c r="H452" s="28">
        <v>2</v>
      </c>
      <c r="I452" s="30">
        <f>TownTeam1[[#This Row],[Selling price]]*TownTeam1[[#This Row],[Item quantity]]</f>
        <v>2200</v>
      </c>
      <c r="J452" s="30">
        <f>IF(TownTeam1[[#This Row],[Item name]]=" Jeans - Denim",TownTeam1[[#This Row],[Total sales]]*0.85,TownTeam1[[#This Row],[Total sales]])</f>
        <v>2200</v>
      </c>
    </row>
    <row r="453" spans="2:10" x14ac:dyDescent="0.25">
      <c r="B453" s="28">
        <v>449</v>
      </c>
      <c r="C453" s="35">
        <v>43914</v>
      </c>
      <c r="D453" s="29" t="s">
        <v>9</v>
      </c>
      <c r="E453" s="29" t="s">
        <v>14</v>
      </c>
      <c r="F453" s="29" t="s">
        <v>11</v>
      </c>
      <c r="G453" s="28">
        <v>900</v>
      </c>
      <c r="H453" s="28">
        <v>1</v>
      </c>
      <c r="I453" s="30">
        <f>TownTeam1[[#This Row],[Selling price]]*TownTeam1[[#This Row],[Item quantity]]</f>
        <v>900</v>
      </c>
      <c r="J453" s="30">
        <f>IF(TownTeam1[[#This Row],[Item name]]=" Jeans - Denim",TownTeam1[[#This Row],[Total sales]]*0.85,TownTeam1[[#This Row],[Total sales]])</f>
        <v>900</v>
      </c>
    </row>
    <row r="454" spans="2:10" x14ac:dyDescent="0.25">
      <c r="B454" s="28">
        <v>450</v>
      </c>
      <c r="C454" s="35">
        <v>43915</v>
      </c>
      <c r="D454" s="29" t="s">
        <v>9</v>
      </c>
      <c r="E454" s="29" t="s">
        <v>18</v>
      </c>
      <c r="F454" s="29" t="s">
        <v>17</v>
      </c>
      <c r="G454" s="28">
        <v>600</v>
      </c>
      <c r="H454" s="28">
        <v>1</v>
      </c>
      <c r="I454" s="30">
        <f>TownTeam1[[#This Row],[Selling price]]*TownTeam1[[#This Row],[Item quantity]]</f>
        <v>600</v>
      </c>
      <c r="J454" s="30">
        <f>IF(TownTeam1[[#This Row],[Item name]]=" Jeans - Denim",TownTeam1[[#This Row],[Total sales]]*0.85,TownTeam1[[#This Row],[Total sales]])</f>
        <v>600</v>
      </c>
    </row>
    <row r="455" spans="2:10" x14ac:dyDescent="0.25">
      <c r="B455" s="28">
        <v>451</v>
      </c>
      <c r="C455" s="35">
        <v>43916</v>
      </c>
      <c r="D455" s="29" t="s">
        <v>9</v>
      </c>
      <c r="E455" s="29" t="s">
        <v>18</v>
      </c>
      <c r="F455" s="29" t="s">
        <v>17</v>
      </c>
      <c r="G455" s="28">
        <v>600</v>
      </c>
      <c r="H455" s="28">
        <v>1</v>
      </c>
      <c r="I455" s="30">
        <f>TownTeam1[[#This Row],[Selling price]]*TownTeam1[[#This Row],[Item quantity]]</f>
        <v>600</v>
      </c>
      <c r="J455" s="30">
        <f>IF(TownTeam1[[#This Row],[Item name]]=" Jeans - Denim",TownTeam1[[#This Row],[Total sales]]*0.85,TownTeam1[[#This Row],[Total sales]])</f>
        <v>600</v>
      </c>
    </row>
    <row r="456" spans="2:10" x14ac:dyDescent="0.25">
      <c r="B456" s="28">
        <v>452</v>
      </c>
      <c r="C456" s="35">
        <v>43917</v>
      </c>
      <c r="D456" s="29" t="s">
        <v>9</v>
      </c>
      <c r="E456" s="29" t="s">
        <v>21</v>
      </c>
      <c r="F456" s="29" t="s">
        <v>20</v>
      </c>
      <c r="G456" s="28">
        <v>1200</v>
      </c>
      <c r="H456" s="28">
        <v>1</v>
      </c>
      <c r="I456" s="30">
        <f>TownTeam1[[#This Row],[Selling price]]*TownTeam1[[#This Row],[Item quantity]]</f>
        <v>1200</v>
      </c>
      <c r="J456" s="30">
        <f>IF(TownTeam1[[#This Row],[Item name]]=" Jeans - Denim",TownTeam1[[#This Row],[Total sales]]*0.85,TownTeam1[[#This Row],[Total sales]])</f>
        <v>1200</v>
      </c>
    </row>
    <row r="457" spans="2:10" x14ac:dyDescent="0.25">
      <c r="B457" s="28">
        <v>453</v>
      </c>
      <c r="C457" s="35">
        <v>43918</v>
      </c>
      <c r="D457" s="29" t="s">
        <v>9</v>
      </c>
      <c r="E457" s="29" t="s">
        <v>14</v>
      </c>
      <c r="F457" s="29" t="s">
        <v>11</v>
      </c>
      <c r="G457" s="28">
        <v>900</v>
      </c>
      <c r="H457" s="28">
        <v>1</v>
      </c>
      <c r="I457" s="30">
        <f>TownTeam1[[#This Row],[Selling price]]*TownTeam1[[#This Row],[Item quantity]]</f>
        <v>900</v>
      </c>
      <c r="J457" s="30">
        <f>IF(TownTeam1[[#This Row],[Item name]]=" Jeans - Denim",TownTeam1[[#This Row],[Total sales]]*0.85,TownTeam1[[#This Row],[Total sales]])</f>
        <v>900</v>
      </c>
    </row>
    <row r="458" spans="2:10" x14ac:dyDescent="0.25">
      <c r="B458" s="28">
        <v>454</v>
      </c>
      <c r="C458" s="35">
        <v>43919</v>
      </c>
      <c r="D458" s="29" t="s">
        <v>9</v>
      </c>
      <c r="E458" s="29" t="s">
        <v>16</v>
      </c>
      <c r="F458" s="29" t="s">
        <v>17</v>
      </c>
      <c r="G458" s="28">
        <v>800</v>
      </c>
      <c r="H458" s="28">
        <v>1</v>
      </c>
      <c r="I458" s="30">
        <f>TownTeam1[[#This Row],[Selling price]]*TownTeam1[[#This Row],[Item quantity]]</f>
        <v>800</v>
      </c>
      <c r="J458" s="30">
        <f>IF(TownTeam1[[#This Row],[Item name]]=" Jeans - Denim",TownTeam1[[#This Row],[Total sales]]*0.85,TownTeam1[[#This Row],[Total sales]])</f>
        <v>800</v>
      </c>
    </row>
    <row r="459" spans="2:10" x14ac:dyDescent="0.25">
      <c r="B459" s="28">
        <v>455</v>
      </c>
      <c r="C459" s="35">
        <v>43920</v>
      </c>
      <c r="D459" s="29" t="s">
        <v>9</v>
      </c>
      <c r="E459" s="29" t="s">
        <v>14</v>
      </c>
      <c r="F459" s="29" t="s">
        <v>11</v>
      </c>
      <c r="G459" s="28">
        <v>900</v>
      </c>
      <c r="H459" s="28">
        <v>1</v>
      </c>
      <c r="I459" s="30">
        <f>TownTeam1[[#This Row],[Selling price]]*TownTeam1[[#This Row],[Item quantity]]</f>
        <v>900</v>
      </c>
      <c r="J459" s="30">
        <f>IF(TownTeam1[[#This Row],[Item name]]=" Jeans - Denim",TownTeam1[[#This Row],[Total sales]]*0.85,TownTeam1[[#This Row],[Total sales]])</f>
        <v>900</v>
      </c>
    </row>
    <row r="460" spans="2:10" x14ac:dyDescent="0.25">
      <c r="B460" s="28">
        <v>456</v>
      </c>
      <c r="C460" s="35">
        <v>43921</v>
      </c>
      <c r="D460" s="29" t="s">
        <v>9</v>
      </c>
      <c r="E460" s="29" t="s">
        <v>10</v>
      </c>
      <c r="F460" s="29" t="s">
        <v>11</v>
      </c>
      <c r="G460" s="28">
        <v>1100</v>
      </c>
      <c r="H460" s="28">
        <v>1</v>
      </c>
      <c r="I460" s="30">
        <f>TownTeam1[[#This Row],[Selling price]]*TownTeam1[[#This Row],[Item quantity]]</f>
        <v>1100</v>
      </c>
      <c r="J460" s="30">
        <f>IF(TownTeam1[[#This Row],[Item name]]=" Jeans - Denim",TownTeam1[[#This Row],[Total sales]]*0.85,TownTeam1[[#This Row],[Total sales]])</f>
        <v>1100</v>
      </c>
    </row>
    <row r="461" spans="2:10" x14ac:dyDescent="0.25">
      <c r="B461" s="28">
        <v>457</v>
      </c>
      <c r="C461" s="35">
        <v>43922</v>
      </c>
      <c r="D461" s="29" t="s">
        <v>9</v>
      </c>
      <c r="E461" s="29" t="s">
        <v>24</v>
      </c>
      <c r="F461" s="29" t="s">
        <v>23</v>
      </c>
      <c r="G461" s="28">
        <v>600</v>
      </c>
      <c r="H461" s="28">
        <v>1</v>
      </c>
      <c r="I461" s="30">
        <f>TownTeam1[[#This Row],[Selling price]]*TownTeam1[[#This Row],[Item quantity]]</f>
        <v>600</v>
      </c>
      <c r="J461" s="30">
        <f>IF(TownTeam1[[#This Row],[Item name]]=" Jeans - Denim",TownTeam1[[#This Row],[Total sales]]*0.85,TownTeam1[[#This Row],[Total sales]])</f>
        <v>600</v>
      </c>
    </row>
    <row r="462" spans="2:10" x14ac:dyDescent="0.25">
      <c r="B462" s="28">
        <v>458</v>
      </c>
      <c r="C462" s="35">
        <v>43923</v>
      </c>
      <c r="D462" s="29" t="s">
        <v>9</v>
      </c>
      <c r="E462" s="29" t="s">
        <v>10</v>
      </c>
      <c r="F462" s="29" t="s">
        <v>11</v>
      </c>
      <c r="G462" s="28">
        <v>1100</v>
      </c>
      <c r="H462" s="28">
        <v>1</v>
      </c>
      <c r="I462" s="30">
        <f>TownTeam1[[#This Row],[Selling price]]*TownTeam1[[#This Row],[Item quantity]]</f>
        <v>1100</v>
      </c>
      <c r="J462" s="30">
        <f>IF(TownTeam1[[#This Row],[Item name]]=" Jeans - Denim",TownTeam1[[#This Row],[Total sales]]*0.85,TownTeam1[[#This Row],[Total sales]])</f>
        <v>1100</v>
      </c>
    </row>
    <row r="463" spans="2:10" x14ac:dyDescent="0.25">
      <c r="B463" s="28">
        <v>459</v>
      </c>
      <c r="C463" s="35">
        <v>43924</v>
      </c>
      <c r="D463" s="29" t="s">
        <v>9</v>
      </c>
      <c r="E463" s="29" t="s">
        <v>16</v>
      </c>
      <c r="F463" s="29" t="s">
        <v>17</v>
      </c>
      <c r="G463" s="28">
        <v>800</v>
      </c>
      <c r="H463" s="28">
        <v>1</v>
      </c>
      <c r="I463" s="30">
        <f>TownTeam1[[#This Row],[Selling price]]*TownTeam1[[#This Row],[Item quantity]]</f>
        <v>800</v>
      </c>
      <c r="J463" s="30">
        <f>IF(TownTeam1[[#This Row],[Item name]]=" Jeans - Denim",TownTeam1[[#This Row],[Total sales]]*0.85,TownTeam1[[#This Row],[Total sales]])</f>
        <v>800</v>
      </c>
    </row>
    <row r="464" spans="2:10" x14ac:dyDescent="0.25">
      <c r="B464" s="28">
        <v>460</v>
      </c>
      <c r="C464" s="35">
        <v>43925</v>
      </c>
      <c r="D464" s="29" t="s">
        <v>9</v>
      </c>
      <c r="E464" s="29" t="s">
        <v>14</v>
      </c>
      <c r="F464" s="29" t="s">
        <v>11</v>
      </c>
      <c r="G464" s="28">
        <v>900</v>
      </c>
      <c r="H464" s="28">
        <v>1</v>
      </c>
      <c r="I464" s="30">
        <f>TownTeam1[[#This Row],[Selling price]]*TownTeam1[[#This Row],[Item quantity]]</f>
        <v>900</v>
      </c>
      <c r="J464" s="30">
        <f>IF(TownTeam1[[#This Row],[Item name]]=" Jeans - Denim",TownTeam1[[#This Row],[Total sales]]*0.85,TownTeam1[[#This Row],[Total sales]])</f>
        <v>900</v>
      </c>
    </row>
    <row r="465" spans="2:10" x14ac:dyDescent="0.25">
      <c r="B465" s="28">
        <v>461</v>
      </c>
      <c r="C465" s="35">
        <v>43926</v>
      </c>
      <c r="D465" s="29" t="s">
        <v>9</v>
      </c>
      <c r="E465" s="29" t="s">
        <v>10</v>
      </c>
      <c r="F465" s="29" t="s">
        <v>11</v>
      </c>
      <c r="G465" s="28">
        <v>1100</v>
      </c>
      <c r="H465" s="28">
        <v>1</v>
      </c>
      <c r="I465" s="30">
        <f>TownTeam1[[#This Row],[Selling price]]*TownTeam1[[#This Row],[Item quantity]]</f>
        <v>1100</v>
      </c>
      <c r="J465" s="30">
        <f>IF(TownTeam1[[#This Row],[Item name]]=" Jeans - Denim",TownTeam1[[#This Row],[Total sales]]*0.85,TownTeam1[[#This Row],[Total sales]])</f>
        <v>1100</v>
      </c>
    </row>
    <row r="466" spans="2:10" x14ac:dyDescent="0.25">
      <c r="B466" s="28">
        <v>462</v>
      </c>
      <c r="C466" s="35">
        <v>43927</v>
      </c>
      <c r="D466" s="29" t="s">
        <v>9</v>
      </c>
      <c r="E466" s="29" t="s">
        <v>14</v>
      </c>
      <c r="F466" s="29" t="s">
        <v>11</v>
      </c>
      <c r="G466" s="28">
        <v>900</v>
      </c>
      <c r="H466" s="28">
        <v>1</v>
      </c>
      <c r="I466" s="30">
        <f>TownTeam1[[#This Row],[Selling price]]*TownTeam1[[#This Row],[Item quantity]]</f>
        <v>900</v>
      </c>
      <c r="J466" s="30">
        <f>IF(TownTeam1[[#This Row],[Item name]]=" Jeans - Denim",TownTeam1[[#This Row],[Total sales]]*0.85,TownTeam1[[#This Row],[Total sales]])</f>
        <v>900</v>
      </c>
    </row>
    <row r="467" spans="2:10" x14ac:dyDescent="0.25">
      <c r="B467" s="28">
        <v>463</v>
      </c>
      <c r="C467" s="35">
        <v>43928</v>
      </c>
      <c r="D467" s="29" t="s">
        <v>9</v>
      </c>
      <c r="E467" s="29" t="s">
        <v>18</v>
      </c>
      <c r="F467" s="29" t="s">
        <v>17</v>
      </c>
      <c r="G467" s="28">
        <v>600</v>
      </c>
      <c r="H467" s="28">
        <v>1</v>
      </c>
      <c r="I467" s="30">
        <f>TownTeam1[[#This Row],[Selling price]]*TownTeam1[[#This Row],[Item quantity]]</f>
        <v>600</v>
      </c>
      <c r="J467" s="30">
        <f>IF(TownTeam1[[#This Row],[Item name]]=" Jeans - Denim",TownTeam1[[#This Row],[Total sales]]*0.85,TownTeam1[[#This Row],[Total sales]])</f>
        <v>600</v>
      </c>
    </row>
    <row r="468" spans="2:10" x14ac:dyDescent="0.25">
      <c r="B468" s="28">
        <v>464</v>
      </c>
      <c r="C468" s="35">
        <v>43929</v>
      </c>
      <c r="D468" s="29" t="s">
        <v>9</v>
      </c>
      <c r="E468" s="29" t="s">
        <v>10</v>
      </c>
      <c r="F468" s="29" t="s">
        <v>11</v>
      </c>
      <c r="G468" s="28">
        <v>1100</v>
      </c>
      <c r="H468" s="28">
        <v>1</v>
      </c>
      <c r="I468" s="30">
        <f>TownTeam1[[#This Row],[Selling price]]*TownTeam1[[#This Row],[Item quantity]]</f>
        <v>1100</v>
      </c>
      <c r="J468" s="30">
        <f>IF(TownTeam1[[#This Row],[Item name]]=" Jeans - Denim",TownTeam1[[#This Row],[Total sales]]*0.85,TownTeam1[[#This Row],[Total sales]])</f>
        <v>1100</v>
      </c>
    </row>
    <row r="469" spans="2:10" x14ac:dyDescent="0.25">
      <c r="B469" s="28">
        <v>465</v>
      </c>
      <c r="C469" s="35">
        <v>43930</v>
      </c>
      <c r="D469" s="29" t="s">
        <v>9</v>
      </c>
      <c r="E469" s="29" t="s">
        <v>10</v>
      </c>
      <c r="F469" s="29" t="s">
        <v>11</v>
      </c>
      <c r="G469" s="28">
        <v>1100</v>
      </c>
      <c r="H469" s="28">
        <v>2</v>
      </c>
      <c r="I469" s="30">
        <f>TownTeam1[[#This Row],[Selling price]]*TownTeam1[[#This Row],[Item quantity]]</f>
        <v>2200</v>
      </c>
      <c r="J469" s="30">
        <f>IF(TownTeam1[[#This Row],[Item name]]=" Jeans - Denim",TownTeam1[[#This Row],[Total sales]]*0.85,TownTeam1[[#This Row],[Total sales]])</f>
        <v>2200</v>
      </c>
    </row>
    <row r="470" spans="2:10" x14ac:dyDescent="0.25">
      <c r="B470" s="28">
        <v>466</v>
      </c>
      <c r="C470" s="35">
        <v>43931</v>
      </c>
      <c r="D470" s="29" t="s">
        <v>9</v>
      </c>
      <c r="E470" s="29" t="s">
        <v>10</v>
      </c>
      <c r="F470" s="29" t="s">
        <v>11</v>
      </c>
      <c r="G470" s="28">
        <v>1100</v>
      </c>
      <c r="H470" s="28">
        <v>1</v>
      </c>
      <c r="I470" s="30">
        <f>TownTeam1[[#This Row],[Selling price]]*TownTeam1[[#This Row],[Item quantity]]</f>
        <v>1100</v>
      </c>
      <c r="J470" s="30">
        <f>IF(TownTeam1[[#This Row],[Item name]]=" Jeans - Denim",TownTeam1[[#This Row],[Total sales]]*0.85,TownTeam1[[#This Row],[Total sales]])</f>
        <v>1100</v>
      </c>
    </row>
    <row r="471" spans="2:10" x14ac:dyDescent="0.25">
      <c r="B471" s="28">
        <v>467</v>
      </c>
      <c r="C471" s="35">
        <v>43932</v>
      </c>
      <c r="D471" s="29" t="s">
        <v>9</v>
      </c>
      <c r="E471" s="29" t="s">
        <v>10</v>
      </c>
      <c r="F471" s="29" t="s">
        <v>11</v>
      </c>
      <c r="G471" s="28">
        <v>1100</v>
      </c>
      <c r="H471" s="28">
        <v>1</v>
      </c>
      <c r="I471" s="30">
        <f>TownTeam1[[#This Row],[Selling price]]*TownTeam1[[#This Row],[Item quantity]]</f>
        <v>1100</v>
      </c>
      <c r="J471" s="30">
        <f>IF(TownTeam1[[#This Row],[Item name]]=" Jeans - Denim",TownTeam1[[#This Row],[Total sales]]*0.85,TownTeam1[[#This Row],[Total sales]])</f>
        <v>1100</v>
      </c>
    </row>
    <row r="472" spans="2:10" x14ac:dyDescent="0.25">
      <c r="B472" s="28">
        <v>468</v>
      </c>
      <c r="C472" s="35">
        <v>43933</v>
      </c>
      <c r="D472" s="29" t="s">
        <v>9</v>
      </c>
      <c r="E472" s="29" t="s">
        <v>10</v>
      </c>
      <c r="F472" s="29" t="s">
        <v>11</v>
      </c>
      <c r="G472" s="28">
        <v>1100</v>
      </c>
      <c r="H472" s="28">
        <v>1</v>
      </c>
      <c r="I472" s="30">
        <f>TownTeam1[[#This Row],[Selling price]]*TownTeam1[[#This Row],[Item quantity]]</f>
        <v>1100</v>
      </c>
      <c r="J472" s="30">
        <f>IF(TownTeam1[[#This Row],[Item name]]=" Jeans - Denim",TownTeam1[[#This Row],[Total sales]]*0.85,TownTeam1[[#This Row],[Total sales]])</f>
        <v>1100</v>
      </c>
    </row>
    <row r="473" spans="2:10" x14ac:dyDescent="0.25">
      <c r="B473" s="28">
        <v>469</v>
      </c>
      <c r="C473" s="35">
        <v>43934</v>
      </c>
      <c r="D473" s="29" t="s">
        <v>9</v>
      </c>
      <c r="E473" s="29" t="s">
        <v>18</v>
      </c>
      <c r="F473" s="29" t="s">
        <v>17</v>
      </c>
      <c r="G473" s="28">
        <v>600</v>
      </c>
      <c r="H473" s="28">
        <v>1</v>
      </c>
      <c r="I473" s="30">
        <f>TownTeam1[[#This Row],[Selling price]]*TownTeam1[[#This Row],[Item quantity]]</f>
        <v>600</v>
      </c>
      <c r="J473" s="30">
        <f>IF(TownTeam1[[#This Row],[Item name]]=" Jeans - Denim",TownTeam1[[#This Row],[Total sales]]*0.85,TownTeam1[[#This Row],[Total sales]])</f>
        <v>600</v>
      </c>
    </row>
    <row r="474" spans="2:10" x14ac:dyDescent="0.25">
      <c r="B474" s="28">
        <v>470</v>
      </c>
      <c r="C474" s="35">
        <v>43935</v>
      </c>
      <c r="D474" s="29" t="s">
        <v>9</v>
      </c>
      <c r="E474" s="29" t="s">
        <v>10</v>
      </c>
      <c r="F474" s="29" t="s">
        <v>11</v>
      </c>
      <c r="G474" s="28">
        <v>1100</v>
      </c>
      <c r="H474" s="28">
        <v>1</v>
      </c>
      <c r="I474" s="30">
        <f>TownTeam1[[#This Row],[Selling price]]*TownTeam1[[#This Row],[Item quantity]]</f>
        <v>1100</v>
      </c>
      <c r="J474" s="30">
        <f>IF(TownTeam1[[#This Row],[Item name]]=" Jeans - Denim",TownTeam1[[#This Row],[Total sales]]*0.85,TownTeam1[[#This Row],[Total sales]])</f>
        <v>1100</v>
      </c>
    </row>
    <row r="475" spans="2:10" x14ac:dyDescent="0.25">
      <c r="B475" s="28">
        <v>471</v>
      </c>
      <c r="C475" s="35">
        <v>43936</v>
      </c>
      <c r="D475" s="29" t="s">
        <v>9</v>
      </c>
      <c r="E475" s="29" t="s">
        <v>18</v>
      </c>
      <c r="F475" s="29" t="s">
        <v>17</v>
      </c>
      <c r="G475" s="28">
        <v>600</v>
      </c>
      <c r="H475" s="28">
        <v>1</v>
      </c>
      <c r="I475" s="30">
        <f>TownTeam1[[#This Row],[Selling price]]*TownTeam1[[#This Row],[Item quantity]]</f>
        <v>600</v>
      </c>
      <c r="J475" s="30">
        <f>IF(TownTeam1[[#This Row],[Item name]]=" Jeans - Denim",TownTeam1[[#This Row],[Total sales]]*0.85,TownTeam1[[#This Row],[Total sales]])</f>
        <v>600</v>
      </c>
    </row>
    <row r="476" spans="2:10" x14ac:dyDescent="0.25">
      <c r="B476" s="28">
        <v>472</v>
      </c>
      <c r="C476" s="35">
        <v>43937</v>
      </c>
      <c r="D476" s="29" t="s">
        <v>9</v>
      </c>
      <c r="E476" s="29" t="s">
        <v>14</v>
      </c>
      <c r="F476" s="29" t="s">
        <v>11</v>
      </c>
      <c r="G476" s="28">
        <v>900</v>
      </c>
      <c r="H476" s="28">
        <v>1</v>
      </c>
      <c r="I476" s="30">
        <f>TownTeam1[[#This Row],[Selling price]]*TownTeam1[[#This Row],[Item quantity]]</f>
        <v>900</v>
      </c>
      <c r="J476" s="30">
        <f>IF(TownTeam1[[#This Row],[Item name]]=" Jeans - Denim",TownTeam1[[#This Row],[Total sales]]*0.85,TownTeam1[[#This Row],[Total sales]])</f>
        <v>900</v>
      </c>
    </row>
    <row r="477" spans="2:10" x14ac:dyDescent="0.25">
      <c r="B477" s="28">
        <v>473</v>
      </c>
      <c r="C477" s="35">
        <v>43938</v>
      </c>
      <c r="D477" s="29" t="s">
        <v>9</v>
      </c>
      <c r="E477" s="29" t="s">
        <v>10</v>
      </c>
      <c r="F477" s="29" t="s">
        <v>11</v>
      </c>
      <c r="G477" s="28">
        <v>1100</v>
      </c>
      <c r="H477" s="28">
        <v>1</v>
      </c>
      <c r="I477" s="30">
        <f>TownTeam1[[#This Row],[Selling price]]*TownTeam1[[#This Row],[Item quantity]]</f>
        <v>1100</v>
      </c>
      <c r="J477" s="30">
        <f>IF(TownTeam1[[#This Row],[Item name]]=" Jeans - Denim",TownTeam1[[#This Row],[Total sales]]*0.85,TownTeam1[[#This Row],[Total sales]])</f>
        <v>1100</v>
      </c>
    </row>
    <row r="478" spans="2:10" x14ac:dyDescent="0.25">
      <c r="B478" s="28">
        <v>474</v>
      </c>
      <c r="C478" s="35">
        <v>43939</v>
      </c>
      <c r="D478" s="29" t="s">
        <v>9</v>
      </c>
      <c r="E478" s="29" t="s">
        <v>18</v>
      </c>
      <c r="F478" s="29" t="s">
        <v>17</v>
      </c>
      <c r="G478" s="28">
        <v>600</v>
      </c>
      <c r="H478" s="28">
        <v>1</v>
      </c>
      <c r="I478" s="30">
        <f>TownTeam1[[#This Row],[Selling price]]*TownTeam1[[#This Row],[Item quantity]]</f>
        <v>600</v>
      </c>
      <c r="J478" s="30">
        <f>IF(TownTeam1[[#This Row],[Item name]]=" Jeans - Denim",TownTeam1[[#This Row],[Total sales]]*0.85,TownTeam1[[#This Row],[Total sales]])</f>
        <v>600</v>
      </c>
    </row>
    <row r="479" spans="2:10" x14ac:dyDescent="0.25">
      <c r="B479" s="28">
        <v>475</v>
      </c>
      <c r="C479" s="35">
        <v>43940</v>
      </c>
      <c r="D479" s="29" t="s">
        <v>9</v>
      </c>
      <c r="E479" s="29" t="s">
        <v>18</v>
      </c>
      <c r="F479" s="29" t="s">
        <v>17</v>
      </c>
      <c r="G479" s="28">
        <v>600</v>
      </c>
      <c r="H479" s="28">
        <v>1</v>
      </c>
      <c r="I479" s="30">
        <f>TownTeam1[[#This Row],[Selling price]]*TownTeam1[[#This Row],[Item quantity]]</f>
        <v>600</v>
      </c>
      <c r="J479" s="30">
        <f>IF(TownTeam1[[#This Row],[Item name]]=" Jeans - Denim",TownTeam1[[#This Row],[Total sales]]*0.85,TownTeam1[[#This Row],[Total sales]])</f>
        <v>600</v>
      </c>
    </row>
    <row r="480" spans="2:10" x14ac:dyDescent="0.25">
      <c r="B480" s="28">
        <v>476</v>
      </c>
      <c r="C480" s="35">
        <v>43941</v>
      </c>
      <c r="D480" s="29" t="s">
        <v>9</v>
      </c>
      <c r="E480" s="29" t="s">
        <v>19</v>
      </c>
      <c r="F480" s="29" t="s">
        <v>20</v>
      </c>
      <c r="G480" s="28">
        <v>850</v>
      </c>
      <c r="H480" s="28">
        <v>1</v>
      </c>
      <c r="I480" s="30">
        <f>TownTeam1[[#This Row],[Selling price]]*TownTeam1[[#This Row],[Item quantity]]</f>
        <v>850</v>
      </c>
      <c r="J480" s="30">
        <f>IF(TownTeam1[[#This Row],[Item name]]=" Jeans - Denim",TownTeam1[[#This Row],[Total sales]]*0.85,TownTeam1[[#This Row],[Total sales]])</f>
        <v>850</v>
      </c>
    </row>
    <row r="481" spans="2:10" x14ac:dyDescent="0.25">
      <c r="B481" s="28">
        <v>477</v>
      </c>
      <c r="C481" s="35">
        <v>43942</v>
      </c>
      <c r="D481" s="29" t="s">
        <v>9</v>
      </c>
      <c r="E481" s="29" t="s">
        <v>18</v>
      </c>
      <c r="F481" s="29" t="s">
        <v>17</v>
      </c>
      <c r="G481" s="28">
        <v>600</v>
      </c>
      <c r="H481" s="28">
        <v>1</v>
      </c>
      <c r="I481" s="30">
        <f>TownTeam1[[#This Row],[Selling price]]*TownTeam1[[#This Row],[Item quantity]]</f>
        <v>600</v>
      </c>
      <c r="J481" s="30">
        <f>IF(TownTeam1[[#This Row],[Item name]]=" Jeans - Denim",TownTeam1[[#This Row],[Total sales]]*0.85,TownTeam1[[#This Row],[Total sales]])</f>
        <v>600</v>
      </c>
    </row>
    <row r="482" spans="2:10" x14ac:dyDescent="0.25">
      <c r="B482" s="28">
        <v>478</v>
      </c>
      <c r="C482" s="35">
        <v>43943</v>
      </c>
      <c r="D482" s="29" t="s">
        <v>9</v>
      </c>
      <c r="E482" s="29" t="s">
        <v>10</v>
      </c>
      <c r="F482" s="29" t="s">
        <v>11</v>
      </c>
      <c r="G482" s="28">
        <v>1100</v>
      </c>
      <c r="H482" s="28">
        <v>1</v>
      </c>
      <c r="I482" s="30">
        <f>TownTeam1[[#This Row],[Selling price]]*TownTeam1[[#This Row],[Item quantity]]</f>
        <v>1100</v>
      </c>
      <c r="J482" s="30">
        <f>IF(TownTeam1[[#This Row],[Item name]]=" Jeans - Denim",TownTeam1[[#This Row],[Total sales]]*0.85,TownTeam1[[#This Row],[Total sales]])</f>
        <v>1100</v>
      </c>
    </row>
    <row r="483" spans="2:10" x14ac:dyDescent="0.25">
      <c r="B483" s="28">
        <v>479</v>
      </c>
      <c r="C483" s="35">
        <v>43944</v>
      </c>
      <c r="D483" s="29" t="s">
        <v>9</v>
      </c>
      <c r="E483" s="29" t="s">
        <v>24</v>
      </c>
      <c r="F483" s="29" t="s">
        <v>23</v>
      </c>
      <c r="G483" s="28">
        <v>300</v>
      </c>
      <c r="H483" s="28">
        <v>1</v>
      </c>
      <c r="I483" s="30">
        <f>TownTeam1[[#This Row],[Selling price]]*TownTeam1[[#This Row],[Item quantity]]</f>
        <v>300</v>
      </c>
      <c r="J483" s="30">
        <f>IF(TownTeam1[[#This Row],[Item name]]=" Jeans - Denim",TownTeam1[[#This Row],[Total sales]]*0.85,TownTeam1[[#This Row],[Total sales]])</f>
        <v>300</v>
      </c>
    </row>
    <row r="484" spans="2:10" x14ac:dyDescent="0.25">
      <c r="B484" s="28">
        <v>480</v>
      </c>
      <c r="C484" s="35">
        <v>43945</v>
      </c>
      <c r="D484" s="29" t="s">
        <v>9</v>
      </c>
      <c r="E484" s="29" t="s">
        <v>24</v>
      </c>
      <c r="F484" s="29" t="s">
        <v>23</v>
      </c>
      <c r="G484" s="28">
        <v>300</v>
      </c>
      <c r="H484" s="28">
        <v>1</v>
      </c>
      <c r="I484" s="30">
        <f>TownTeam1[[#This Row],[Selling price]]*TownTeam1[[#This Row],[Item quantity]]</f>
        <v>300</v>
      </c>
      <c r="J484" s="30">
        <f>IF(TownTeam1[[#This Row],[Item name]]=" Jeans - Denim",TownTeam1[[#This Row],[Total sales]]*0.85,TownTeam1[[#This Row],[Total sales]])</f>
        <v>300</v>
      </c>
    </row>
    <row r="485" spans="2:10" x14ac:dyDescent="0.25">
      <c r="B485" s="28">
        <v>481</v>
      </c>
      <c r="C485" s="35">
        <v>43946</v>
      </c>
      <c r="D485" s="29" t="s">
        <v>9</v>
      </c>
      <c r="E485" s="29" t="s">
        <v>18</v>
      </c>
      <c r="F485" s="29" t="s">
        <v>17</v>
      </c>
      <c r="G485" s="28">
        <v>600</v>
      </c>
      <c r="H485" s="28">
        <v>1</v>
      </c>
      <c r="I485" s="30">
        <f>TownTeam1[[#This Row],[Selling price]]*TownTeam1[[#This Row],[Item quantity]]</f>
        <v>600</v>
      </c>
      <c r="J485" s="30">
        <f>IF(TownTeam1[[#This Row],[Item name]]=" Jeans - Denim",TownTeam1[[#This Row],[Total sales]]*0.85,TownTeam1[[#This Row],[Total sales]])</f>
        <v>600</v>
      </c>
    </row>
    <row r="486" spans="2:10" x14ac:dyDescent="0.25">
      <c r="B486" s="28">
        <v>482</v>
      </c>
      <c r="C486" s="35">
        <v>43947</v>
      </c>
      <c r="D486" s="29" t="s">
        <v>9</v>
      </c>
      <c r="E486" s="29" t="s">
        <v>22</v>
      </c>
      <c r="F486" s="29" t="s">
        <v>23</v>
      </c>
      <c r="G486" s="28">
        <v>800</v>
      </c>
      <c r="H486" s="28">
        <v>1</v>
      </c>
      <c r="I486" s="30">
        <f>TownTeam1[[#This Row],[Selling price]]*TownTeam1[[#This Row],[Item quantity]]</f>
        <v>800</v>
      </c>
      <c r="J486" s="30">
        <f>IF(TownTeam1[[#This Row],[Item name]]=" Jeans - Denim",TownTeam1[[#This Row],[Total sales]]*0.85,TownTeam1[[#This Row],[Total sales]])</f>
        <v>800</v>
      </c>
    </row>
    <row r="487" spans="2:10" x14ac:dyDescent="0.25">
      <c r="B487" s="28">
        <v>483</v>
      </c>
      <c r="C487" s="35">
        <v>43948</v>
      </c>
      <c r="D487" s="29" t="s">
        <v>9</v>
      </c>
      <c r="E487" s="29" t="s">
        <v>18</v>
      </c>
      <c r="F487" s="29" t="s">
        <v>17</v>
      </c>
      <c r="G487" s="28">
        <v>600</v>
      </c>
      <c r="H487" s="28">
        <v>1</v>
      </c>
      <c r="I487" s="30">
        <f>TownTeam1[[#This Row],[Selling price]]*TownTeam1[[#This Row],[Item quantity]]</f>
        <v>600</v>
      </c>
      <c r="J487" s="30">
        <f>IF(TownTeam1[[#This Row],[Item name]]=" Jeans - Denim",TownTeam1[[#This Row],[Total sales]]*0.85,TownTeam1[[#This Row],[Total sales]])</f>
        <v>600</v>
      </c>
    </row>
    <row r="488" spans="2:10" x14ac:dyDescent="0.25">
      <c r="B488" s="28">
        <v>484</v>
      </c>
      <c r="C488" s="35">
        <v>43949</v>
      </c>
      <c r="D488" s="29" t="s">
        <v>9</v>
      </c>
      <c r="E488" s="29" t="s">
        <v>22</v>
      </c>
      <c r="F488" s="29" t="s">
        <v>23</v>
      </c>
      <c r="G488" s="28">
        <v>500</v>
      </c>
      <c r="H488" s="28">
        <v>1</v>
      </c>
      <c r="I488" s="30">
        <f>TownTeam1[[#This Row],[Selling price]]*TownTeam1[[#This Row],[Item quantity]]</f>
        <v>500</v>
      </c>
      <c r="J488" s="30">
        <f>IF(TownTeam1[[#This Row],[Item name]]=" Jeans - Denim",TownTeam1[[#This Row],[Total sales]]*0.85,TownTeam1[[#This Row],[Total sales]])</f>
        <v>500</v>
      </c>
    </row>
    <row r="489" spans="2:10" x14ac:dyDescent="0.25">
      <c r="B489" s="28">
        <v>485</v>
      </c>
      <c r="C489" s="35">
        <v>43950</v>
      </c>
      <c r="D489" s="29" t="s">
        <v>9</v>
      </c>
      <c r="E489" s="29" t="s">
        <v>10</v>
      </c>
      <c r="F489" s="29" t="s">
        <v>11</v>
      </c>
      <c r="G489" s="28">
        <v>1100</v>
      </c>
      <c r="H489" s="28">
        <v>1</v>
      </c>
      <c r="I489" s="30">
        <f>TownTeam1[[#This Row],[Selling price]]*TownTeam1[[#This Row],[Item quantity]]</f>
        <v>1100</v>
      </c>
      <c r="J489" s="30">
        <f>IF(TownTeam1[[#This Row],[Item name]]=" Jeans - Denim",TownTeam1[[#This Row],[Total sales]]*0.85,TownTeam1[[#This Row],[Total sales]])</f>
        <v>1100</v>
      </c>
    </row>
    <row r="490" spans="2:10" x14ac:dyDescent="0.25">
      <c r="B490" s="28">
        <v>486</v>
      </c>
      <c r="C490" s="35">
        <v>43951</v>
      </c>
      <c r="D490" s="29" t="s">
        <v>9</v>
      </c>
      <c r="E490" s="29" t="s">
        <v>18</v>
      </c>
      <c r="F490" s="29" t="s">
        <v>17</v>
      </c>
      <c r="G490" s="28">
        <v>600</v>
      </c>
      <c r="H490" s="28">
        <v>1</v>
      </c>
      <c r="I490" s="30">
        <f>TownTeam1[[#This Row],[Selling price]]*TownTeam1[[#This Row],[Item quantity]]</f>
        <v>600</v>
      </c>
      <c r="J490" s="30">
        <f>IF(TownTeam1[[#This Row],[Item name]]=" Jeans - Denim",TownTeam1[[#This Row],[Total sales]]*0.85,TownTeam1[[#This Row],[Total sales]])</f>
        <v>600</v>
      </c>
    </row>
    <row r="491" spans="2:10" x14ac:dyDescent="0.25">
      <c r="B491" s="28">
        <v>487</v>
      </c>
      <c r="C491" s="35">
        <v>43952</v>
      </c>
      <c r="D491" s="29" t="s">
        <v>9</v>
      </c>
      <c r="E491" s="29" t="s">
        <v>12</v>
      </c>
      <c r="F491" s="29" t="s">
        <v>11</v>
      </c>
      <c r="G491" s="28">
        <v>900</v>
      </c>
      <c r="H491" s="28">
        <v>1</v>
      </c>
      <c r="I491" s="30">
        <f>TownTeam1[[#This Row],[Selling price]]*TownTeam1[[#This Row],[Item quantity]]</f>
        <v>900</v>
      </c>
      <c r="J491" s="30">
        <f>IF(TownTeam1[[#This Row],[Item name]]=" Jeans - Denim",TownTeam1[[#This Row],[Total sales]]*0.85,TownTeam1[[#This Row],[Total sales]])</f>
        <v>765</v>
      </c>
    </row>
    <row r="492" spans="2:10" x14ac:dyDescent="0.25">
      <c r="B492" s="28">
        <v>488</v>
      </c>
      <c r="C492" s="35">
        <v>43953</v>
      </c>
      <c r="D492" s="29" t="s">
        <v>9</v>
      </c>
      <c r="E492" s="29" t="s">
        <v>10</v>
      </c>
      <c r="F492" s="29" t="s">
        <v>11</v>
      </c>
      <c r="G492" s="28">
        <v>1100</v>
      </c>
      <c r="H492" s="28">
        <v>1</v>
      </c>
      <c r="I492" s="30">
        <f>TownTeam1[[#This Row],[Selling price]]*TownTeam1[[#This Row],[Item quantity]]</f>
        <v>1100</v>
      </c>
      <c r="J492" s="30">
        <f>IF(TownTeam1[[#This Row],[Item name]]=" Jeans - Denim",TownTeam1[[#This Row],[Total sales]]*0.85,TownTeam1[[#This Row],[Total sales]])</f>
        <v>1100</v>
      </c>
    </row>
    <row r="493" spans="2:10" x14ac:dyDescent="0.25">
      <c r="B493" s="28">
        <v>489</v>
      </c>
      <c r="C493" s="35">
        <v>43954</v>
      </c>
      <c r="D493" s="29" t="s">
        <v>9</v>
      </c>
      <c r="E493" s="29" t="s">
        <v>21</v>
      </c>
      <c r="F493" s="29" t="s">
        <v>20</v>
      </c>
      <c r="G493" s="28">
        <v>1200</v>
      </c>
      <c r="H493" s="28">
        <v>1</v>
      </c>
      <c r="I493" s="30">
        <f>TownTeam1[[#This Row],[Selling price]]*TownTeam1[[#This Row],[Item quantity]]</f>
        <v>1200</v>
      </c>
      <c r="J493" s="30">
        <f>IF(TownTeam1[[#This Row],[Item name]]=" Jeans - Denim",TownTeam1[[#This Row],[Total sales]]*0.85,TownTeam1[[#This Row],[Total sales]])</f>
        <v>1200</v>
      </c>
    </row>
    <row r="494" spans="2:10" x14ac:dyDescent="0.25">
      <c r="B494" s="28">
        <v>490</v>
      </c>
      <c r="C494" s="35">
        <v>43955</v>
      </c>
      <c r="D494" s="29" t="s">
        <v>9</v>
      </c>
      <c r="E494" s="29" t="s">
        <v>10</v>
      </c>
      <c r="F494" s="29" t="s">
        <v>11</v>
      </c>
      <c r="G494" s="28">
        <v>1100</v>
      </c>
      <c r="H494" s="28">
        <v>1</v>
      </c>
      <c r="I494" s="30">
        <f>TownTeam1[[#This Row],[Selling price]]*TownTeam1[[#This Row],[Item quantity]]</f>
        <v>1100</v>
      </c>
      <c r="J494" s="30">
        <f>IF(TownTeam1[[#This Row],[Item name]]=" Jeans - Denim",TownTeam1[[#This Row],[Total sales]]*0.85,TownTeam1[[#This Row],[Total sales]])</f>
        <v>1100</v>
      </c>
    </row>
    <row r="495" spans="2:10" x14ac:dyDescent="0.25">
      <c r="B495" s="28">
        <v>491</v>
      </c>
      <c r="C495" s="35">
        <v>43956</v>
      </c>
      <c r="D495" s="29" t="s">
        <v>9</v>
      </c>
      <c r="E495" s="29" t="s">
        <v>12</v>
      </c>
      <c r="F495" s="29" t="s">
        <v>11</v>
      </c>
      <c r="G495" s="28">
        <v>900</v>
      </c>
      <c r="H495" s="28">
        <v>1</v>
      </c>
      <c r="I495" s="30">
        <f>TownTeam1[[#This Row],[Selling price]]*TownTeam1[[#This Row],[Item quantity]]</f>
        <v>900</v>
      </c>
      <c r="J495" s="30">
        <f>IF(TownTeam1[[#This Row],[Item name]]=" Jeans - Denim",TownTeam1[[#This Row],[Total sales]]*0.85,TownTeam1[[#This Row],[Total sales]])</f>
        <v>765</v>
      </c>
    </row>
    <row r="496" spans="2:10" x14ac:dyDescent="0.25">
      <c r="B496" s="28">
        <v>492</v>
      </c>
      <c r="C496" s="35">
        <v>43957</v>
      </c>
      <c r="D496" s="29" t="s">
        <v>9</v>
      </c>
      <c r="E496" s="29" t="s">
        <v>22</v>
      </c>
      <c r="F496" s="29" t="s">
        <v>23</v>
      </c>
      <c r="G496" s="28">
        <v>900</v>
      </c>
      <c r="H496" s="28">
        <v>1</v>
      </c>
      <c r="I496" s="30">
        <f>TownTeam1[[#This Row],[Selling price]]*TownTeam1[[#This Row],[Item quantity]]</f>
        <v>900</v>
      </c>
      <c r="J496" s="30">
        <f>IF(TownTeam1[[#This Row],[Item name]]=" Jeans - Denim",TownTeam1[[#This Row],[Total sales]]*0.85,TownTeam1[[#This Row],[Total sales]])</f>
        <v>900</v>
      </c>
    </row>
    <row r="497" spans="2:10" x14ac:dyDescent="0.25">
      <c r="B497" s="28">
        <v>493</v>
      </c>
      <c r="C497" s="35">
        <v>43958</v>
      </c>
      <c r="D497" s="29" t="s">
        <v>9</v>
      </c>
      <c r="E497" s="29" t="s">
        <v>24</v>
      </c>
      <c r="F497" s="29" t="s">
        <v>23</v>
      </c>
      <c r="G497" s="28">
        <v>600</v>
      </c>
      <c r="H497" s="28">
        <v>1</v>
      </c>
      <c r="I497" s="30">
        <f>TownTeam1[[#This Row],[Selling price]]*TownTeam1[[#This Row],[Item quantity]]</f>
        <v>600</v>
      </c>
      <c r="J497" s="30">
        <f>IF(TownTeam1[[#This Row],[Item name]]=" Jeans - Denim",TownTeam1[[#This Row],[Total sales]]*0.85,TownTeam1[[#This Row],[Total sales]])</f>
        <v>600</v>
      </c>
    </row>
    <row r="498" spans="2:10" x14ac:dyDescent="0.25">
      <c r="B498" s="28">
        <v>494</v>
      </c>
      <c r="C498" s="35">
        <v>43959</v>
      </c>
      <c r="D498" s="29" t="s">
        <v>9</v>
      </c>
      <c r="E498" s="29" t="s">
        <v>10</v>
      </c>
      <c r="F498" s="29" t="s">
        <v>11</v>
      </c>
      <c r="G498" s="28">
        <v>1100</v>
      </c>
      <c r="H498" s="28">
        <v>1</v>
      </c>
      <c r="I498" s="30">
        <f>TownTeam1[[#This Row],[Selling price]]*TownTeam1[[#This Row],[Item quantity]]</f>
        <v>1100</v>
      </c>
      <c r="J498" s="30">
        <f>IF(TownTeam1[[#This Row],[Item name]]=" Jeans - Denim",TownTeam1[[#This Row],[Total sales]]*0.85,TownTeam1[[#This Row],[Total sales]])</f>
        <v>1100</v>
      </c>
    </row>
    <row r="499" spans="2:10" x14ac:dyDescent="0.25">
      <c r="B499" s="28">
        <v>495</v>
      </c>
      <c r="C499" s="35">
        <v>43960</v>
      </c>
      <c r="D499" s="29" t="s">
        <v>9</v>
      </c>
      <c r="E499" s="29" t="s">
        <v>10</v>
      </c>
      <c r="F499" s="29" t="s">
        <v>11</v>
      </c>
      <c r="G499" s="28">
        <v>1100</v>
      </c>
      <c r="H499" s="28">
        <v>1</v>
      </c>
      <c r="I499" s="30">
        <f>TownTeam1[[#This Row],[Selling price]]*TownTeam1[[#This Row],[Item quantity]]</f>
        <v>1100</v>
      </c>
      <c r="J499" s="30">
        <f>IF(TownTeam1[[#This Row],[Item name]]=" Jeans - Denim",TownTeam1[[#This Row],[Total sales]]*0.85,TownTeam1[[#This Row],[Total sales]])</f>
        <v>1100</v>
      </c>
    </row>
    <row r="500" spans="2:10" x14ac:dyDescent="0.25">
      <c r="B500" s="28">
        <v>496</v>
      </c>
      <c r="C500" s="35">
        <v>43961</v>
      </c>
      <c r="D500" s="29" t="s">
        <v>9</v>
      </c>
      <c r="E500" s="29" t="s">
        <v>22</v>
      </c>
      <c r="F500" s="29" t="s">
        <v>23</v>
      </c>
      <c r="G500" s="28">
        <v>500</v>
      </c>
      <c r="H500" s="28">
        <v>1</v>
      </c>
      <c r="I500" s="30">
        <f>TownTeam1[[#This Row],[Selling price]]*TownTeam1[[#This Row],[Item quantity]]</f>
        <v>500</v>
      </c>
      <c r="J500" s="30">
        <f>IF(TownTeam1[[#This Row],[Item name]]=" Jeans - Denim",TownTeam1[[#This Row],[Total sales]]*0.85,TownTeam1[[#This Row],[Total sales]])</f>
        <v>500</v>
      </c>
    </row>
    <row r="501" spans="2:10" x14ac:dyDescent="0.25">
      <c r="B501" s="28">
        <v>497</v>
      </c>
      <c r="C501" s="35">
        <v>43962</v>
      </c>
      <c r="D501" s="29" t="s">
        <v>9</v>
      </c>
      <c r="E501" s="29" t="s">
        <v>19</v>
      </c>
      <c r="F501" s="29" t="s">
        <v>20</v>
      </c>
      <c r="G501" s="28">
        <v>850</v>
      </c>
      <c r="H501" s="28">
        <v>1</v>
      </c>
      <c r="I501" s="30">
        <f>TownTeam1[[#This Row],[Selling price]]*TownTeam1[[#This Row],[Item quantity]]</f>
        <v>850</v>
      </c>
      <c r="J501" s="30">
        <f>IF(TownTeam1[[#This Row],[Item name]]=" Jeans - Denim",TownTeam1[[#This Row],[Total sales]]*0.85,TownTeam1[[#This Row],[Total sales]])</f>
        <v>850</v>
      </c>
    </row>
    <row r="502" spans="2:10" x14ac:dyDescent="0.25">
      <c r="B502" s="28">
        <v>498</v>
      </c>
      <c r="C502" s="35">
        <v>43963</v>
      </c>
      <c r="D502" s="29" t="s">
        <v>9</v>
      </c>
      <c r="E502" s="29" t="s">
        <v>10</v>
      </c>
      <c r="F502" s="29" t="s">
        <v>11</v>
      </c>
      <c r="G502" s="28">
        <v>1100</v>
      </c>
      <c r="H502" s="28">
        <v>1</v>
      </c>
      <c r="I502" s="30">
        <f>TownTeam1[[#This Row],[Selling price]]*TownTeam1[[#This Row],[Item quantity]]</f>
        <v>1100</v>
      </c>
      <c r="J502" s="30">
        <f>IF(TownTeam1[[#This Row],[Item name]]=" Jeans - Denim",TownTeam1[[#This Row],[Total sales]]*0.85,TownTeam1[[#This Row],[Total sales]])</f>
        <v>1100</v>
      </c>
    </row>
    <row r="503" spans="2:10" x14ac:dyDescent="0.25">
      <c r="B503" s="28">
        <v>499</v>
      </c>
      <c r="C503" s="35">
        <v>43964</v>
      </c>
      <c r="D503" s="29" t="s">
        <v>9</v>
      </c>
      <c r="E503" s="29" t="s">
        <v>24</v>
      </c>
      <c r="F503" s="29" t="s">
        <v>23</v>
      </c>
      <c r="G503" s="28">
        <v>300</v>
      </c>
      <c r="H503" s="28">
        <v>1</v>
      </c>
      <c r="I503" s="30">
        <f>TownTeam1[[#This Row],[Selling price]]*TownTeam1[[#This Row],[Item quantity]]</f>
        <v>300</v>
      </c>
      <c r="J503" s="30">
        <f>IF(TownTeam1[[#This Row],[Item name]]=" Jeans - Denim",TownTeam1[[#This Row],[Total sales]]*0.85,TownTeam1[[#This Row],[Total sales]])</f>
        <v>300</v>
      </c>
    </row>
    <row r="504" spans="2:10" x14ac:dyDescent="0.25">
      <c r="B504" s="28">
        <v>500</v>
      </c>
      <c r="C504" s="35">
        <v>43965</v>
      </c>
      <c r="D504" s="29" t="s">
        <v>9</v>
      </c>
      <c r="E504" s="29" t="s">
        <v>16</v>
      </c>
      <c r="F504" s="29" t="s">
        <v>17</v>
      </c>
      <c r="G504" s="28">
        <v>800</v>
      </c>
      <c r="H504" s="28">
        <v>1</v>
      </c>
      <c r="I504" s="30">
        <f>TownTeam1[[#This Row],[Selling price]]*TownTeam1[[#This Row],[Item quantity]]</f>
        <v>800</v>
      </c>
      <c r="J504" s="30">
        <f>IF(TownTeam1[[#This Row],[Item name]]=" Jeans - Denim",TownTeam1[[#This Row],[Total sales]]*0.85,TownTeam1[[#This Row],[Total sales]])</f>
        <v>800</v>
      </c>
    </row>
    <row r="505" spans="2:10" x14ac:dyDescent="0.25">
      <c r="B505" s="28">
        <v>501</v>
      </c>
      <c r="C505" s="35">
        <v>43966</v>
      </c>
      <c r="D505" s="29" t="s">
        <v>9</v>
      </c>
      <c r="E505" s="29" t="s">
        <v>12</v>
      </c>
      <c r="F505" s="29" t="s">
        <v>11</v>
      </c>
      <c r="G505" s="28">
        <v>900</v>
      </c>
      <c r="H505" s="28">
        <v>1</v>
      </c>
      <c r="I505" s="30">
        <f>TownTeam1[[#This Row],[Selling price]]*TownTeam1[[#This Row],[Item quantity]]</f>
        <v>900</v>
      </c>
      <c r="J505" s="30">
        <f>IF(TownTeam1[[#This Row],[Item name]]=" Jeans - Denim",TownTeam1[[#This Row],[Total sales]]*0.85,TownTeam1[[#This Row],[Total sales]])</f>
        <v>765</v>
      </c>
    </row>
    <row r="506" spans="2:10" x14ac:dyDescent="0.25">
      <c r="B506" s="28">
        <v>502</v>
      </c>
      <c r="C506" s="35">
        <v>43967</v>
      </c>
      <c r="D506" s="29" t="s">
        <v>9</v>
      </c>
      <c r="E506" s="29" t="s">
        <v>10</v>
      </c>
      <c r="F506" s="29" t="s">
        <v>11</v>
      </c>
      <c r="G506" s="28">
        <v>1100</v>
      </c>
      <c r="H506" s="28">
        <v>1</v>
      </c>
      <c r="I506" s="30">
        <f>TownTeam1[[#This Row],[Selling price]]*TownTeam1[[#This Row],[Item quantity]]</f>
        <v>1100</v>
      </c>
      <c r="J506" s="30">
        <f>IF(TownTeam1[[#This Row],[Item name]]=" Jeans - Denim",TownTeam1[[#This Row],[Total sales]]*0.85,TownTeam1[[#This Row],[Total sales]])</f>
        <v>1100</v>
      </c>
    </row>
    <row r="507" spans="2:10" x14ac:dyDescent="0.25">
      <c r="B507" s="28">
        <v>503</v>
      </c>
      <c r="C507" s="35">
        <v>43968</v>
      </c>
      <c r="D507" s="29" t="s">
        <v>9</v>
      </c>
      <c r="E507" s="29" t="s">
        <v>22</v>
      </c>
      <c r="F507" s="29" t="s">
        <v>23</v>
      </c>
      <c r="G507" s="28">
        <v>500</v>
      </c>
      <c r="H507" s="28">
        <v>1</v>
      </c>
      <c r="I507" s="30">
        <f>TownTeam1[[#This Row],[Selling price]]*TownTeam1[[#This Row],[Item quantity]]</f>
        <v>500</v>
      </c>
      <c r="J507" s="30">
        <f>IF(TownTeam1[[#This Row],[Item name]]=" Jeans - Denim",TownTeam1[[#This Row],[Total sales]]*0.85,TownTeam1[[#This Row],[Total sales]])</f>
        <v>500</v>
      </c>
    </row>
    <row r="508" spans="2:10" x14ac:dyDescent="0.25">
      <c r="B508" s="28">
        <v>504</v>
      </c>
      <c r="C508" s="35">
        <v>43969</v>
      </c>
      <c r="D508" s="29" t="s">
        <v>9</v>
      </c>
      <c r="E508" s="29" t="s">
        <v>18</v>
      </c>
      <c r="F508" s="29" t="s">
        <v>17</v>
      </c>
      <c r="G508" s="28">
        <v>600</v>
      </c>
      <c r="H508" s="28">
        <v>1</v>
      </c>
      <c r="I508" s="30">
        <f>TownTeam1[[#This Row],[Selling price]]*TownTeam1[[#This Row],[Item quantity]]</f>
        <v>600</v>
      </c>
      <c r="J508" s="30">
        <f>IF(TownTeam1[[#This Row],[Item name]]=" Jeans - Denim",TownTeam1[[#This Row],[Total sales]]*0.85,TownTeam1[[#This Row],[Total sales]])</f>
        <v>600</v>
      </c>
    </row>
    <row r="509" spans="2:10" x14ac:dyDescent="0.25">
      <c r="B509" s="28">
        <v>505</v>
      </c>
      <c r="C509" s="35">
        <v>43970</v>
      </c>
      <c r="D509" s="29" t="s">
        <v>9</v>
      </c>
      <c r="E509" s="29" t="s">
        <v>14</v>
      </c>
      <c r="F509" s="29" t="s">
        <v>11</v>
      </c>
      <c r="G509" s="28">
        <v>900</v>
      </c>
      <c r="H509" s="28">
        <v>1</v>
      </c>
      <c r="I509" s="30">
        <f>TownTeam1[[#This Row],[Selling price]]*TownTeam1[[#This Row],[Item quantity]]</f>
        <v>900</v>
      </c>
      <c r="J509" s="30">
        <f>IF(TownTeam1[[#This Row],[Item name]]=" Jeans - Denim",TownTeam1[[#This Row],[Total sales]]*0.85,TownTeam1[[#This Row],[Total sales]])</f>
        <v>900</v>
      </c>
    </row>
    <row r="510" spans="2:10" x14ac:dyDescent="0.25">
      <c r="B510" s="28">
        <v>506</v>
      </c>
      <c r="C510" s="35">
        <v>43971</v>
      </c>
      <c r="D510" s="29" t="s">
        <v>9</v>
      </c>
      <c r="E510" s="29" t="s">
        <v>24</v>
      </c>
      <c r="F510" s="29" t="s">
        <v>23</v>
      </c>
      <c r="G510" s="28">
        <v>600</v>
      </c>
      <c r="H510" s="28">
        <v>1</v>
      </c>
      <c r="I510" s="30">
        <f>TownTeam1[[#This Row],[Selling price]]*TownTeam1[[#This Row],[Item quantity]]</f>
        <v>600</v>
      </c>
      <c r="J510" s="30">
        <f>IF(TownTeam1[[#This Row],[Item name]]=" Jeans - Denim",TownTeam1[[#This Row],[Total sales]]*0.85,TownTeam1[[#This Row],[Total sales]])</f>
        <v>600</v>
      </c>
    </row>
    <row r="511" spans="2:10" x14ac:dyDescent="0.25">
      <c r="B511" s="28">
        <v>507</v>
      </c>
      <c r="C511" s="35">
        <v>43972</v>
      </c>
      <c r="D511" s="29" t="s">
        <v>9</v>
      </c>
      <c r="E511" s="29" t="s">
        <v>18</v>
      </c>
      <c r="F511" s="29" t="s">
        <v>17</v>
      </c>
      <c r="G511" s="28">
        <v>600</v>
      </c>
      <c r="H511" s="28">
        <v>1</v>
      </c>
      <c r="I511" s="30">
        <f>TownTeam1[[#This Row],[Selling price]]*TownTeam1[[#This Row],[Item quantity]]</f>
        <v>600</v>
      </c>
      <c r="J511" s="30">
        <f>IF(TownTeam1[[#This Row],[Item name]]=" Jeans - Denim",TownTeam1[[#This Row],[Total sales]]*0.85,TownTeam1[[#This Row],[Total sales]])</f>
        <v>600</v>
      </c>
    </row>
    <row r="512" spans="2:10" x14ac:dyDescent="0.25">
      <c r="B512" s="28">
        <v>508</v>
      </c>
      <c r="C512" s="35">
        <v>43973</v>
      </c>
      <c r="D512" s="29" t="s">
        <v>9</v>
      </c>
      <c r="E512" s="29" t="s">
        <v>10</v>
      </c>
      <c r="F512" s="29" t="s">
        <v>11</v>
      </c>
      <c r="G512" s="28">
        <v>1100</v>
      </c>
      <c r="H512" s="28">
        <v>1</v>
      </c>
      <c r="I512" s="30">
        <f>TownTeam1[[#This Row],[Selling price]]*TownTeam1[[#This Row],[Item quantity]]</f>
        <v>1100</v>
      </c>
      <c r="J512" s="30">
        <f>IF(TownTeam1[[#This Row],[Item name]]=" Jeans - Denim",TownTeam1[[#This Row],[Total sales]]*0.85,TownTeam1[[#This Row],[Total sales]])</f>
        <v>1100</v>
      </c>
    </row>
    <row r="513" spans="2:10" x14ac:dyDescent="0.25">
      <c r="B513" s="28">
        <v>509</v>
      </c>
      <c r="C513" s="35">
        <v>43974</v>
      </c>
      <c r="D513" s="29" t="s">
        <v>9</v>
      </c>
      <c r="E513" s="29" t="s">
        <v>10</v>
      </c>
      <c r="F513" s="29" t="s">
        <v>11</v>
      </c>
      <c r="G513" s="28">
        <v>1100</v>
      </c>
      <c r="H513" s="28">
        <v>2</v>
      </c>
      <c r="I513" s="30">
        <f>TownTeam1[[#This Row],[Selling price]]*TownTeam1[[#This Row],[Item quantity]]</f>
        <v>2200</v>
      </c>
      <c r="J513" s="30">
        <f>IF(TownTeam1[[#This Row],[Item name]]=" Jeans - Denim",TownTeam1[[#This Row],[Total sales]]*0.85,TownTeam1[[#This Row],[Total sales]])</f>
        <v>2200</v>
      </c>
    </row>
    <row r="514" spans="2:10" x14ac:dyDescent="0.25">
      <c r="B514" s="28">
        <v>510</v>
      </c>
      <c r="C514" s="35">
        <v>43975</v>
      </c>
      <c r="D514" s="29" t="s">
        <v>9</v>
      </c>
      <c r="E514" s="29" t="s">
        <v>10</v>
      </c>
      <c r="F514" s="29" t="s">
        <v>11</v>
      </c>
      <c r="G514" s="28">
        <v>1100</v>
      </c>
      <c r="H514" s="28">
        <v>1</v>
      </c>
      <c r="I514" s="30">
        <f>TownTeam1[[#This Row],[Selling price]]*TownTeam1[[#This Row],[Item quantity]]</f>
        <v>1100</v>
      </c>
      <c r="J514" s="30">
        <f>IF(TownTeam1[[#This Row],[Item name]]=" Jeans - Denim",TownTeam1[[#This Row],[Total sales]]*0.85,TownTeam1[[#This Row],[Total sales]])</f>
        <v>1100</v>
      </c>
    </row>
    <row r="515" spans="2:10" x14ac:dyDescent="0.25">
      <c r="B515" s="28">
        <v>511</v>
      </c>
      <c r="C515" s="35">
        <v>43976</v>
      </c>
      <c r="D515" s="29" t="s">
        <v>9</v>
      </c>
      <c r="E515" s="29" t="s">
        <v>19</v>
      </c>
      <c r="F515" s="29" t="s">
        <v>20</v>
      </c>
      <c r="G515" s="28">
        <v>850</v>
      </c>
      <c r="H515" s="28">
        <v>1</v>
      </c>
      <c r="I515" s="30">
        <f>TownTeam1[[#This Row],[Selling price]]*TownTeam1[[#This Row],[Item quantity]]</f>
        <v>850</v>
      </c>
      <c r="J515" s="30">
        <f>IF(TownTeam1[[#This Row],[Item name]]=" Jeans - Denim",TownTeam1[[#This Row],[Total sales]]*0.85,TownTeam1[[#This Row],[Total sales]])</f>
        <v>850</v>
      </c>
    </row>
    <row r="516" spans="2:10" x14ac:dyDescent="0.25">
      <c r="B516" s="28">
        <v>512</v>
      </c>
      <c r="C516" s="35">
        <v>43977</v>
      </c>
      <c r="D516" s="29" t="s">
        <v>9</v>
      </c>
      <c r="E516" s="29" t="s">
        <v>10</v>
      </c>
      <c r="F516" s="29" t="s">
        <v>11</v>
      </c>
      <c r="G516" s="28">
        <v>1100</v>
      </c>
      <c r="H516" s="28">
        <v>1</v>
      </c>
      <c r="I516" s="30">
        <f>TownTeam1[[#This Row],[Selling price]]*TownTeam1[[#This Row],[Item quantity]]</f>
        <v>1100</v>
      </c>
      <c r="J516" s="30">
        <f>IF(TownTeam1[[#This Row],[Item name]]=" Jeans - Denim",TownTeam1[[#This Row],[Total sales]]*0.85,TownTeam1[[#This Row],[Total sales]])</f>
        <v>1100</v>
      </c>
    </row>
    <row r="517" spans="2:10" x14ac:dyDescent="0.25">
      <c r="B517" s="28">
        <v>513</v>
      </c>
      <c r="C517" s="35">
        <v>43978</v>
      </c>
      <c r="D517" s="29" t="s">
        <v>9</v>
      </c>
      <c r="E517" s="29" t="s">
        <v>12</v>
      </c>
      <c r="F517" s="29" t="s">
        <v>11</v>
      </c>
      <c r="G517" s="28">
        <v>900</v>
      </c>
      <c r="H517" s="28">
        <v>1</v>
      </c>
      <c r="I517" s="30">
        <f>TownTeam1[[#This Row],[Selling price]]*TownTeam1[[#This Row],[Item quantity]]</f>
        <v>900</v>
      </c>
      <c r="J517" s="30">
        <f>IF(TownTeam1[[#This Row],[Item name]]=" Jeans - Denim",TownTeam1[[#This Row],[Total sales]]*0.85,TownTeam1[[#This Row],[Total sales]])</f>
        <v>765</v>
      </c>
    </row>
    <row r="518" spans="2:10" x14ac:dyDescent="0.25">
      <c r="B518" s="28">
        <v>514</v>
      </c>
      <c r="C518" s="35">
        <v>43979</v>
      </c>
      <c r="D518" s="29" t="s">
        <v>9</v>
      </c>
      <c r="E518" s="29" t="s">
        <v>14</v>
      </c>
      <c r="F518" s="29" t="s">
        <v>11</v>
      </c>
      <c r="G518" s="28">
        <v>900</v>
      </c>
      <c r="H518" s="28">
        <v>1</v>
      </c>
      <c r="I518" s="30">
        <f>TownTeam1[[#This Row],[Selling price]]*TownTeam1[[#This Row],[Item quantity]]</f>
        <v>900</v>
      </c>
      <c r="J518" s="30">
        <f>IF(TownTeam1[[#This Row],[Item name]]=" Jeans - Denim",TownTeam1[[#This Row],[Total sales]]*0.85,TownTeam1[[#This Row],[Total sales]])</f>
        <v>900</v>
      </c>
    </row>
    <row r="519" spans="2:10" x14ac:dyDescent="0.25">
      <c r="B519" s="28">
        <v>515</v>
      </c>
      <c r="C519" s="35">
        <v>43980</v>
      </c>
      <c r="D519" s="29" t="s">
        <v>9</v>
      </c>
      <c r="E519" s="29" t="s">
        <v>12</v>
      </c>
      <c r="F519" s="29" t="s">
        <v>11</v>
      </c>
      <c r="G519" s="28">
        <v>900</v>
      </c>
      <c r="H519" s="28">
        <v>1</v>
      </c>
      <c r="I519" s="30">
        <f>TownTeam1[[#This Row],[Selling price]]*TownTeam1[[#This Row],[Item quantity]]</f>
        <v>900</v>
      </c>
      <c r="J519" s="30">
        <f>IF(TownTeam1[[#This Row],[Item name]]=" Jeans - Denim",TownTeam1[[#This Row],[Total sales]]*0.85,TownTeam1[[#This Row],[Total sales]])</f>
        <v>765</v>
      </c>
    </row>
    <row r="520" spans="2:10" x14ac:dyDescent="0.25">
      <c r="B520" s="28">
        <v>516</v>
      </c>
      <c r="C520" s="35">
        <v>43981</v>
      </c>
      <c r="D520" s="29" t="s">
        <v>9</v>
      </c>
      <c r="E520" s="29" t="s">
        <v>15</v>
      </c>
      <c r="F520" s="29" t="s">
        <v>11</v>
      </c>
      <c r="G520" s="28">
        <v>1000</v>
      </c>
      <c r="H520" s="28">
        <v>1</v>
      </c>
      <c r="I520" s="30">
        <f>TownTeam1[[#This Row],[Selling price]]*TownTeam1[[#This Row],[Item quantity]]</f>
        <v>1000</v>
      </c>
      <c r="J520" s="30">
        <f>IF(TownTeam1[[#This Row],[Item name]]=" Jeans - Denim",TownTeam1[[#This Row],[Total sales]]*0.85,TownTeam1[[#This Row],[Total sales]])</f>
        <v>1000</v>
      </c>
    </row>
    <row r="521" spans="2:10" x14ac:dyDescent="0.25">
      <c r="B521" s="28">
        <v>517</v>
      </c>
      <c r="C521" s="35">
        <v>43982</v>
      </c>
      <c r="D521" s="29" t="s">
        <v>9</v>
      </c>
      <c r="E521" s="29" t="s">
        <v>21</v>
      </c>
      <c r="F521" s="29" t="s">
        <v>20</v>
      </c>
      <c r="G521" s="28">
        <v>1200</v>
      </c>
      <c r="H521" s="28">
        <v>1</v>
      </c>
      <c r="I521" s="30">
        <f>TownTeam1[[#This Row],[Selling price]]*TownTeam1[[#This Row],[Item quantity]]</f>
        <v>1200</v>
      </c>
      <c r="J521" s="30">
        <f>IF(TownTeam1[[#This Row],[Item name]]=" Jeans - Denim",TownTeam1[[#This Row],[Total sales]]*0.85,TownTeam1[[#This Row],[Total sales]])</f>
        <v>1200</v>
      </c>
    </row>
    <row r="522" spans="2:10" x14ac:dyDescent="0.25">
      <c r="B522" s="28">
        <v>518</v>
      </c>
      <c r="C522" s="35">
        <v>43983</v>
      </c>
      <c r="D522" s="29" t="s">
        <v>9</v>
      </c>
      <c r="E522" s="29" t="s">
        <v>14</v>
      </c>
      <c r="F522" s="29" t="s">
        <v>11</v>
      </c>
      <c r="G522" s="28">
        <v>900</v>
      </c>
      <c r="H522" s="28">
        <v>1</v>
      </c>
      <c r="I522" s="30">
        <f>TownTeam1[[#This Row],[Selling price]]*TownTeam1[[#This Row],[Item quantity]]</f>
        <v>900</v>
      </c>
      <c r="J522" s="30">
        <f>IF(TownTeam1[[#This Row],[Item name]]=" Jeans - Denim",TownTeam1[[#This Row],[Total sales]]*0.85,TownTeam1[[#This Row],[Total sales]])</f>
        <v>900</v>
      </c>
    </row>
    <row r="523" spans="2:10" x14ac:dyDescent="0.25">
      <c r="B523" s="28">
        <v>519</v>
      </c>
      <c r="C523" s="35">
        <v>43984</v>
      </c>
      <c r="D523" s="29" t="s">
        <v>9</v>
      </c>
      <c r="E523" s="29" t="s">
        <v>18</v>
      </c>
      <c r="F523" s="29" t="s">
        <v>17</v>
      </c>
      <c r="G523" s="28">
        <v>600</v>
      </c>
      <c r="H523" s="28">
        <v>1</v>
      </c>
      <c r="I523" s="30">
        <f>TownTeam1[[#This Row],[Selling price]]*TownTeam1[[#This Row],[Item quantity]]</f>
        <v>600</v>
      </c>
      <c r="J523" s="30">
        <f>IF(TownTeam1[[#This Row],[Item name]]=" Jeans - Denim",TownTeam1[[#This Row],[Total sales]]*0.85,TownTeam1[[#This Row],[Total sales]])</f>
        <v>600</v>
      </c>
    </row>
    <row r="524" spans="2:10" x14ac:dyDescent="0.25">
      <c r="B524" s="28">
        <v>520</v>
      </c>
      <c r="C524" s="35">
        <v>43985</v>
      </c>
      <c r="D524" s="29" t="s">
        <v>9</v>
      </c>
      <c r="E524" s="29" t="s">
        <v>24</v>
      </c>
      <c r="F524" s="29" t="s">
        <v>23</v>
      </c>
      <c r="G524" s="28">
        <v>600</v>
      </c>
      <c r="H524" s="28">
        <v>1</v>
      </c>
      <c r="I524" s="30">
        <f>TownTeam1[[#This Row],[Selling price]]*TownTeam1[[#This Row],[Item quantity]]</f>
        <v>600</v>
      </c>
      <c r="J524" s="30">
        <f>IF(TownTeam1[[#This Row],[Item name]]=" Jeans - Denim",TownTeam1[[#This Row],[Total sales]]*0.85,TownTeam1[[#This Row],[Total sales]])</f>
        <v>600</v>
      </c>
    </row>
    <row r="525" spans="2:10" x14ac:dyDescent="0.25">
      <c r="B525" s="28">
        <v>521</v>
      </c>
      <c r="C525" s="35">
        <v>43986</v>
      </c>
      <c r="D525" s="29" t="s">
        <v>9</v>
      </c>
      <c r="E525" s="29" t="s">
        <v>16</v>
      </c>
      <c r="F525" s="29" t="s">
        <v>17</v>
      </c>
      <c r="G525" s="28">
        <v>800</v>
      </c>
      <c r="H525" s="28">
        <v>1</v>
      </c>
      <c r="I525" s="30">
        <f>TownTeam1[[#This Row],[Selling price]]*TownTeam1[[#This Row],[Item quantity]]</f>
        <v>800</v>
      </c>
      <c r="J525" s="30">
        <f>IF(TownTeam1[[#This Row],[Item name]]=" Jeans - Denim",TownTeam1[[#This Row],[Total sales]]*0.85,TownTeam1[[#This Row],[Total sales]])</f>
        <v>800</v>
      </c>
    </row>
    <row r="526" spans="2:10" x14ac:dyDescent="0.25">
      <c r="B526" s="28">
        <v>522</v>
      </c>
      <c r="C526" s="35">
        <v>43987</v>
      </c>
      <c r="D526" s="29" t="s">
        <v>9</v>
      </c>
      <c r="E526" s="29" t="s">
        <v>24</v>
      </c>
      <c r="F526" s="29" t="s">
        <v>23</v>
      </c>
      <c r="G526" s="28">
        <v>600</v>
      </c>
      <c r="H526" s="28">
        <v>1</v>
      </c>
      <c r="I526" s="30">
        <f>TownTeam1[[#This Row],[Selling price]]*TownTeam1[[#This Row],[Item quantity]]</f>
        <v>600</v>
      </c>
      <c r="J526" s="30">
        <f>IF(TownTeam1[[#This Row],[Item name]]=" Jeans - Denim",TownTeam1[[#This Row],[Total sales]]*0.85,TownTeam1[[#This Row],[Total sales]])</f>
        <v>600</v>
      </c>
    </row>
    <row r="527" spans="2:10" x14ac:dyDescent="0.25">
      <c r="B527" s="28">
        <v>523</v>
      </c>
      <c r="C527" s="35">
        <v>43988</v>
      </c>
      <c r="D527" s="29" t="s">
        <v>9</v>
      </c>
      <c r="E527" s="29" t="s">
        <v>10</v>
      </c>
      <c r="F527" s="29" t="s">
        <v>11</v>
      </c>
      <c r="G527" s="28">
        <v>1100</v>
      </c>
      <c r="H527" s="28">
        <v>1</v>
      </c>
      <c r="I527" s="30">
        <f>TownTeam1[[#This Row],[Selling price]]*TownTeam1[[#This Row],[Item quantity]]</f>
        <v>1100</v>
      </c>
      <c r="J527" s="30">
        <f>IF(TownTeam1[[#This Row],[Item name]]=" Jeans - Denim",TownTeam1[[#This Row],[Total sales]]*0.85,TownTeam1[[#This Row],[Total sales]])</f>
        <v>1100</v>
      </c>
    </row>
    <row r="528" spans="2:10" x14ac:dyDescent="0.25">
      <c r="B528" s="28">
        <v>524</v>
      </c>
      <c r="C528" s="35">
        <v>43989</v>
      </c>
      <c r="D528" s="29" t="s">
        <v>9</v>
      </c>
      <c r="E528" s="29" t="s">
        <v>10</v>
      </c>
      <c r="F528" s="29" t="s">
        <v>11</v>
      </c>
      <c r="G528" s="28">
        <v>1100</v>
      </c>
      <c r="H528" s="28">
        <v>1</v>
      </c>
      <c r="I528" s="30">
        <f>TownTeam1[[#This Row],[Selling price]]*TownTeam1[[#This Row],[Item quantity]]</f>
        <v>1100</v>
      </c>
      <c r="J528" s="30">
        <f>IF(TownTeam1[[#This Row],[Item name]]=" Jeans - Denim",TownTeam1[[#This Row],[Total sales]]*0.85,TownTeam1[[#This Row],[Total sales]])</f>
        <v>1100</v>
      </c>
    </row>
    <row r="529" spans="2:10" x14ac:dyDescent="0.25">
      <c r="B529" s="28">
        <v>525</v>
      </c>
      <c r="C529" s="35">
        <v>43990</v>
      </c>
      <c r="D529" s="29" t="s">
        <v>9</v>
      </c>
      <c r="E529" s="29" t="s">
        <v>19</v>
      </c>
      <c r="F529" s="29" t="s">
        <v>20</v>
      </c>
      <c r="G529" s="28">
        <v>850</v>
      </c>
      <c r="H529" s="28">
        <v>1</v>
      </c>
      <c r="I529" s="30">
        <f>TownTeam1[[#This Row],[Selling price]]*TownTeam1[[#This Row],[Item quantity]]</f>
        <v>850</v>
      </c>
      <c r="J529" s="30">
        <f>IF(TownTeam1[[#This Row],[Item name]]=" Jeans - Denim",TownTeam1[[#This Row],[Total sales]]*0.85,TownTeam1[[#This Row],[Total sales]])</f>
        <v>850</v>
      </c>
    </row>
    <row r="530" spans="2:10" x14ac:dyDescent="0.25">
      <c r="B530" s="28">
        <v>526</v>
      </c>
      <c r="C530" s="35">
        <v>43991</v>
      </c>
      <c r="D530" s="29" t="s">
        <v>9</v>
      </c>
      <c r="E530" s="29" t="s">
        <v>10</v>
      </c>
      <c r="F530" s="29" t="s">
        <v>11</v>
      </c>
      <c r="G530" s="28">
        <v>1100</v>
      </c>
      <c r="H530" s="28">
        <v>1</v>
      </c>
      <c r="I530" s="30">
        <f>TownTeam1[[#This Row],[Selling price]]*TownTeam1[[#This Row],[Item quantity]]</f>
        <v>1100</v>
      </c>
      <c r="J530" s="30">
        <f>IF(TownTeam1[[#This Row],[Item name]]=" Jeans - Denim",TownTeam1[[#This Row],[Total sales]]*0.85,TownTeam1[[#This Row],[Total sales]])</f>
        <v>1100</v>
      </c>
    </row>
    <row r="531" spans="2:10" x14ac:dyDescent="0.25">
      <c r="B531" s="28">
        <v>527</v>
      </c>
      <c r="C531" s="35">
        <v>43992</v>
      </c>
      <c r="D531" s="29" t="s">
        <v>9</v>
      </c>
      <c r="E531" s="29" t="s">
        <v>10</v>
      </c>
      <c r="F531" s="29" t="s">
        <v>11</v>
      </c>
      <c r="G531" s="28">
        <v>1100</v>
      </c>
      <c r="H531" s="28">
        <v>2</v>
      </c>
      <c r="I531" s="30">
        <f>TownTeam1[[#This Row],[Selling price]]*TownTeam1[[#This Row],[Item quantity]]</f>
        <v>2200</v>
      </c>
      <c r="J531" s="30">
        <f>IF(TownTeam1[[#This Row],[Item name]]=" Jeans - Denim",TownTeam1[[#This Row],[Total sales]]*0.85,TownTeam1[[#This Row],[Total sales]])</f>
        <v>2200</v>
      </c>
    </row>
    <row r="532" spans="2:10" x14ac:dyDescent="0.25">
      <c r="B532" s="28">
        <v>528</v>
      </c>
      <c r="C532" s="35">
        <v>43993</v>
      </c>
      <c r="D532" s="29" t="s">
        <v>9</v>
      </c>
      <c r="E532" s="29" t="s">
        <v>24</v>
      </c>
      <c r="F532" s="29" t="s">
        <v>23</v>
      </c>
      <c r="G532" s="28">
        <v>300</v>
      </c>
      <c r="H532" s="28">
        <v>1</v>
      </c>
      <c r="I532" s="30">
        <f>TownTeam1[[#This Row],[Selling price]]*TownTeam1[[#This Row],[Item quantity]]</f>
        <v>300</v>
      </c>
      <c r="J532" s="30">
        <f>IF(TownTeam1[[#This Row],[Item name]]=" Jeans - Denim",TownTeam1[[#This Row],[Total sales]]*0.85,TownTeam1[[#This Row],[Total sales]])</f>
        <v>300</v>
      </c>
    </row>
    <row r="533" spans="2:10" x14ac:dyDescent="0.25">
      <c r="B533" s="28">
        <v>529</v>
      </c>
      <c r="C533" s="35">
        <v>43994</v>
      </c>
      <c r="D533" s="29" t="s">
        <v>9</v>
      </c>
      <c r="E533" s="29" t="s">
        <v>18</v>
      </c>
      <c r="F533" s="29" t="s">
        <v>17</v>
      </c>
      <c r="G533" s="28">
        <v>600</v>
      </c>
      <c r="H533" s="28">
        <v>1</v>
      </c>
      <c r="I533" s="30">
        <f>TownTeam1[[#This Row],[Selling price]]*TownTeam1[[#This Row],[Item quantity]]</f>
        <v>600</v>
      </c>
      <c r="J533" s="30">
        <f>IF(TownTeam1[[#This Row],[Item name]]=" Jeans - Denim",TownTeam1[[#This Row],[Total sales]]*0.85,TownTeam1[[#This Row],[Total sales]])</f>
        <v>600</v>
      </c>
    </row>
    <row r="534" spans="2:10" x14ac:dyDescent="0.25">
      <c r="B534" s="28">
        <v>530</v>
      </c>
      <c r="C534" s="35">
        <v>43995</v>
      </c>
      <c r="D534" s="29" t="s">
        <v>9</v>
      </c>
      <c r="E534" s="29" t="s">
        <v>18</v>
      </c>
      <c r="F534" s="29" t="s">
        <v>17</v>
      </c>
      <c r="G534" s="28">
        <v>600</v>
      </c>
      <c r="H534" s="28">
        <v>1</v>
      </c>
      <c r="I534" s="30">
        <f>TownTeam1[[#This Row],[Selling price]]*TownTeam1[[#This Row],[Item quantity]]</f>
        <v>600</v>
      </c>
      <c r="J534" s="30">
        <f>IF(TownTeam1[[#This Row],[Item name]]=" Jeans - Denim",TownTeam1[[#This Row],[Total sales]]*0.85,TownTeam1[[#This Row],[Total sales]])</f>
        <v>600</v>
      </c>
    </row>
    <row r="535" spans="2:10" x14ac:dyDescent="0.25">
      <c r="B535" s="28">
        <v>531</v>
      </c>
      <c r="C535" s="35">
        <v>43996</v>
      </c>
      <c r="D535" s="29" t="s">
        <v>9</v>
      </c>
      <c r="E535" s="29" t="s">
        <v>10</v>
      </c>
      <c r="F535" s="29" t="s">
        <v>11</v>
      </c>
      <c r="G535" s="28">
        <v>1100</v>
      </c>
      <c r="H535" s="28">
        <v>1</v>
      </c>
      <c r="I535" s="30">
        <f>TownTeam1[[#This Row],[Selling price]]*TownTeam1[[#This Row],[Item quantity]]</f>
        <v>1100</v>
      </c>
      <c r="J535" s="30">
        <f>IF(TownTeam1[[#This Row],[Item name]]=" Jeans - Denim",TownTeam1[[#This Row],[Total sales]]*0.85,TownTeam1[[#This Row],[Total sales]])</f>
        <v>1100</v>
      </c>
    </row>
    <row r="536" spans="2:10" x14ac:dyDescent="0.25">
      <c r="B536" s="28">
        <v>532</v>
      </c>
      <c r="C536" s="35">
        <v>43997</v>
      </c>
      <c r="D536" s="29" t="s">
        <v>9</v>
      </c>
      <c r="E536" s="29" t="s">
        <v>14</v>
      </c>
      <c r="F536" s="29" t="s">
        <v>11</v>
      </c>
      <c r="G536" s="28">
        <v>900</v>
      </c>
      <c r="H536" s="28">
        <v>1</v>
      </c>
      <c r="I536" s="30">
        <f>TownTeam1[[#This Row],[Selling price]]*TownTeam1[[#This Row],[Item quantity]]</f>
        <v>900</v>
      </c>
      <c r="J536" s="30">
        <f>IF(TownTeam1[[#This Row],[Item name]]=" Jeans - Denim",TownTeam1[[#This Row],[Total sales]]*0.85,TownTeam1[[#This Row],[Total sales]])</f>
        <v>900</v>
      </c>
    </row>
    <row r="537" spans="2:10" x14ac:dyDescent="0.25">
      <c r="B537" s="28">
        <v>533</v>
      </c>
      <c r="C537" s="35">
        <v>43998</v>
      </c>
      <c r="D537" s="29" t="s">
        <v>9</v>
      </c>
      <c r="E537" s="29" t="s">
        <v>12</v>
      </c>
      <c r="F537" s="29" t="s">
        <v>11</v>
      </c>
      <c r="G537" s="28">
        <v>900</v>
      </c>
      <c r="H537" s="28">
        <v>1</v>
      </c>
      <c r="I537" s="30">
        <f>TownTeam1[[#This Row],[Selling price]]*TownTeam1[[#This Row],[Item quantity]]</f>
        <v>900</v>
      </c>
      <c r="J537" s="30">
        <f>IF(TownTeam1[[#This Row],[Item name]]=" Jeans - Denim",TownTeam1[[#This Row],[Total sales]]*0.85,TownTeam1[[#This Row],[Total sales]])</f>
        <v>765</v>
      </c>
    </row>
    <row r="538" spans="2:10" x14ac:dyDescent="0.25">
      <c r="B538" s="28">
        <v>534</v>
      </c>
      <c r="C538" s="35">
        <v>43999</v>
      </c>
      <c r="D538" s="29" t="s">
        <v>9</v>
      </c>
      <c r="E538" s="29" t="s">
        <v>12</v>
      </c>
      <c r="F538" s="29" t="s">
        <v>11</v>
      </c>
      <c r="G538" s="28">
        <v>900</v>
      </c>
      <c r="H538" s="28">
        <v>1</v>
      </c>
      <c r="I538" s="30">
        <f>TownTeam1[[#This Row],[Selling price]]*TownTeam1[[#This Row],[Item quantity]]</f>
        <v>900</v>
      </c>
      <c r="J538" s="30">
        <f>IF(TownTeam1[[#This Row],[Item name]]=" Jeans - Denim",TownTeam1[[#This Row],[Total sales]]*0.85,TownTeam1[[#This Row],[Total sales]])</f>
        <v>765</v>
      </c>
    </row>
    <row r="539" spans="2:10" x14ac:dyDescent="0.25">
      <c r="B539" s="28">
        <v>535</v>
      </c>
      <c r="C539" s="35">
        <v>44000</v>
      </c>
      <c r="D539" s="29" t="s">
        <v>9</v>
      </c>
      <c r="E539" s="29" t="s">
        <v>10</v>
      </c>
      <c r="F539" s="29" t="s">
        <v>11</v>
      </c>
      <c r="G539" s="28">
        <v>1100</v>
      </c>
      <c r="H539" s="28">
        <v>1</v>
      </c>
      <c r="I539" s="30">
        <f>TownTeam1[[#This Row],[Selling price]]*TownTeam1[[#This Row],[Item quantity]]</f>
        <v>1100</v>
      </c>
      <c r="J539" s="30">
        <f>IF(TownTeam1[[#This Row],[Item name]]=" Jeans - Denim",TownTeam1[[#This Row],[Total sales]]*0.85,TownTeam1[[#This Row],[Total sales]])</f>
        <v>1100</v>
      </c>
    </row>
    <row r="540" spans="2:10" x14ac:dyDescent="0.25">
      <c r="B540" s="28">
        <v>536</v>
      </c>
      <c r="C540" s="35">
        <v>44001</v>
      </c>
      <c r="D540" s="29" t="s">
        <v>9</v>
      </c>
      <c r="E540" s="29" t="s">
        <v>24</v>
      </c>
      <c r="F540" s="29" t="s">
        <v>23</v>
      </c>
      <c r="G540" s="28">
        <v>600</v>
      </c>
      <c r="H540" s="28">
        <v>2</v>
      </c>
      <c r="I540" s="30">
        <f>TownTeam1[[#This Row],[Selling price]]*TownTeam1[[#This Row],[Item quantity]]</f>
        <v>1200</v>
      </c>
      <c r="J540" s="30">
        <f>IF(TownTeam1[[#This Row],[Item name]]=" Jeans - Denim",TownTeam1[[#This Row],[Total sales]]*0.85,TownTeam1[[#This Row],[Total sales]])</f>
        <v>1200</v>
      </c>
    </row>
    <row r="541" spans="2:10" x14ac:dyDescent="0.25">
      <c r="B541" s="28">
        <v>537</v>
      </c>
      <c r="C541" s="35">
        <v>44002</v>
      </c>
      <c r="D541" s="29" t="s">
        <v>9</v>
      </c>
      <c r="E541" s="29" t="s">
        <v>19</v>
      </c>
      <c r="F541" s="29" t="s">
        <v>20</v>
      </c>
      <c r="G541" s="28">
        <v>850</v>
      </c>
      <c r="H541" s="28">
        <v>1</v>
      </c>
      <c r="I541" s="30">
        <f>TownTeam1[[#This Row],[Selling price]]*TownTeam1[[#This Row],[Item quantity]]</f>
        <v>850</v>
      </c>
      <c r="J541" s="30">
        <f>IF(TownTeam1[[#This Row],[Item name]]=" Jeans - Denim",TownTeam1[[#This Row],[Total sales]]*0.85,TownTeam1[[#This Row],[Total sales]])</f>
        <v>850</v>
      </c>
    </row>
    <row r="542" spans="2:10" x14ac:dyDescent="0.25">
      <c r="B542" s="28">
        <v>538</v>
      </c>
      <c r="C542" s="35">
        <v>44003</v>
      </c>
      <c r="D542" s="29" t="s">
        <v>9</v>
      </c>
      <c r="E542" s="29" t="s">
        <v>12</v>
      </c>
      <c r="F542" s="29" t="s">
        <v>11</v>
      </c>
      <c r="G542" s="28">
        <v>900</v>
      </c>
      <c r="H542" s="28">
        <v>1</v>
      </c>
      <c r="I542" s="30">
        <f>TownTeam1[[#This Row],[Selling price]]*TownTeam1[[#This Row],[Item quantity]]</f>
        <v>900</v>
      </c>
      <c r="J542" s="30">
        <f>IF(TownTeam1[[#This Row],[Item name]]=" Jeans - Denim",TownTeam1[[#This Row],[Total sales]]*0.85,TownTeam1[[#This Row],[Total sales]])</f>
        <v>765</v>
      </c>
    </row>
    <row r="543" spans="2:10" x14ac:dyDescent="0.25">
      <c r="B543" s="28">
        <v>539</v>
      </c>
      <c r="C543" s="35">
        <v>44004</v>
      </c>
      <c r="D543" s="29" t="s">
        <v>9</v>
      </c>
      <c r="E543" s="29" t="s">
        <v>18</v>
      </c>
      <c r="F543" s="29" t="s">
        <v>17</v>
      </c>
      <c r="G543" s="28">
        <v>600</v>
      </c>
      <c r="H543" s="28">
        <v>1</v>
      </c>
      <c r="I543" s="30">
        <f>TownTeam1[[#This Row],[Selling price]]*TownTeam1[[#This Row],[Item quantity]]</f>
        <v>600</v>
      </c>
      <c r="J543" s="30">
        <f>IF(TownTeam1[[#This Row],[Item name]]=" Jeans - Denim",TownTeam1[[#This Row],[Total sales]]*0.85,TownTeam1[[#This Row],[Total sales]])</f>
        <v>600</v>
      </c>
    </row>
    <row r="544" spans="2:10" x14ac:dyDescent="0.25">
      <c r="B544" s="28">
        <v>540</v>
      </c>
      <c r="C544" s="35">
        <v>44005</v>
      </c>
      <c r="D544" s="29" t="s">
        <v>9</v>
      </c>
      <c r="E544" s="29" t="s">
        <v>18</v>
      </c>
      <c r="F544" s="29" t="s">
        <v>17</v>
      </c>
      <c r="G544" s="28">
        <v>600</v>
      </c>
      <c r="H544" s="28">
        <v>1</v>
      </c>
      <c r="I544" s="30">
        <f>TownTeam1[[#This Row],[Selling price]]*TownTeam1[[#This Row],[Item quantity]]</f>
        <v>600</v>
      </c>
      <c r="J544" s="30">
        <f>IF(TownTeam1[[#This Row],[Item name]]=" Jeans - Denim",TownTeam1[[#This Row],[Total sales]]*0.85,TownTeam1[[#This Row],[Total sales]])</f>
        <v>600</v>
      </c>
    </row>
    <row r="545" spans="2:10" x14ac:dyDescent="0.25">
      <c r="B545" s="28">
        <v>541</v>
      </c>
      <c r="C545" s="35">
        <v>44006</v>
      </c>
      <c r="D545" s="29" t="s">
        <v>9</v>
      </c>
      <c r="E545" s="29" t="s">
        <v>10</v>
      </c>
      <c r="F545" s="29" t="s">
        <v>11</v>
      </c>
      <c r="G545" s="28">
        <v>1100</v>
      </c>
      <c r="H545" s="28">
        <v>1</v>
      </c>
      <c r="I545" s="30">
        <f>TownTeam1[[#This Row],[Selling price]]*TownTeam1[[#This Row],[Item quantity]]</f>
        <v>1100</v>
      </c>
      <c r="J545" s="30">
        <f>IF(TownTeam1[[#This Row],[Item name]]=" Jeans - Denim",TownTeam1[[#This Row],[Total sales]]*0.85,TownTeam1[[#This Row],[Total sales]])</f>
        <v>1100</v>
      </c>
    </row>
    <row r="546" spans="2:10" x14ac:dyDescent="0.25">
      <c r="B546" s="28">
        <v>542</v>
      </c>
      <c r="C546" s="35">
        <v>44007</v>
      </c>
      <c r="D546" s="29" t="s">
        <v>9</v>
      </c>
      <c r="E546" s="29" t="s">
        <v>10</v>
      </c>
      <c r="F546" s="29" t="s">
        <v>11</v>
      </c>
      <c r="G546" s="28">
        <v>1100</v>
      </c>
      <c r="H546" s="28">
        <v>1</v>
      </c>
      <c r="I546" s="30">
        <f>TownTeam1[[#This Row],[Selling price]]*TownTeam1[[#This Row],[Item quantity]]</f>
        <v>1100</v>
      </c>
      <c r="J546" s="30">
        <f>IF(TownTeam1[[#This Row],[Item name]]=" Jeans - Denim",TownTeam1[[#This Row],[Total sales]]*0.85,TownTeam1[[#This Row],[Total sales]])</f>
        <v>1100</v>
      </c>
    </row>
    <row r="547" spans="2:10" x14ac:dyDescent="0.25">
      <c r="B547" s="28">
        <v>543</v>
      </c>
      <c r="C547" s="35">
        <v>44008</v>
      </c>
      <c r="D547" s="29" t="s">
        <v>9</v>
      </c>
      <c r="E547" s="29" t="s">
        <v>10</v>
      </c>
      <c r="F547" s="29" t="s">
        <v>11</v>
      </c>
      <c r="G547" s="28">
        <v>1100</v>
      </c>
      <c r="H547" s="28">
        <v>1</v>
      </c>
      <c r="I547" s="30">
        <f>TownTeam1[[#This Row],[Selling price]]*TownTeam1[[#This Row],[Item quantity]]</f>
        <v>1100</v>
      </c>
      <c r="J547" s="30">
        <f>IF(TownTeam1[[#This Row],[Item name]]=" Jeans - Denim",TownTeam1[[#This Row],[Total sales]]*0.85,TownTeam1[[#This Row],[Total sales]])</f>
        <v>1100</v>
      </c>
    </row>
    <row r="548" spans="2:10" x14ac:dyDescent="0.25">
      <c r="B548" s="28">
        <v>544</v>
      </c>
      <c r="C548" s="35">
        <v>44009</v>
      </c>
      <c r="D548" s="29" t="s">
        <v>9</v>
      </c>
      <c r="E548" s="29" t="s">
        <v>10</v>
      </c>
      <c r="F548" s="29" t="s">
        <v>11</v>
      </c>
      <c r="G548" s="28">
        <v>1100</v>
      </c>
      <c r="H548" s="28">
        <v>1</v>
      </c>
      <c r="I548" s="30">
        <f>TownTeam1[[#This Row],[Selling price]]*TownTeam1[[#This Row],[Item quantity]]</f>
        <v>1100</v>
      </c>
      <c r="J548" s="30">
        <f>IF(TownTeam1[[#This Row],[Item name]]=" Jeans - Denim",TownTeam1[[#This Row],[Total sales]]*0.85,TownTeam1[[#This Row],[Total sales]])</f>
        <v>1100</v>
      </c>
    </row>
    <row r="549" spans="2:10" x14ac:dyDescent="0.25">
      <c r="B549" s="28">
        <v>545</v>
      </c>
      <c r="C549" s="35">
        <v>44010</v>
      </c>
      <c r="D549" s="29" t="s">
        <v>9</v>
      </c>
      <c r="E549" s="29" t="s">
        <v>12</v>
      </c>
      <c r="F549" s="29" t="s">
        <v>11</v>
      </c>
      <c r="G549" s="28">
        <v>1100</v>
      </c>
      <c r="H549" s="28">
        <v>1</v>
      </c>
      <c r="I549" s="30">
        <f>TownTeam1[[#This Row],[Selling price]]*TownTeam1[[#This Row],[Item quantity]]</f>
        <v>1100</v>
      </c>
      <c r="J549" s="30">
        <f>IF(TownTeam1[[#This Row],[Item name]]=" Jeans - Denim",TownTeam1[[#This Row],[Total sales]]*0.85,TownTeam1[[#This Row],[Total sales]])</f>
        <v>935</v>
      </c>
    </row>
    <row r="550" spans="2:10" x14ac:dyDescent="0.25">
      <c r="B550" s="28">
        <v>546</v>
      </c>
      <c r="C550" s="35">
        <v>44011</v>
      </c>
      <c r="D550" s="29" t="s">
        <v>9</v>
      </c>
      <c r="E550" s="29" t="s">
        <v>12</v>
      </c>
      <c r="F550" s="29" t="s">
        <v>11</v>
      </c>
      <c r="G550" s="28">
        <v>1100</v>
      </c>
      <c r="H550" s="28">
        <v>1</v>
      </c>
      <c r="I550" s="30">
        <f>TownTeam1[[#This Row],[Selling price]]*TownTeam1[[#This Row],[Item quantity]]</f>
        <v>1100</v>
      </c>
      <c r="J550" s="30">
        <f>IF(TownTeam1[[#This Row],[Item name]]=" Jeans - Denim",TownTeam1[[#This Row],[Total sales]]*0.85,TownTeam1[[#This Row],[Total sales]])</f>
        <v>935</v>
      </c>
    </row>
    <row r="551" spans="2:10" x14ac:dyDescent="0.25">
      <c r="B551" s="28">
        <v>547</v>
      </c>
      <c r="C551" s="35">
        <v>44012</v>
      </c>
      <c r="D551" s="29" t="s">
        <v>9</v>
      </c>
      <c r="E551" s="29" t="s">
        <v>12</v>
      </c>
      <c r="F551" s="29" t="s">
        <v>11</v>
      </c>
      <c r="G551" s="28">
        <v>1100</v>
      </c>
      <c r="H551" s="28">
        <v>1</v>
      </c>
      <c r="I551" s="30">
        <f>TownTeam1[[#This Row],[Selling price]]*TownTeam1[[#This Row],[Item quantity]]</f>
        <v>1100</v>
      </c>
      <c r="J551" s="30">
        <f>IF(TownTeam1[[#This Row],[Item name]]=" Jeans - Denim",TownTeam1[[#This Row],[Total sales]]*0.85,TownTeam1[[#This Row],[Total sales]])</f>
        <v>935</v>
      </c>
    </row>
    <row r="552" spans="2:10" x14ac:dyDescent="0.25">
      <c r="B552" s="28">
        <v>548</v>
      </c>
      <c r="C552" s="35">
        <v>44013</v>
      </c>
      <c r="D552" s="29" t="s">
        <v>9</v>
      </c>
      <c r="E552" s="29" t="s">
        <v>12</v>
      </c>
      <c r="F552" s="29" t="s">
        <v>11</v>
      </c>
      <c r="G552" s="28">
        <v>1100</v>
      </c>
      <c r="H552" s="28">
        <v>2</v>
      </c>
      <c r="I552" s="30">
        <f>TownTeam1[[#This Row],[Selling price]]*TownTeam1[[#This Row],[Item quantity]]</f>
        <v>2200</v>
      </c>
      <c r="J552" s="30">
        <f>IF(TownTeam1[[#This Row],[Item name]]=" Jeans - Denim",TownTeam1[[#This Row],[Total sales]]*0.85,TownTeam1[[#This Row],[Total sales]])</f>
        <v>1870</v>
      </c>
    </row>
    <row r="553" spans="2:10" x14ac:dyDescent="0.25">
      <c r="B553" s="28">
        <v>549</v>
      </c>
      <c r="C553" s="35">
        <v>44014</v>
      </c>
      <c r="D553" s="29" t="s">
        <v>9</v>
      </c>
      <c r="E553" s="29" t="s">
        <v>12</v>
      </c>
      <c r="F553" s="29" t="s">
        <v>11</v>
      </c>
      <c r="G553" s="28">
        <v>1100</v>
      </c>
      <c r="H553" s="28">
        <v>1</v>
      </c>
      <c r="I553" s="30">
        <f>TownTeam1[[#This Row],[Selling price]]*TownTeam1[[#This Row],[Item quantity]]</f>
        <v>1100</v>
      </c>
      <c r="J553" s="30">
        <f>IF(TownTeam1[[#This Row],[Item name]]=" Jeans - Denim",TownTeam1[[#This Row],[Total sales]]*0.85,TownTeam1[[#This Row],[Total sales]])</f>
        <v>935</v>
      </c>
    </row>
    <row r="554" spans="2:10" x14ac:dyDescent="0.25">
      <c r="B554" s="28">
        <v>550</v>
      </c>
      <c r="C554" s="35">
        <v>44015</v>
      </c>
      <c r="D554" s="29" t="s">
        <v>9</v>
      </c>
      <c r="E554" s="29" t="s">
        <v>12</v>
      </c>
      <c r="F554" s="29" t="s">
        <v>11</v>
      </c>
      <c r="G554" s="28">
        <v>1100</v>
      </c>
      <c r="H554" s="28">
        <v>1</v>
      </c>
      <c r="I554" s="30">
        <f>TownTeam1[[#This Row],[Selling price]]*TownTeam1[[#This Row],[Item quantity]]</f>
        <v>1100</v>
      </c>
      <c r="J554" s="30">
        <f>IF(TownTeam1[[#This Row],[Item name]]=" Jeans - Denim",TownTeam1[[#This Row],[Total sales]]*0.85,TownTeam1[[#This Row],[Total sales]])</f>
        <v>935</v>
      </c>
    </row>
    <row r="555" spans="2:10" x14ac:dyDescent="0.25">
      <c r="B555" s="28">
        <v>551</v>
      </c>
      <c r="C555" s="35">
        <v>44016</v>
      </c>
      <c r="D555" s="29" t="s">
        <v>9</v>
      </c>
      <c r="E555" s="29" t="s">
        <v>12</v>
      </c>
      <c r="F555" s="29" t="s">
        <v>11</v>
      </c>
      <c r="G555" s="28">
        <v>900</v>
      </c>
      <c r="H555" s="28">
        <v>1</v>
      </c>
      <c r="I555" s="30">
        <f>TownTeam1[[#This Row],[Selling price]]*TownTeam1[[#This Row],[Item quantity]]</f>
        <v>900</v>
      </c>
      <c r="J555" s="30">
        <f>IF(TownTeam1[[#This Row],[Item name]]=" Jeans - Denim",TownTeam1[[#This Row],[Total sales]]*0.85,TownTeam1[[#This Row],[Total sales]])</f>
        <v>765</v>
      </c>
    </row>
    <row r="556" spans="2:10" x14ac:dyDescent="0.25">
      <c r="B556" s="28">
        <v>552</v>
      </c>
      <c r="C556" s="35">
        <v>44017</v>
      </c>
      <c r="D556" s="29" t="s">
        <v>9</v>
      </c>
      <c r="E556" s="29" t="s">
        <v>12</v>
      </c>
      <c r="F556" s="29" t="s">
        <v>11</v>
      </c>
      <c r="G556" s="28">
        <v>900</v>
      </c>
      <c r="H556" s="28">
        <v>1</v>
      </c>
      <c r="I556" s="30">
        <f>TownTeam1[[#This Row],[Selling price]]*TownTeam1[[#This Row],[Item quantity]]</f>
        <v>900</v>
      </c>
      <c r="J556" s="30">
        <f>IF(TownTeam1[[#This Row],[Item name]]=" Jeans - Denim",TownTeam1[[#This Row],[Total sales]]*0.85,TownTeam1[[#This Row],[Total sales]])</f>
        <v>765</v>
      </c>
    </row>
    <row r="557" spans="2:10" x14ac:dyDescent="0.25">
      <c r="B557" s="28">
        <v>553</v>
      </c>
      <c r="C557" s="35">
        <v>44018</v>
      </c>
      <c r="D557" s="29" t="s">
        <v>9</v>
      </c>
      <c r="E557" s="29" t="s">
        <v>12</v>
      </c>
      <c r="F557" s="29" t="s">
        <v>11</v>
      </c>
      <c r="G557" s="28">
        <v>900</v>
      </c>
      <c r="H557" s="28">
        <v>1</v>
      </c>
      <c r="I557" s="30">
        <f>TownTeam1[[#This Row],[Selling price]]*TownTeam1[[#This Row],[Item quantity]]</f>
        <v>900</v>
      </c>
      <c r="J557" s="30">
        <f>IF(TownTeam1[[#This Row],[Item name]]=" Jeans - Denim",TownTeam1[[#This Row],[Total sales]]*0.85,TownTeam1[[#This Row],[Total sales]])</f>
        <v>765</v>
      </c>
    </row>
    <row r="558" spans="2:10" x14ac:dyDescent="0.25">
      <c r="B558" s="28">
        <v>554</v>
      </c>
      <c r="C558" s="35">
        <v>44019</v>
      </c>
      <c r="D558" s="29" t="s">
        <v>9</v>
      </c>
      <c r="E558" s="29" t="s">
        <v>12</v>
      </c>
      <c r="F558" s="29" t="s">
        <v>11</v>
      </c>
      <c r="G558" s="28">
        <v>900</v>
      </c>
      <c r="H558" s="28">
        <v>2</v>
      </c>
      <c r="I558" s="30">
        <f>TownTeam1[[#This Row],[Selling price]]*TownTeam1[[#This Row],[Item quantity]]</f>
        <v>1800</v>
      </c>
      <c r="J558" s="30">
        <f>IF(TownTeam1[[#This Row],[Item name]]=" Jeans - Denim",TownTeam1[[#This Row],[Total sales]]*0.85,TownTeam1[[#This Row],[Total sales]])</f>
        <v>1530</v>
      </c>
    </row>
    <row r="559" spans="2:10" x14ac:dyDescent="0.25">
      <c r="B559" s="28">
        <v>555</v>
      </c>
      <c r="C559" s="35">
        <v>44020</v>
      </c>
      <c r="D559" s="29" t="s">
        <v>9</v>
      </c>
      <c r="E559" s="29" t="s">
        <v>12</v>
      </c>
      <c r="F559" s="29" t="s">
        <v>11</v>
      </c>
      <c r="G559" s="28">
        <v>900</v>
      </c>
      <c r="H559" s="28">
        <v>1</v>
      </c>
      <c r="I559" s="30">
        <f>TownTeam1[[#This Row],[Selling price]]*TownTeam1[[#This Row],[Item quantity]]</f>
        <v>900</v>
      </c>
      <c r="J559" s="30">
        <f>IF(TownTeam1[[#This Row],[Item name]]=" Jeans - Denim",TownTeam1[[#This Row],[Total sales]]*0.85,TownTeam1[[#This Row],[Total sales]])</f>
        <v>765</v>
      </c>
    </row>
    <row r="560" spans="2:10" x14ac:dyDescent="0.25">
      <c r="B560" s="28">
        <v>556</v>
      </c>
      <c r="C560" s="35">
        <v>44021</v>
      </c>
      <c r="D560" s="29" t="s">
        <v>9</v>
      </c>
      <c r="E560" s="29" t="s">
        <v>12</v>
      </c>
      <c r="F560" s="29" t="s">
        <v>11</v>
      </c>
      <c r="G560" s="28">
        <v>900</v>
      </c>
      <c r="H560" s="28">
        <v>1</v>
      </c>
      <c r="I560" s="30">
        <f>TownTeam1[[#This Row],[Selling price]]*TownTeam1[[#This Row],[Item quantity]]</f>
        <v>900</v>
      </c>
      <c r="J560" s="30">
        <f>IF(TownTeam1[[#This Row],[Item name]]=" Jeans - Denim",TownTeam1[[#This Row],[Total sales]]*0.85,TownTeam1[[#This Row],[Total sales]])</f>
        <v>765</v>
      </c>
    </row>
    <row r="561" spans="2:10" x14ac:dyDescent="0.25">
      <c r="B561" s="28">
        <v>557</v>
      </c>
      <c r="C561" s="35">
        <v>44022</v>
      </c>
      <c r="D561" s="29" t="s">
        <v>9</v>
      </c>
      <c r="E561" s="29" t="s">
        <v>12</v>
      </c>
      <c r="F561" s="29" t="s">
        <v>11</v>
      </c>
      <c r="G561" s="28">
        <v>1100</v>
      </c>
      <c r="H561" s="28">
        <v>1</v>
      </c>
      <c r="I561" s="30">
        <f>TownTeam1[[#This Row],[Selling price]]*TownTeam1[[#This Row],[Item quantity]]</f>
        <v>1100</v>
      </c>
      <c r="J561" s="30">
        <f>IF(TownTeam1[[#This Row],[Item name]]=" Jeans - Denim",TownTeam1[[#This Row],[Total sales]]*0.85,TownTeam1[[#This Row],[Total sales]])</f>
        <v>935</v>
      </c>
    </row>
    <row r="562" spans="2:10" x14ac:dyDescent="0.25">
      <c r="B562" s="28">
        <v>558</v>
      </c>
      <c r="C562" s="35">
        <v>44023</v>
      </c>
      <c r="D562" s="29" t="s">
        <v>13</v>
      </c>
      <c r="E562" s="29" t="s">
        <v>12</v>
      </c>
      <c r="F562" s="29" t="s">
        <v>11</v>
      </c>
      <c r="G562" s="28">
        <v>900</v>
      </c>
      <c r="H562" s="28">
        <v>1</v>
      </c>
      <c r="I562" s="30">
        <f>TownTeam1[[#This Row],[Selling price]]*TownTeam1[[#This Row],[Item quantity]]</f>
        <v>900</v>
      </c>
      <c r="J562" s="30">
        <f>IF(TownTeam1[[#This Row],[Item name]]=" Jeans - Denim",TownTeam1[[#This Row],[Total sales]]*0.85,TownTeam1[[#This Row],[Total sales]])</f>
        <v>765</v>
      </c>
    </row>
    <row r="563" spans="2:10" x14ac:dyDescent="0.25">
      <c r="B563" s="28">
        <v>559</v>
      </c>
      <c r="C563" s="35">
        <v>44024</v>
      </c>
      <c r="D563" s="29" t="s">
        <v>13</v>
      </c>
      <c r="E563" s="29" t="s">
        <v>12</v>
      </c>
      <c r="F563" s="29" t="s">
        <v>11</v>
      </c>
      <c r="G563" s="28">
        <v>1100</v>
      </c>
      <c r="H563" s="28">
        <v>2</v>
      </c>
      <c r="I563" s="30">
        <f>TownTeam1[[#This Row],[Selling price]]*TownTeam1[[#This Row],[Item quantity]]</f>
        <v>2200</v>
      </c>
      <c r="J563" s="30">
        <f>IF(TownTeam1[[#This Row],[Item name]]=" Jeans - Denim",TownTeam1[[#This Row],[Total sales]]*0.85,TownTeam1[[#This Row],[Total sales]])</f>
        <v>1870</v>
      </c>
    </row>
    <row r="564" spans="2:10" x14ac:dyDescent="0.25">
      <c r="B564" s="28">
        <v>560</v>
      </c>
      <c r="C564" s="35">
        <v>44025</v>
      </c>
      <c r="D564" s="29" t="s">
        <v>13</v>
      </c>
      <c r="E564" s="29" t="s">
        <v>12</v>
      </c>
      <c r="F564" s="29" t="s">
        <v>11</v>
      </c>
      <c r="G564" s="28">
        <v>1100</v>
      </c>
      <c r="H564" s="28">
        <v>1</v>
      </c>
      <c r="I564" s="30">
        <f>TownTeam1[[#This Row],[Selling price]]*TownTeam1[[#This Row],[Item quantity]]</f>
        <v>1100</v>
      </c>
      <c r="J564" s="30">
        <f>IF(TownTeam1[[#This Row],[Item name]]=" Jeans - Denim",TownTeam1[[#This Row],[Total sales]]*0.85,TownTeam1[[#This Row],[Total sales]])</f>
        <v>935</v>
      </c>
    </row>
    <row r="565" spans="2:10" x14ac:dyDescent="0.25">
      <c r="B565" s="28">
        <v>561</v>
      </c>
      <c r="C565" s="35">
        <v>44026</v>
      </c>
      <c r="D565" s="29" t="s">
        <v>13</v>
      </c>
      <c r="E565" s="29" t="s">
        <v>12</v>
      </c>
      <c r="F565" s="29" t="s">
        <v>11</v>
      </c>
      <c r="G565" s="28">
        <v>900</v>
      </c>
      <c r="H565" s="28">
        <v>1</v>
      </c>
      <c r="I565" s="30">
        <f>TownTeam1[[#This Row],[Selling price]]*TownTeam1[[#This Row],[Item quantity]]</f>
        <v>900</v>
      </c>
      <c r="J565" s="30">
        <f>IF(TownTeam1[[#This Row],[Item name]]=" Jeans - Denim",TownTeam1[[#This Row],[Total sales]]*0.85,TownTeam1[[#This Row],[Total sales]])</f>
        <v>765</v>
      </c>
    </row>
    <row r="566" spans="2:10" x14ac:dyDescent="0.25">
      <c r="B566" s="28">
        <v>562</v>
      </c>
      <c r="C566" s="35">
        <v>44027</v>
      </c>
      <c r="D566" s="29" t="s">
        <v>13</v>
      </c>
      <c r="E566" s="29" t="s">
        <v>12</v>
      </c>
      <c r="F566" s="29" t="s">
        <v>11</v>
      </c>
      <c r="G566" s="28">
        <v>900</v>
      </c>
      <c r="H566" s="28">
        <v>1</v>
      </c>
      <c r="I566" s="30">
        <f>TownTeam1[[#This Row],[Selling price]]*TownTeam1[[#This Row],[Item quantity]]</f>
        <v>900</v>
      </c>
      <c r="J566" s="30">
        <f>IF(TownTeam1[[#This Row],[Item name]]=" Jeans - Denim",TownTeam1[[#This Row],[Total sales]]*0.85,TownTeam1[[#This Row],[Total sales]])</f>
        <v>765</v>
      </c>
    </row>
    <row r="567" spans="2:10" x14ac:dyDescent="0.25">
      <c r="B567" s="28">
        <v>563</v>
      </c>
      <c r="C567" s="35">
        <v>44028</v>
      </c>
      <c r="D567" s="29" t="s">
        <v>13</v>
      </c>
      <c r="E567" s="29" t="s">
        <v>14</v>
      </c>
      <c r="F567" s="29" t="s">
        <v>11</v>
      </c>
      <c r="G567" s="28">
        <v>900</v>
      </c>
      <c r="H567" s="28">
        <v>1</v>
      </c>
      <c r="I567" s="30">
        <f>TownTeam1[[#This Row],[Selling price]]*TownTeam1[[#This Row],[Item quantity]]</f>
        <v>900</v>
      </c>
      <c r="J567" s="30">
        <f>IF(TownTeam1[[#This Row],[Item name]]=" Jeans - Denim",TownTeam1[[#This Row],[Total sales]]*0.85,TownTeam1[[#This Row],[Total sales]])</f>
        <v>900</v>
      </c>
    </row>
    <row r="568" spans="2:10" x14ac:dyDescent="0.25">
      <c r="B568" s="28">
        <v>564</v>
      </c>
      <c r="C568" s="35">
        <v>44029</v>
      </c>
      <c r="D568" s="29" t="s">
        <v>13</v>
      </c>
      <c r="E568" s="29" t="s">
        <v>12</v>
      </c>
      <c r="F568" s="29" t="s">
        <v>11</v>
      </c>
      <c r="G568" s="28">
        <v>1100</v>
      </c>
      <c r="H568" s="28">
        <v>1</v>
      </c>
      <c r="I568" s="30">
        <f>TownTeam1[[#This Row],[Selling price]]*TownTeam1[[#This Row],[Item quantity]]</f>
        <v>1100</v>
      </c>
      <c r="J568" s="30">
        <f>IF(TownTeam1[[#This Row],[Item name]]=" Jeans - Denim",TownTeam1[[#This Row],[Total sales]]*0.85,TownTeam1[[#This Row],[Total sales]])</f>
        <v>935</v>
      </c>
    </row>
    <row r="569" spans="2:10" x14ac:dyDescent="0.25">
      <c r="B569" s="28">
        <v>565</v>
      </c>
      <c r="C569" s="35">
        <v>44030</v>
      </c>
      <c r="D569" s="29" t="s">
        <v>13</v>
      </c>
      <c r="E569" s="29" t="s">
        <v>12</v>
      </c>
      <c r="F569" s="29" t="s">
        <v>11</v>
      </c>
      <c r="G569" s="28">
        <v>1100</v>
      </c>
      <c r="H569" s="28">
        <v>1</v>
      </c>
      <c r="I569" s="30">
        <f>TownTeam1[[#This Row],[Selling price]]*TownTeam1[[#This Row],[Item quantity]]</f>
        <v>1100</v>
      </c>
      <c r="J569" s="30">
        <f>IF(TownTeam1[[#This Row],[Item name]]=" Jeans - Denim",TownTeam1[[#This Row],[Total sales]]*0.85,TownTeam1[[#This Row],[Total sales]])</f>
        <v>935</v>
      </c>
    </row>
    <row r="570" spans="2:10" x14ac:dyDescent="0.25">
      <c r="B570" s="28">
        <v>566</v>
      </c>
      <c r="C570" s="35">
        <v>44031</v>
      </c>
      <c r="D570" s="29" t="s">
        <v>13</v>
      </c>
      <c r="E570" s="29" t="s">
        <v>14</v>
      </c>
      <c r="F570" s="29" t="s">
        <v>11</v>
      </c>
      <c r="G570" s="28">
        <v>900</v>
      </c>
      <c r="H570" s="28">
        <v>1</v>
      </c>
      <c r="I570" s="30">
        <f>TownTeam1[[#This Row],[Selling price]]*TownTeam1[[#This Row],[Item quantity]]</f>
        <v>900</v>
      </c>
      <c r="J570" s="30">
        <f>IF(TownTeam1[[#This Row],[Item name]]=" Jeans - Denim",TownTeam1[[#This Row],[Total sales]]*0.85,TownTeam1[[#This Row],[Total sales]])</f>
        <v>900</v>
      </c>
    </row>
    <row r="571" spans="2:10" x14ac:dyDescent="0.25">
      <c r="B571" s="28">
        <v>567</v>
      </c>
      <c r="C571" s="35">
        <v>44032</v>
      </c>
      <c r="D571" s="29" t="s">
        <v>9</v>
      </c>
      <c r="E571" s="29" t="s">
        <v>12</v>
      </c>
      <c r="F571" s="29" t="s">
        <v>11</v>
      </c>
      <c r="G571" s="28">
        <v>900</v>
      </c>
      <c r="H571" s="28">
        <v>1</v>
      </c>
      <c r="I571" s="30">
        <f>TownTeam1[[#This Row],[Selling price]]*TownTeam1[[#This Row],[Item quantity]]</f>
        <v>900</v>
      </c>
      <c r="J571" s="30">
        <f>IF(TownTeam1[[#This Row],[Item name]]=" Jeans - Denim",TownTeam1[[#This Row],[Total sales]]*0.85,TownTeam1[[#This Row],[Total sales]])</f>
        <v>765</v>
      </c>
    </row>
    <row r="572" spans="2:10" x14ac:dyDescent="0.25">
      <c r="B572" s="28">
        <v>568</v>
      </c>
      <c r="C572" s="35">
        <v>44033</v>
      </c>
      <c r="D572" s="29" t="s">
        <v>9</v>
      </c>
      <c r="E572" s="29" t="s">
        <v>14</v>
      </c>
      <c r="F572" s="29" t="s">
        <v>11</v>
      </c>
      <c r="G572" s="28">
        <v>900</v>
      </c>
      <c r="H572" s="28">
        <v>1</v>
      </c>
      <c r="I572" s="30">
        <f>TownTeam1[[#This Row],[Selling price]]*TownTeam1[[#This Row],[Item quantity]]</f>
        <v>900</v>
      </c>
      <c r="J572" s="30">
        <f>IF(TownTeam1[[#This Row],[Item name]]=" Jeans - Denim",TownTeam1[[#This Row],[Total sales]]*0.85,TownTeam1[[#This Row],[Total sales]])</f>
        <v>900</v>
      </c>
    </row>
    <row r="573" spans="2:10" x14ac:dyDescent="0.25">
      <c r="B573" s="28">
        <v>569</v>
      </c>
      <c r="C573" s="35">
        <v>44034</v>
      </c>
      <c r="D573" s="29" t="s">
        <v>9</v>
      </c>
      <c r="E573" s="29" t="s">
        <v>12</v>
      </c>
      <c r="F573" s="29" t="s">
        <v>11</v>
      </c>
      <c r="G573" s="28">
        <v>1100</v>
      </c>
      <c r="H573" s="28">
        <v>1</v>
      </c>
      <c r="I573" s="30">
        <f>TownTeam1[[#This Row],[Selling price]]*TownTeam1[[#This Row],[Item quantity]]</f>
        <v>1100</v>
      </c>
      <c r="J573" s="30">
        <f>IF(TownTeam1[[#This Row],[Item name]]=" Jeans - Denim",TownTeam1[[#This Row],[Total sales]]*0.85,TownTeam1[[#This Row],[Total sales]])</f>
        <v>935</v>
      </c>
    </row>
    <row r="574" spans="2:10" x14ac:dyDescent="0.25">
      <c r="B574" s="28">
        <v>570</v>
      </c>
      <c r="C574" s="35">
        <v>44035</v>
      </c>
      <c r="D574" s="29" t="s">
        <v>9</v>
      </c>
      <c r="E574" s="29" t="s">
        <v>12</v>
      </c>
      <c r="F574" s="29" t="s">
        <v>11</v>
      </c>
      <c r="G574" s="28">
        <v>1100</v>
      </c>
      <c r="H574" s="28">
        <v>1</v>
      </c>
      <c r="I574" s="30">
        <f>TownTeam1[[#This Row],[Selling price]]*TownTeam1[[#This Row],[Item quantity]]</f>
        <v>1100</v>
      </c>
      <c r="J574" s="30">
        <f>IF(TownTeam1[[#This Row],[Item name]]=" Jeans - Denim",TownTeam1[[#This Row],[Total sales]]*0.85,TownTeam1[[#This Row],[Total sales]])</f>
        <v>935</v>
      </c>
    </row>
    <row r="575" spans="2:10" x14ac:dyDescent="0.25">
      <c r="B575" s="28">
        <v>571</v>
      </c>
      <c r="C575" s="35">
        <v>44036</v>
      </c>
      <c r="D575" s="29" t="s">
        <v>9</v>
      </c>
      <c r="E575" s="29" t="s">
        <v>14</v>
      </c>
      <c r="F575" s="29" t="s">
        <v>11</v>
      </c>
      <c r="G575" s="28">
        <v>900</v>
      </c>
      <c r="H575" s="28">
        <v>1</v>
      </c>
      <c r="I575" s="30">
        <f>TownTeam1[[#This Row],[Selling price]]*TownTeam1[[#This Row],[Item quantity]]</f>
        <v>900</v>
      </c>
      <c r="J575" s="30">
        <f>IF(TownTeam1[[#This Row],[Item name]]=" Jeans - Denim",TownTeam1[[#This Row],[Total sales]]*0.85,TownTeam1[[#This Row],[Total sales]])</f>
        <v>900</v>
      </c>
    </row>
    <row r="576" spans="2:10" x14ac:dyDescent="0.25">
      <c r="B576" s="28">
        <v>572</v>
      </c>
      <c r="C576" s="35">
        <v>44037</v>
      </c>
      <c r="D576" s="29" t="s">
        <v>9</v>
      </c>
      <c r="E576" s="29" t="s">
        <v>14</v>
      </c>
      <c r="F576" s="29" t="s">
        <v>11</v>
      </c>
      <c r="G576" s="28">
        <v>900</v>
      </c>
      <c r="H576" s="28">
        <v>1</v>
      </c>
      <c r="I576" s="30">
        <f>TownTeam1[[#This Row],[Selling price]]*TownTeam1[[#This Row],[Item quantity]]</f>
        <v>900</v>
      </c>
      <c r="J576" s="30">
        <f>IF(TownTeam1[[#This Row],[Item name]]=" Jeans - Denim",TownTeam1[[#This Row],[Total sales]]*0.85,TownTeam1[[#This Row],[Total sales]])</f>
        <v>900</v>
      </c>
    </row>
    <row r="577" spans="2:10" x14ac:dyDescent="0.25">
      <c r="B577" s="28">
        <v>573</v>
      </c>
      <c r="C577" s="35">
        <v>44038</v>
      </c>
      <c r="D577" s="29" t="s">
        <v>9</v>
      </c>
      <c r="E577" s="29" t="s">
        <v>14</v>
      </c>
      <c r="F577" s="29" t="s">
        <v>11</v>
      </c>
      <c r="G577" s="28">
        <v>900</v>
      </c>
      <c r="H577" s="28">
        <v>1</v>
      </c>
      <c r="I577" s="30">
        <f>TownTeam1[[#This Row],[Selling price]]*TownTeam1[[#This Row],[Item quantity]]</f>
        <v>900</v>
      </c>
      <c r="J577" s="30">
        <f>IF(TownTeam1[[#This Row],[Item name]]=" Jeans - Denim",TownTeam1[[#This Row],[Total sales]]*0.85,TownTeam1[[#This Row],[Total sales]])</f>
        <v>900</v>
      </c>
    </row>
    <row r="578" spans="2:10" x14ac:dyDescent="0.25">
      <c r="B578" s="28">
        <v>574</v>
      </c>
      <c r="C578" s="35">
        <v>44039</v>
      </c>
      <c r="D578" s="29" t="s">
        <v>9</v>
      </c>
      <c r="E578" s="29" t="s">
        <v>14</v>
      </c>
      <c r="F578" s="29" t="s">
        <v>11</v>
      </c>
      <c r="G578" s="28">
        <v>900</v>
      </c>
      <c r="H578" s="28">
        <v>1</v>
      </c>
      <c r="I578" s="30">
        <f>TownTeam1[[#This Row],[Selling price]]*TownTeam1[[#This Row],[Item quantity]]</f>
        <v>900</v>
      </c>
      <c r="J578" s="30">
        <f>IF(TownTeam1[[#This Row],[Item name]]=" Jeans - Denim",TownTeam1[[#This Row],[Total sales]]*0.85,TownTeam1[[#This Row],[Total sales]])</f>
        <v>900</v>
      </c>
    </row>
    <row r="579" spans="2:10" x14ac:dyDescent="0.25">
      <c r="B579" s="28">
        <v>575</v>
      </c>
      <c r="C579" s="35">
        <v>44040</v>
      </c>
      <c r="D579" s="29" t="s">
        <v>9</v>
      </c>
      <c r="E579" s="29" t="s">
        <v>14</v>
      </c>
      <c r="F579" s="29" t="s">
        <v>11</v>
      </c>
      <c r="G579" s="28">
        <v>900</v>
      </c>
      <c r="H579" s="28">
        <v>1</v>
      </c>
      <c r="I579" s="30">
        <f>TownTeam1[[#This Row],[Selling price]]*TownTeam1[[#This Row],[Item quantity]]</f>
        <v>900</v>
      </c>
      <c r="J579" s="30">
        <f>IF(TownTeam1[[#This Row],[Item name]]=" Jeans - Denim",TownTeam1[[#This Row],[Total sales]]*0.85,TownTeam1[[#This Row],[Total sales]])</f>
        <v>900</v>
      </c>
    </row>
    <row r="580" spans="2:10" x14ac:dyDescent="0.25">
      <c r="B580" s="28">
        <v>576</v>
      </c>
      <c r="C580" s="35">
        <v>44041</v>
      </c>
      <c r="D580" s="29" t="s">
        <v>9</v>
      </c>
      <c r="E580" s="29" t="s">
        <v>12</v>
      </c>
      <c r="F580" s="29" t="s">
        <v>11</v>
      </c>
      <c r="G580" s="28">
        <v>900</v>
      </c>
      <c r="H580" s="28">
        <v>1</v>
      </c>
      <c r="I580" s="30">
        <f>TownTeam1[[#This Row],[Selling price]]*TownTeam1[[#This Row],[Item quantity]]</f>
        <v>900</v>
      </c>
      <c r="J580" s="30">
        <f>IF(TownTeam1[[#This Row],[Item name]]=" Jeans - Denim",TownTeam1[[#This Row],[Total sales]]*0.85,TownTeam1[[#This Row],[Total sales]])</f>
        <v>765</v>
      </c>
    </row>
    <row r="581" spans="2:10" x14ac:dyDescent="0.25">
      <c r="B581" s="28">
        <v>577</v>
      </c>
      <c r="C581" s="35">
        <v>44042</v>
      </c>
      <c r="D581" s="29" t="s">
        <v>9</v>
      </c>
      <c r="E581" s="29" t="s">
        <v>12</v>
      </c>
      <c r="F581" s="29" t="s">
        <v>11</v>
      </c>
      <c r="G581" s="28">
        <v>900</v>
      </c>
      <c r="H581" s="28">
        <v>1</v>
      </c>
      <c r="I581" s="30">
        <f>TownTeam1[[#This Row],[Selling price]]*TownTeam1[[#This Row],[Item quantity]]</f>
        <v>900</v>
      </c>
      <c r="J581" s="30">
        <f>IF(TownTeam1[[#This Row],[Item name]]=" Jeans - Denim",TownTeam1[[#This Row],[Total sales]]*0.85,TownTeam1[[#This Row],[Total sales]])</f>
        <v>765</v>
      </c>
    </row>
    <row r="582" spans="2:10" x14ac:dyDescent="0.25">
      <c r="B582" s="28">
        <v>578</v>
      </c>
      <c r="C582" s="35">
        <v>44043</v>
      </c>
      <c r="D582" s="29" t="s">
        <v>9</v>
      </c>
      <c r="E582" s="29" t="s">
        <v>12</v>
      </c>
      <c r="F582" s="29" t="s">
        <v>11</v>
      </c>
      <c r="G582" s="28">
        <v>900</v>
      </c>
      <c r="H582" s="28">
        <v>1</v>
      </c>
      <c r="I582" s="30">
        <f>TownTeam1[[#This Row],[Selling price]]*TownTeam1[[#This Row],[Item quantity]]</f>
        <v>900</v>
      </c>
      <c r="J582" s="30">
        <f>IF(TownTeam1[[#This Row],[Item name]]=" Jeans - Denim",TownTeam1[[#This Row],[Total sales]]*0.85,TownTeam1[[#This Row],[Total sales]])</f>
        <v>765</v>
      </c>
    </row>
    <row r="583" spans="2:10" x14ac:dyDescent="0.25">
      <c r="B583" s="28">
        <v>579</v>
      </c>
      <c r="C583" s="35">
        <v>44044</v>
      </c>
      <c r="D583" s="29" t="s">
        <v>9</v>
      </c>
      <c r="E583" s="29" t="s">
        <v>12</v>
      </c>
      <c r="F583" s="29" t="s">
        <v>11</v>
      </c>
      <c r="G583" s="28">
        <v>1100</v>
      </c>
      <c r="H583" s="28">
        <v>1</v>
      </c>
      <c r="I583" s="30">
        <f>TownTeam1[[#This Row],[Selling price]]*TownTeam1[[#This Row],[Item quantity]]</f>
        <v>1100</v>
      </c>
      <c r="J583" s="30">
        <f>IF(TownTeam1[[#This Row],[Item name]]=" Jeans - Denim",TownTeam1[[#This Row],[Total sales]]*0.85,TownTeam1[[#This Row],[Total sales]])</f>
        <v>935</v>
      </c>
    </row>
    <row r="584" spans="2:10" x14ac:dyDescent="0.25">
      <c r="B584" s="28">
        <v>580</v>
      </c>
      <c r="C584" s="35">
        <v>44045</v>
      </c>
      <c r="D584" s="29" t="s">
        <v>9</v>
      </c>
      <c r="E584" s="29" t="s">
        <v>12</v>
      </c>
      <c r="F584" s="29" t="s">
        <v>11</v>
      </c>
      <c r="G584" s="28">
        <v>1100</v>
      </c>
      <c r="H584" s="28">
        <v>1</v>
      </c>
      <c r="I584" s="30">
        <f>TownTeam1[[#This Row],[Selling price]]*TownTeam1[[#This Row],[Item quantity]]</f>
        <v>1100</v>
      </c>
      <c r="J584" s="30">
        <f>IF(TownTeam1[[#This Row],[Item name]]=" Jeans - Denim",TownTeam1[[#This Row],[Total sales]]*0.85,TownTeam1[[#This Row],[Total sales]])</f>
        <v>935</v>
      </c>
    </row>
    <row r="585" spans="2:10" x14ac:dyDescent="0.25">
      <c r="B585" s="28">
        <v>581</v>
      </c>
      <c r="C585" s="35">
        <v>44046</v>
      </c>
      <c r="D585" s="29" t="s">
        <v>9</v>
      </c>
      <c r="E585" s="29" t="s">
        <v>15</v>
      </c>
      <c r="F585" s="29" t="s">
        <v>11</v>
      </c>
      <c r="G585" s="28">
        <v>1000</v>
      </c>
      <c r="H585" s="28">
        <v>1</v>
      </c>
      <c r="I585" s="30">
        <f>TownTeam1[[#This Row],[Selling price]]*TownTeam1[[#This Row],[Item quantity]]</f>
        <v>1000</v>
      </c>
      <c r="J585" s="30">
        <f>IF(TownTeam1[[#This Row],[Item name]]=" Jeans - Denim",TownTeam1[[#This Row],[Total sales]]*0.85,TownTeam1[[#This Row],[Total sales]])</f>
        <v>1000</v>
      </c>
    </row>
    <row r="586" spans="2:10" x14ac:dyDescent="0.25">
      <c r="B586" s="28">
        <v>582</v>
      </c>
      <c r="C586" s="35">
        <v>44047</v>
      </c>
      <c r="D586" s="29" t="s">
        <v>9</v>
      </c>
      <c r="E586" s="29" t="s">
        <v>15</v>
      </c>
      <c r="F586" s="29" t="s">
        <v>11</v>
      </c>
      <c r="G586" s="28">
        <v>1000</v>
      </c>
      <c r="H586" s="28">
        <v>1</v>
      </c>
      <c r="I586" s="30">
        <f>TownTeam1[[#This Row],[Selling price]]*TownTeam1[[#This Row],[Item quantity]]</f>
        <v>1000</v>
      </c>
      <c r="J586" s="30">
        <f>IF(TownTeam1[[#This Row],[Item name]]=" Jeans - Denim",TownTeam1[[#This Row],[Total sales]]*0.85,TownTeam1[[#This Row],[Total sales]])</f>
        <v>1000</v>
      </c>
    </row>
    <row r="587" spans="2:10" x14ac:dyDescent="0.25">
      <c r="B587" s="28">
        <v>583</v>
      </c>
      <c r="C587" s="35">
        <v>44048</v>
      </c>
      <c r="D587" s="29" t="s">
        <v>9</v>
      </c>
      <c r="E587" s="29" t="s">
        <v>12</v>
      </c>
      <c r="F587" s="29" t="s">
        <v>11</v>
      </c>
      <c r="G587" s="28">
        <v>1100</v>
      </c>
      <c r="H587" s="28">
        <v>1</v>
      </c>
      <c r="I587" s="30">
        <f>TownTeam1[[#This Row],[Selling price]]*TownTeam1[[#This Row],[Item quantity]]</f>
        <v>1100</v>
      </c>
      <c r="J587" s="30">
        <f>IF(TownTeam1[[#This Row],[Item name]]=" Jeans - Denim",TownTeam1[[#This Row],[Total sales]]*0.85,TownTeam1[[#This Row],[Total sales]])</f>
        <v>935</v>
      </c>
    </row>
    <row r="588" spans="2:10" x14ac:dyDescent="0.25">
      <c r="B588" s="28">
        <v>584</v>
      </c>
      <c r="C588" s="35">
        <v>44049</v>
      </c>
      <c r="D588" s="29" t="s">
        <v>9</v>
      </c>
      <c r="E588" s="29" t="s">
        <v>15</v>
      </c>
      <c r="F588" s="29" t="s">
        <v>11</v>
      </c>
      <c r="G588" s="28">
        <v>1000</v>
      </c>
      <c r="H588" s="28">
        <v>1</v>
      </c>
      <c r="I588" s="30">
        <f>TownTeam1[[#This Row],[Selling price]]*TownTeam1[[#This Row],[Item quantity]]</f>
        <v>1000</v>
      </c>
      <c r="J588" s="30">
        <f>IF(TownTeam1[[#This Row],[Item name]]=" Jeans - Denim",TownTeam1[[#This Row],[Total sales]]*0.85,TownTeam1[[#This Row],[Total sales]])</f>
        <v>1000</v>
      </c>
    </row>
    <row r="589" spans="2:10" x14ac:dyDescent="0.25">
      <c r="B589" s="28">
        <v>585</v>
      </c>
      <c r="C589" s="35">
        <v>44050</v>
      </c>
      <c r="D589" s="29" t="s">
        <v>9</v>
      </c>
      <c r="E589" s="29" t="s">
        <v>12</v>
      </c>
      <c r="F589" s="29" t="s">
        <v>11</v>
      </c>
      <c r="G589" s="28">
        <v>900</v>
      </c>
      <c r="H589" s="28">
        <v>1</v>
      </c>
      <c r="I589" s="30">
        <f>TownTeam1[[#This Row],[Selling price]]*TownTeam1[[#This Row],[Item quantity]]</f>
        <v>900</v>
      </c>
      <c r="J589" s="30">
        <f>IF(TownTeam1[[#This Row],[Item name]]=" Jeans - Denim",TownTeam1[[#This Row],[Total sales]]*0.85,TownTeam1[[#This Row],[Total sales]])</f>
        <v>765</v>
      </c>
    </row>
    <row r="590" spans="2:10" x14ac:dyDescent="0.25">
      <c r="B590" s="28">
        <v>586</v>
      </c>
      <c r="C590" s="35">
        <v>44051</v>
      </c>
      <c r="D590" s="29" t="s">
        <v>9</v>
      </c>
      <c r="E590" s="29" t="s">
        <v>12</v>
      </c>
      <c r="F590" s="29" t="s">
        <v>11</v>
      </c>
      <c r="G590" s="28">
        <v>900</v>
      </c>
      <c r="H590" s="28">
        <v>2</v>
      </c>
      <c r="I590" s="30">
        <f>TownTeam1[[#This Row],[Selling price]]*TownTeam1[[#This Row],[Item quantity]]</f>
        <v>1800</v>
      </c>
      <c r="J590" s="30">
        <f>IF(TownTeam1[[#This Row],[Item name]]=" Jeans - Denim",TownTeam1[[#This Row],[Total sales]]*0.85,TownTeam1[[#This Row],[Total sales]])</f>
        <v>1530</v>
      </c>
    </row>
    <row r="591" spans="2:10" x14ac:dyDescent="0.25">
      <c r="B591" s="28">
        <v>587</v>
      </c>
      <c r="C591" s="35">
        <v>44052</v>
      </c>
      <c r="D591" s="29" t="s">
        <v>9</v>
      </c>
      <c r="E591" s="29" t="s">
        <v>12</v>
      </c>
      <c r="F591" s="29" t="s">
        <v>11</v>
      </c>
      <c r="G591" s="28">
        <v>1100</v>
      </c>
      <c r="H591" s="28">
        <v>1</v>
      </c>
      <c r="I591" s="30">
        <f>TownTeam1[[#This Row],[Selling price]]*TownTeam1[[#This Row],[Item quantity]]</f>
        <v>1100</v>
      </c>
      <c r="J591" s="30">
        <f>IF(TownTeam1[[#This Row],[Item name]]=" Jeans - Denim",TownTeam1[[#This Row],[Total sales]]*0.85,TownTeam1[[#This Row],[Total sales]])</f>
        <v>935</v>
      </c>
    </row>
    <row r="592" spans="2:10" x14ac:dyDescent="0.25">
      <c r="B592" s="28">
        <v>588</v>
      </c>
      <c r="C592" s="35">
        <v>44053</v>
      </c>
      <c r="D592" s="29" t="s">
        <v>9</v>
      </c>
      <c r="E592" s="29" t="s">
        <v>12</v>
      </c>
      <c r="F592" s="29" t="s">
        <v>11</v>
      </c>
      <c r="G592" s="28">
        <v>900</v>
      </c>
      <c r="H592" s="28">
        <v>1</v>
      </c>
      <c r="I592" s="30">
        <f>TownTeam1[[#This Row],[Selling price]]*TownTeam1[[#This Row],[Item quantity]]</f>
        <v>900</v>
      </c>
      <c r="J592" s="30">
        <f>IF(TownTeam1[[#This Row],[Item name]]=" Jeans - Denim",TownTeam1[[#This Row],[Total sales]]*0.85,TownTeam1[[#This Row],[Total sales]])</f>
        <v>765</v>
      </c>
    </row>
    <row r="593" spans="2:10" x14ac:dyDescent="0.25">
      <c r="B593" s="28">
        <v>589</v>
      </c>
      <c r="C593" s="35">
        <v>44054</v>
      </c>
      <c r="D593" s="29" t="s">
        <v>9</v>
      </c>
      <c r="E593" s="29" t="s">
        <v>12</v>
      </c>
      <c r="F593" s="29" t="s">
        <v>11</v>
      </c>
      <c r="G593" s="28">
        <v>1100</v>
      </c>
      <c r="H593" s="28">
        <v>1</v>
      </c>
      <c r="I593" s="30">
        <f>TownTeam1[[#This Row],[Selling price]]*TownTeam1[[#This Row],[Item quantity]]</f>
        <v>1100</v>
      </c>
      <c r="J593" s="30">
        <f>IF(TownTeam1[[#This Row],[Item name]]=" Jeans - Denim",TownTeam1[[#This Row],[Total sales]]*0.85,TownTeam1[[#This Row],[Total sales]])</f>
        <v>935</v>
      </c>
    </row>
    <row r="594" spans="2:10" x14ac:dyDescent="0.25">
      <c r="B594" s="28">
        <v>590</v>
      </c>
      <c r="C594" s="35">
        <v>44055</v>
      </c>
      <c r="D594" s="29" t="s">
        <v>9</v>
      </c>
      <c r="E594" s="29" t="s">
        <v>16</v>
      </c>
      <c r="F594" s="29" t="s">
        <v>17</v>
      </c>
      <c r="G594" s="28">
        <v>800</v>
      </c>
      <c r="H594" s="28">
        <v>1</v>
      </c>
      <c r="I594" s="30">
        <f>TownTeam1[[#This Row],[Selling price]]*TownTeam1[[#This Row],[Item quantity]]</f>
        <v>800</v>
      </c>
      <c r="J594" s="30">
        <f>IF(TownTeam1[[#This Row],[Item name]]=" Jeans - Denim",TownTeam1[[#This Row],[Total sales]]*0.85,TownTeam1[[#This Row],[Total sales]])</f>
        <v>800</v>
      </c>
    </row>
    <row r="595" spans="2:10" x14ac:dyDescent="0.25">
      <c r="B595" s="28">
        <v>591</v>
      </c>
      <c r="C595" s="35">
        <v>44056</v>
      </c>
      <c r="D595" s="29" t="s">
        <v>9</v>
      </c>
      <c r="E595" s="29" t="s">
        <v>16</v>
      </c>
      <c r="F595" s="29" t="s">
        <v>17</v>
      </c>
      <c r="G595" s="28">
        <v>800</v>
      </c>
      <c r="H595" s="28">
        <v>2</v>
      </c>
      <c r="I595" s="30">
        <f>TownTeam1[[#This Row],[Selling price]]*TownTeam1[[#This Row],[Item quantity]]</f>
        <v>1600</v>
      </c>
      <c r="J595" s="30">
        <f>IF(TownTeam1[[#This Row],[Item name]]=" Jeans - Denim",TownTeam1[[#This Row],[Total sales]]*0.85,TownTeam1[[#This Row],[Total sales]])</f>
        <v>1600</v>
      </c>
    </row>
    <row r="596" spans="2:10" x14ac:dyDescent="0.25">
      <c r="B596" s="28">
        <v>592</v>
      </c>
      <c r="C596" s="35">
        <v>44057</v>
      </c>
      <c r="D596" s="29" t="s">
        <v>9</v>
      </c>
      <c r="E596" s="29" t="s">
        <v>14</v>
      </c>
      <c r="F596" s="29" t="s">
        <v>11</v>
      </c>
      <c r="G596" s="28">
        <v>900</v>
      </c>
      <c r="H596" s="28">
        <v>1</v>
      </c>
      <c r="I596" s="30">
        <f>TownTeam1[[#This Row],[Selling price]]*TownTeam1[[#This Row],[Item quantity]]</f>
        <v>900</v>
      </c>
      <c r="J596" s="30">
        <f>IF(TownTeam1[[#This Row],[Item name]]=" Jeans - Denim",TownTeam1[[#This Row],[Total sales]]*0.85,TownTeam1[[#This Row],[Total sales]])</f>
        <v>900</v>
      </c>
    </row>
    <row r="597" spans="2:10" x14ac:dyDescent="0.25">
      <c r="B597" s="28">
        <v>593</v>
      </c>
      <c r="C597" s="35">
        <v>44058</v>
      </c>
      <c r="D597" s="29" t="s">
        <v>9</v>
      </c>
      <c r="E597" s="29" t="s">
        <v>12</v>
      </c>
      <c r="F597" s="29" t="s">
        <v>11</v>
      </c>
      <c r="G597" s="28">
        <v>1100</v>
      </c>
      <c r="H597" s="28">
        <v>1</v>
      </c>
      <c r="I597" s="30">
        <f>TownTeam1[[#This Row],[Selling price]]*TownTeam1[[#This Row],[Item quantity]]</f>
        <v>1100</v>
      </c>
      <c r="J597" s="30">
        <f>IF(TownTeam1[[#This Row],[Item name]]=" Jeans - Denim",TownTeam1[[#This Row],[Total sales]]*0.85,TownTeam1[[#This Row],[Total sales]])</f>
        <v>935</v>
      </c>
    </row>
    <row r="598" spans="2:10" x14ac:dyDescent="0.25">
      <c r="B598" s="28">
        <v>594</v>
      </c>
      <c r="C598" s="35">
        <v>44059</v>
      </c>
      <c r="D598" s="29" t="s">
        <v>9</v>
      </c>
      <c r="E598" s="29" t="s">
        <v>16</v>
      </c>
      <c r="F598" s="29" t="s">
        <v>17</v>
      </c>
      <c r="G598" s="28">
        <v>800</v>
      </c>
      <c r="H598" s="28">
        <v>1</v>
      </c>
      <c r="I598" s="30">
        <f>TownTeam1[[#This Row],[Selling price]]*TownTeam1[[#This Row],[Item quantity]]</f>
        <v>800</v>
      </c>
      <c r="J598" s="30">
        <f>IF(TownTeam1[[#This Row],[Item name]]=" Jeans - Denim",TownTeam1[[#This Row],[Total sales]]*0.85,TownTeam1[[#This Row],[Total sales]])</f>
        <v>800</v>
      </c>
    </row>
    <row r="599" spans="2:10" x14ac:dyDescent="0.25">
      <c r="B599" s="28">
        <v>595</v>
      </c>
      <c r="C599" s="35">
        <v>44060</v>
      </c>
      <c r="D599" s="29" t="s">
        <v>9</v>
      </c>
      <c r="E599" s="29" t="s">
        <v>15</v>
      </c>
      <c r="F599" s="29" t="s">
        <v>11</v>
      </c>
      <c r="G599" s="28">
        <v>1000</v>
      </c>
      <c r="H599" s="28">
        <v>1</v>
      </c>
      <c r="I599" s="30">
        <f>TownTeam1[[#This Row],[Selling price]]*TownTeam1[[#This Row],[Item quantity]]</f>
        <v>1000</v>
      </c>
      <c r="J599" s="30">
        <f>IF(TownTeam1[[#This Row],[Item name]]=" Jeans - Denim",TownTeam1[[#This Row],[Total sales]]*0.85,TownTeam1[[#This Row],[Total sales]])</f>
        <v>1000</v>
      </c>
    </row>
    <row r="600" spans="2:10" x14ac:dyDescent="0.25">
      <c r="B600" s="28">
        <v>596</v>
      </c>
      <c r="C600" s="35">
        <v>44061</v>
      </c>
      <c r="D600" s="29" t="s">
        <v>9</v>
      </c>
      <c r="E600" s="29" t="s">
        <v>16</v>
      </c>
      <c r="F600" s="29" t="s">
        <v>17</v>
      </c>
      <c r="G600" s="28">
        <v>800</v>
      </c>
      <c r="H600" s="28">
        <v>1</v>
      </c>
      <c r="I600" s="30">
        <f>TownTeam1[[#This Row],[Selling price]]*TownTeam1[[#This Row],[Item quantity]]</f>
        <v>800</v>
      </c>
      <c r="J600" s="30">
        <f>IF(TownTeam1[[#This Row],[Item name]]=" Jeans - Denim",TownTeam1[[#This Row],[Total sales]]*0.85,TownTeam1[[#This Row],[Total sales]])</f>
        <v>800</v>
      </c>
    </row>
    <row r="601" spans="2:10" x14ac:dyDescent="0.25">
      <c r="B601" s="28">
        <v>597</v>
      </c>
      <c r="C601" s="35">
        <v>44062</v>
      </c>
      <c r="D601" s="29" t="s">
        <v>9</v>
      </c>
      <c r="E601" s="29" t="s">
        <v>18</v>
      </c>
      <c r="F601" s="29" t="s">
        <v>17</v>
      </c>
      <c r="G601" s="28">
        <v>600</v>
      </c>
      <c r="H601" s="28">
        <v>1</v>
      </c>
      <c r="I601" s="30">
        <f>TownTeam1[[#This Row],[Selling price]]*TownTeam1[[#This Row],[Item quantity]]</f>
        <v>600</v>
      </c>
      <c r="J601" s="30">
        <f>IF(TownTeam1[[#This Row],[Item name]]=" Jeans - Denim",TownTeam1[[#This Row],[Total sales]]*0.85,TownTeam1[[#This Row],[Total sales]])</f>
        <v>600</v>
      </c>
    </row>
    <row r="602" spans="2:10" x14ac:dyDescent="0.25">
      <c r="B602" s="28">
        <v>598</v>
      </c>
      <c r="C602" s="35">
        <v>44063</v>
      </c>
      <c r="D602" s="29" t="s">
        <v>9</v>
      </c>
      <c r="E602" s="29" t="s">
        <v>12</v>
      </c>
      <c r="F602" s="29" t="s">
        <v>11</v>
      </c>
      <c r="G602" s="28">
        <v>900</v>
      </c>
      <c r="H602" s="28">
        <v>1</v>
      </c>
      <c r="I602" s="30">
        <f>TownTeam1[[#This Row],[Selling price]]*TownTeam1[[#This Row],[Item quantity]]</f>
        <v>900</v>
      </c>
      <c r="J602" s="30">
        <f>IF(TownTeam1[[#This Row],[Item name]]=" Jeans - Denim",TownTeam1[[#This Row],[Total sales]]*0.85,TownTeam1[[#This Row],[Total sales]])</f>
        <v>765</v>
      </c>
    </row>
    <row r="603" spans="2:10" x14ac:dyDescent="0.25">
      <c r="B603" s="28">
        <v>599</v>
      </c>
      <c r="C603" s="35">
        <v>44064</v>
      </c>
      <c r="D603" s="29" t="s">
        <v>9</v>
      </c>
      <c r="E603" s="29" t="s">
        <v>12</v>
      </c>
      <c r="F603" s="29" t="s">
        <v>11</v>
      </c>
      <c r="G603" s="28">
        <v>1100</v>
      </c>
      <c r="H603" s="28">
        <v>1</v>
      </c>
      <c r="I603" s="30">
        <f>TownTeam1[[#This Row],[Selling price]]*TownTeam1[[#This Row],[Item quantity]]</f>
        <v>1100</v>
      </c>
      <c r="J603" s="30">
        <f>IF(TownTeam1[[#This Row],[Item name]]=" Jeans - Denim",TownTeam1[[#This Row],[Total sales]]*0.85,TownTeam1[[#This Row],[Total sales]])</f>
        <v>935</v>
      </c>
    </row>
    <row r="604" spans="2:10" x14ac:dyDescent="0.25">
      <c r="B604" s="28">
        <v>600</v>
      </c>
      <c r="C604" s="35">
        <v>44065</v>
      </c>
      <c r="D604" s="29" t="s">
        <v>9</v>
      </c>
      <c r="E604" s="29" t="s">
        <v>15</v>
      </c>
      <c r="F604" s="29" t="s">
        <v>11</v>
      </c>
      <c r="G604" s="28">
        <v>1000</v>
      </c>
      <c r="H604" s="28">
        <v>1</v>
      </c>
      <c r="I604" s="30">
        <f>TownTeam1[[#This Row],[Selling price]]*TownTeam1[[#This Row],[Item quantity]]</f>
        <v>1000</v>
      </c>
      <c r="J604" s="30">
        <f>IF(TownTeam1[[#This Row],[Item name]]=" Jeans - Denim",TownTeam1[[#This Row],[Total sales]]*0.85,TownTeam1[[#This Row],[Total sales]])</f>
        <v>1000</v>
      </c>
    </row>
    <row r="605" spans="2:10" x14ac:dyDescent="0.25">
      <c r="B605" s="28">
        <v>601</v>
      </c>
      <c r="C605" s="35">
        <v>44066</v>
      </c>
      <c r="D605" s="29" t="s">
        <v>9</v>
      </c>
      <c r="E605" s="29" t="s">
        <v>12</v>
      </c>
      <c r="F605" s="29" t="s">
        <v>11</v>
      </c>
      <c r="G605" s="28">
        <v>900</v>
      </c>
      <c r="H605" s="28">
        <v>1</v>
      </c>
      <c r="I605" s="30">
        <f>TownTeam1[[#This Row],[Selling price]]*TownTeam1[[#This Row],[Item quantity]]</f>
        <v>900</v>
      </c>
      <c r="J605" s="30">
        <f>IF(TownTeam1[[#This Row],[Item name]]=" Jeans - Denim",TownTeam1[[#This Row],[Total sales]]*0.85,TownTeam1[[#This Row],[Total sales]])</f>
        <v>765</v>
      </c>
    </row>
    <row r="606" spans="2:10" x14ac:dyDescent="0.25">
      <c r="B606" s="28">
        <v>602</v>
      </c>
      <c r="C606" s="35">
        <v>44067</v>
      </c>
      <c r="D606" s="29" t="s">
        <v>9</v>
      </c>
      <c r="E606" s="29" t="s">
        <v>12</v>
      </c>
      <c r="F606" s="29" t="s">
        <v>11</v>
      </c>
      <c r="G606" s="28">
        <v>1100</v>
      </c>
      <c r="H606" s="28">
        <v>2</v>
      </c>
      <c r="I606" s="30">
        <f>TownTeam1[[#This Row],[Selling price]]*TownTeam1[[#This Row],[Item quantity]]</f>
        <v>2200</v>
      </c>
      <c r="J606" s="30">
        <f>IF(TownTeam1[[#This Row],[Item name]]=" Jeans - Denim",TownTeam1[[#This Row],[Total sales]]*0.85,TownTeam1[[#This Row],[Total sales]])</f>
        <v>1870</v>
      </c>
    </row>
    <row r="607" spans="2:10" x14ac:dyDescent="0.25">
      <c r="B607" s="28">
        <v>603</v>
      </c>
      <c r="C607" s="35">
        <v>44068</v>
      </c>
      <c r="D607" s="29" t="s">
        <v>9</v>
      </c>
      <c r="E607" s="29" t="s">
        <v>18</v>
      </c>
      <c r="F607" s="29" t="s">
        <v>17</v>
      </c>
      <c r="G607" s="28">
        <v>600</v>
      </c>
      <c r="H607" s="28">
        <v>1</v>
      </c>
      <c r="I607" s="30">
        <f>TownTeam1[[#This Row],[Selling price]]*TownTeam1[[#This Row],[Item quantity]]</f>
        <v>600</v>
      </c>
      <c r="J607" s="30">
        <f>IF(TownTeam1[[#This Row],[Item name]]=" Jeans - Denim",TownTeam1[[#This Row],[Total sales]]*0.85,TownTeam1[[#This Row],[Total sales]])</f>
        <v>600</v>
      </c>
    </row>
    <row r="608" spans="2:10" x14ac:dyDescent="0.25">
      <c r="B608" s="28">
        <v>604</v>
      </c>
      <c r="C608" s="35">
        <v>44069</v>
      </c>
      <c r="D608" s="29" t="s">
        <v>9</v>
      </c>
      <c r="E608" s="29" t="s">
        <v>18</v>
      </c>
      <c r="F608" s="29" t="s">
        <v>17</v>
      </c>
      <c r="G608" s="28">
        <v>600</v>
      </c>
      <c r="H608" s="28">
        <v>1</v>
      </c>
      <c r="I608" s="30">
        <f>TownTeam1[[#This Row],[Selling price]]*TownTeam1[[#This Row],[Item quantity]]</f>
        <v>600</v>
      </c>
      <c r="J608" s="30">
        <f>IF(TownTeam1[[#This Row],[Item name]]=" Jeans - Denim",TownTeam1[[#This Row],[Total sales]]*0.85,TownTeam1[[#This Row],[Total sales]])</f>
        <v>600</v>
      </c>
    </row>
    <row r="609" spans="2:10" x14ac:dyDescent="0.25">
      <c r="B609" s="28">
        <v>605</v>
      </c>
      <c r="C609" s="35">
        <v>44070</v>
      </c>
      <c r="D609" s="29" t="s">
        <v>9</v>
      </c>
      <c r="E609" s="29" t="s">
        <v>18</v>
      </c>
      <c r="F609" s="29" t="s">
        <v>17</v>
      </c>
      <c r="G609" s="28">
        <v>600</v>
      </c>
      <c r="H609" s="28">
        <v>1</v>
      </c>
      <c r="I609" s="30">
        <f>TownTeam1[[#This Row],[Selling price]]*TownTeam1[[#This Row],[Item quantity]]</f>
        <v>600</v>
      </c>
      <c r="J609" s="30">
        <f>IF(TownTeam1[[#This Row],[Item name]]=" Jeans - Denim",TownTeam1[[#This Row],[Total sales]]*0.85,TownTeam1[[#This Row],[Total sales]])</f>
        <v>600</v>
      </c>
    </row>
    <row r="610" spans="2:10" x14ac:dyDescent="0.25">
      <c r="B610" s="28">
        <v>606</v>
      </c>
      <c r="C610" s="35">
        <v>44071</v>
      </c>
      <c r="D610" s="29" t="s">
        <v>9</v>
      </c>
      <c r="E610" s="29" t="s">
        <v>12</v>
      </c>
      <c r="F610" s="29" t="s">
        <v>11</v>
      </c>
      <c r="G610" s="28">
        <v>900</v>
      </c>
      <c r="H610" s="28">
        <v>1</v>
      </c>
      <c r="I610" s="30">
        <f>TownTeam1[[#This Row],[Selling price]]*TownTeam1[[#This Row],[Item quantity]]</f>
        <v>900</v>
      </c>
      <c r="J610" s="30">
        <f>IF(TownTeam1[[#This Row],[Item name]]=" Jeans - Denim",TownTeam1[[#This Row],[Total sales]]*0.85,TownTeam1[[#This Row],[Total sales]])</f>
        <v>765</v>
      </c>
    </row>
    <row r="611" spans="2:10" x14ac:dyDescent="0.25">
      <c r="B611" s="28">
        <v>607</v>
      </c>
      <c r="C611" s="35">
        <v>44072</v>
      </c>
      <c r="D611" s="29" t="s">
        <v>9</v>
      </c>
      <c r="E611" s="29" t="s">
        <v>18</v>
      </c>
      <c r="F611" s="29" t="s">
        <v>17</v>
      </c>
      <c r="G611" s="28">
        <v>600</v>
      </c>
      <c r="H611" s="28">
        <v>1</v>
      </c>
      <c r="I611" s="30">
        <f>TownTeam1[[#This Row],[Selling price]]*TownTeam1[[#This Row],[Item quantity]]</f>
        <v>600</v>
      </c>
      <c r="J611" s="30">
        <f>IF(TownTeam1[[#This Row],[Item name]]=" Jeans - Denim",TownTeam1[[#This Row],[Total sales]]*0.85,TownTeam1[[#This Row],[Total sales]])</f>
        <v>600</v>
      </c>
    </row>
    <row r="612" spans="2:10" x14ac:dyDescent="0.25">
      <c r="B612" s="28">
        <v>608</v>
      </c>
      <c r="C612" s="35">
        <v>44073</v>
      </c>
      <c r="D612" s="29" t="s">
        <v>9</v>
      </c>
      <c r="E612" s="29" t="s">
        <v>18</v>
      </c>
      <c r="F612" s="29" t="s">
        <v>17</v>
      </c>
      <c r="G612" s="28">
        <v>600</v>
      </c>
      <c r="H612" s="28">
        <v>1</v>
      </c>
      <c r="I612" s="30">
        <f>TownTeam1[[#This Row],[Selling price]]*TownTeam1[[#This Row],[Item quantity]]</f>
        <v>600</v>
      </c>
      <c r="J612" s="30">
        <f>IF(TownTeam1[[#This Row],[Item name]]=" Jeans - Denim",TownTeam1[[#This Row],[Total sales]]*0.85,TownTeam1[[#This Row],[Total sales]])</f>
        <v>600</v>
      </c>
    </row>
    <row r="613" spans="2:10" x14ac:dyDescent="0.25">
      <c r="B613" s="28">
        <v>609</v>
      </c>
      <c r="C613" s="35">
        <v>44074</v>
      </c>
      <c r="D613" s="29" t="s">
        <v>9</v>
      </c>
      <c r="E613" s="29" t="s">
        <v>12</v>
      </c>
      <c r="F613" s="29" t="s">
        <v>11</v>
      </c>
      <c r="G613" s="28">
        <v>1100</v>
      </c>
      <c r="H613" s="28">
        <v>1</v>
      </c>
      <c r="I613" s="30">
        <f>TownTeam1[[#This Row],[Selling price]]*TownTeam1[[#This Row],[Item quantity]]</f>
        <v>1100</v>
      </c>
      <c r="J613" s="30">
        <f>IF(TownTeam1[[#This Row],[Item name]]=" Jeans - Denim",TownTeam1[[#This Row],[Total sales]]*0.85,TownTeam1[[#This Row],[Total sales]])</f>
        <v>935</v>
      </c>
    </row>
    <row r="614" spans="2:10" x14ac:dyDescent="0.25">
      <c r="B614" s="28">
        <v>610</v>
      </c>
      <c r="C614" s="35">
        <v>44075</v>
      </c>
      <c r="D614" s="29" t="s">
        <v>9</v>
      </c>
      <c r="E614" s="29" t="s">
        <v>14</v>
      </c>
      <c r="F614" s="29" t="s">
        <v>11</v>
      </c>
      <c r="G614" s="28">
        <v>900</v>
      </c>
      <c r="H614" s="28">
        <v>3</v>
      </c>
      <c r="I614" s="30">
        <f>TownTeam1[[#This Row],[Selling price]]*TownTeam1[[#This Row],[Item quantity]]</f>
        <v>2700</v>
      </c>
      <c r="J614" s="30">
        <f>IF(TownTeam1[[#This Row],[Item name]]=" Jeans - Denim",TownTeam1[[#This Row],[Total sales]]*0.85,TownTeam1[[#This Row],[Total sales]])</f>
        <v>2700</v>
      </c>
    </row>
    <row r="615" spans="2:10" x14ac:dyDescent="0.25">
      <c r="B615" s="28">
        <v>611</v>
      </c>
      <c r="C615" s="35">
        <v>44076</v>
      </c>
      <c r="D615" s="29" t="s">
        <v>9</v>
      </c>
      <c r="E615" s="29" t="s">
        <v>12</v>
      </c>
      <c r="F615" s="29" t="s">
        <v>11</v>
      </c>
      <c r="G615" s="28">
        <v>1100</v>
      </c>
      <c r="H615" s="28">
        <v>2</v>
      </c>
      <c r="I615" s="30">
        <f>TownTeam1[[#This Row],[Selling price]]*TownTeam1[[#This Row],[Item quantity]]</f>
        <v>2200</v>
      </c>
      <c r="J615" s="30">
        <f>IF(TownTeam1[[#This Row],[Item name]]=" Jeans - Denim",TownTeam1[[#This Row],[Total sales]]*0.85,TownTeam1[[#This Row],[Total sales]])</f>
        <v>1870</v>
      </c>
    </row>
    <row r="616" spans="2:10" x14ac:dyDescent="0.25">
      <c r="B616" s="28">
        <v>612</v>
      </c>
      <c r="C616" s="35">
        <v>44077</v>
      </c>
      <c r="D616" s="29" t="s">
        <v>9</v>
      </c>
      <c r="E616" s="29" t="s">
        <v>12</v>
      </c>
      <c r="F616" s="29" t="s">
        <v>11</v>
      </c>
      <c r="G616" s="28">
        <v>1100</v>
      </c>
      <c r="H616" s="28">
        <v>1</v>
      </c>
      <c r="I616" s="30">
        <f>TownTeam1[[#This Row],[Selling price]]*TownTeam1[[#This Row],[Item quantity]]</f>
        <v>1100</v>
      </c>
      <c r="J616" s="30">
        <f>IF(TownTeam1[[#This Row],[Item name]]=" Jeans - Denim",TownTeam1[[#This Row],[Total sales]]*0.85,TownTeam1[[#This Row],[Total sales]])</f>
        <v>935</v>
      </c>
    </row>
    <row r="617" spans="2:10" x14ac:dyDescent="0.25">
      <c r="B617" s="28">
        <v>613</v>
      </c>
      <c r="C617" s="35">
        <v>44078</v>
      </c>
      <c r="D617" s="29" t="s">
        <v>9</v>
      </c>
      <c r="E617" s="29" t="s">
        <v>18</v>
      </c>
      <c r="F617" s="29" t="s">
        <v>17</v>
      </c>
      <c r="G617" s="28">
        <v>600</v>
      </c>
      <c r="H617" s="28">
        <v>1</v>
      </c>
      <c r="I617" s="30">
        <f>TownTeam1[[#This Row],[Selling price]]*TownTeam1[[#This Row],[Item quantity]]</f>
        <v>600</v>
      </c>
      <c r="J617" s="30">
        <f>IF(TownTeam1[[#This Row],[Item name]]=" Jeans - Denim",TownTeam1[[#This Row],[Total sales]]*0.85,TownTeam1[[#This Row],[Total sales]])</f>
        <v>600</v>
      </c>
    </row>
    <row r="618" spans="2:10" x14ac:dyDescent="0.25">
      <c r="B618" s="28">
        <v>614</v>
      </c>
      <c r="C618" s="35">
        <v>44079</v>
      </c>
      <c r="D618" s="29" t="s">
        <v>9</v>
      </c>
      <c r="E618" s="29" t="s">
        <v>12</v>
      </c>
      <c r="F618" s="29" t="s">
        <v>11</v>
      </c>
      <c r="G618" s="28">
        <v>900</v>
      </c>
      <c r="H618" s="28">
        <v>1</v>
      </c>
      <c r="I618" s="30">
        <f>TownTeam1[[#This Row],[Selling price]]*TownTeam1[[#This Row],[Item quantity]]</f>
        <v>900</v>
      </c>
      <c r="J618" s="30">
        <f>IF(TownTeam1[[#This Row],[Item name]]=" Jeans - Denim",TownTeam1[[#This Row],[Total sales]]*0.85,TownTeam1[[#This Row],[Total sales]])</f>
        <v>765</v>
      </c>
    </row>
    <row r="619" spans="2:10" x14ac:dyDescent="0.25">
      <c r="B619" s="28">
        <v>615</v>
      </c>
      <c r="C619" s="35">
        <v>44080</v>
      </c>
      <c r="D619" s="29" t="s">
        <v>9</v>
      </c>
      <c r="E619" s="29" t="s">
        <v>18</v>
      </c>
      <c r="F619" s="29" t="s">
        <v>17</v>
      </c>
      <c r="G619" s="28">
        <v>600</v>
      </c>
      <c r="H619" s="28">
        <v>1</v>
      </c>
      <c r="I619" s="30">
        <f>TownTeam1[[#This Row],[Selling price]]*TownTeam1[[#This Row],[Item quantity]]</f>
        <v>600</v>
      </c>
      <c r="J619" s="30">
        <f>IF(TownTeam1[[#This Row],[Item name]]=" Jeans - Denim",TownTeam1[[#This Row],[Total sales]]*0.85,TownTeam1[[#This Row],[Total sales]])</f>
        <v>600</v>
      </c>
    </row>
    <row r="620" spans="2:10" x14ac:dyDescent="0.25">
      <c r="B620" s="28">
        <v>616</v>
      </c>
      <c r="C620" s="35">
        <v>44081</v>
      </c>
      <c r="D620" s="29" t="s">
        <v>9</v>
      </c>
      <c r="E620" s="29" t="s">
        <v>18</v>
      </c>
      <c r="F620" s="29" t="s">
        <v>17</v>
      </c>
      <c r="G620" s="28">
        <v>600</v>
      </c>
      <c r="H620" s="28">
        <v>1</v>
      </c>
      <c r="I620" s="30">
        <f>TownTeam1[[#This Row],[Selling price]]*TownTeam1[[#This Row],[Item quantity]]</f>
        <v>600</v>
      </c>
      <c r="J620" s="30">
        <f>IF(TownTeam1[[#This Row],[Item name]]=" Jeans - Denim",TownTeam1[[#This Row],[Total sales]]*0.85,TownTeam1[[#This Row],[Total sales]])</f>
        <v>600</v>
      </c>
    </row>
    <row r="621" spans="2:10" x14ac:dyDescent="0.25">
      <c r="B621" s="28">
        <v>617</v>
      </c>
      <c r="C621" s="35">
        <v>44082</v>
      </c>
      <c r="D621" s="29" t="s">
        <v>9</v>
      </c>
      <c r="E621" s="29" t="s">
        <v>12</v>
      </c>
      <c r="F621" s="29" t="s">
        <v>11</v>
      </c>
      <c r="G621" s="28">
        <v>900</v>
      </c>
      <c r="H621" s="28">
        <v>3</v>
      </c>
      <c r="I621" s="30">
        <f>TownTeam1[[#This Row],[Selling price]]*TownTeam1[[#This Row],[Item quantity]]</f>
        <v>2700</v>
      </c>
      <c r="J621" s="30">
        <f>IF(TownTeam1[[#This Row],[Item name]]=" Jeans - Denim",TownTeam1[[#This Row],[Total sales]]*0.85,TownTeam1[[#This Row],[Total sales]])</f>
        <v>2295</v>
      </c>
    </row>
    <row r="622" spans="2:10" x14ac:dyDescent="0.25">
      <c r="B622" s="28">
        <v>618</v>
      </c>
      <c r="C622" s="35">
        <v>44083</v>
      </c>
      <c r="D622" s="29" t="s">
        <v>9</v>
      </c>
      <c r="E622" s="29" t="s">
        <v>18</v>
      </c>
      <c r="F622" s="29" t="s">
        <v>17</v>
      </c>
      <c r="G622" s="28">
        <v>600</v>
      </c>
      <c r="H622" s="28">
        <v>1</v>
      </c>
      <c r="I622" s="30">
        <f>TownTeam1[[#This Row],[Selling price]]*TownTeam1[[#This Row],[Item quantity]]</f>
        <v>600</v>
      </c>
      <c r="J622" s="30">
        <f>IF(TownTeam1[[#This Row],[Item name]]=" Jeans - Denim",TownTeam1[[#This Row],[Total sales]]*0.85,TownTeam1[[#This Row],[Total sales]])</f>
        <v>600</v>
      </c>
    </row>
    <row r="623" spans="2:10" x14ac:dyDescent="0.25">
      <c r="B623" s="28">
        <v>619</v>
      </c>
      <c r="C623" s="35">
        <v>44084</v>
      </c>
      <c r="D623" s="29" t="s">
        <v>9</v>
      </c>
      <c r="E623" s="29" t="s">
        <v>16</v>
      </c>
      <c r="F623" s="29" t="s">
        <v>17</v>
      </c>
      <c r="G623" s="28">
        <v>800</v>
      </c>
      <c r="H623" s="28">
        <v>1</v>
      </c>
      <c r="I623" s="30">
        <f>TownTeam1[[#This Row],[Selling price]]*TownTeam1[[#This Row],[Item quantity]]</f>
        <v>800</v>
      </c>
      <c r="J623" s="30">
        <f>IF(TownTeam1[[#This Row],[Item name]]=" Jeans - Denim",TownTeam1[[#This Row],[Total sales]]*0.85,TownTeam1[[#This Row],[Total sales]])</f>
        <v>800</v>
      </c>
    </row>
    <row r="624" spans="2:10" x14ac:dyDescent="0.25">
      <c r="B624" s="28">
        <v>620</v>
      </c>
      <c r="C624" s="35">
        <v>44085</v>
      </c>
      <c r="D624" s="29" t="s">
        <v>9</v>
      </c>
      <c r="E624" s="29" t="s">
        <v>18</v>
      </c>
      <c r="F624" s="29" t="s">
        <v>17</v>
      </c>
      <c r="G624" s="28">
        <v>600</v>
      </c>
      <c r="H624" s="28">
        <v>1</v>
      </c>
      <c r="I624" s="30">
        <f>TownTeam1[[#This Row],[Selling price]]*TownTeam1[[#This Row],[Item quantity]]</f>
        <v>600</v>
      </c>
      <c r="J624" s="30">
        <f>IF(TownTeam1[[#This Row],[Item name]]=" Jeans - Denim",TownTeam1[[#This Row],[Total sales]]*0.85,TownTeam1[[#This Row],[Total sales]])</f>
        <v>600</v>
      </c>
    </row>
    <row r="625" spans="2:10" x14ac:dyDescent="0.25">
      <c r="B625" s="28">
        <v>621</v>
      </c>
      <c r="C625" s="35">
        <v>44086</v>
      </c>
      <c r="D625" s="29" t="s">
        <v>9</v>
      </c>
      <c r="E625" s="29" t="s">
        <v>12</v>
      </c>
      <c r="F625" s="29" t="s">
        <v>11</v>
      </c>
      <c r="G625" s="28">
        <v>1100</v>
      </c>
      <c r="H625" s="28">
        <v>1</v>
      </c>
      <c r="I625" s="30">
        <f>TownTeam1[[#This Row],[Selling price]]*TownTeam1[[#This Row],[Item quantity]]</f>
        <v>1100</v>
      </c>
      <c r="J625" s="30">
        <f>IF(TownTeam1[[#This Row],[Item name]]=" Jeans - Denim",TownTeam1[[#This Row],[Total sales]]*0.85,TownTeam1[[#This Row],[Total sales]])</f>
        <v>935</v>
      </c>
    </row>
    <row r="626" spans="2:10" x14ac:dyDescent="0.25">
      <c r="B626" s="28">
        <v>622</v>
      </c>
      <c r="C626" s="35">
        <v>44087</v>
      </c>
      <c r="D626" s="29" t="s">
        <v>9</v>
      </c>
      <c r="E626" s="29" t="s">
        <v>14</v>
      </c>
      <c r="F626" s="29" t="s">
        <v>11</v>
      </c>
      <c r="G626" s="28">
        <v>900</v>
      </c>
      <c r="H626" s="28">
        <v>1</v>
      </c>
      <c r="I626" s="30">
        <f>TownTeam1[[#This Row],[Selling price]]*TownTeam1[[#This Row],[Item quantity]]</f>
        <v>900</v>
      </c>
      <c r="J626" s="30">
        <f>IF(TownTeam1[[#This Row],[Item name]]=" Jeans - Denim",TownTeam1[[#This Row],[Total sales]]*0.85,TownTeam1[[#This Row],[Total sales]])</f>
        <v>900</v>
      </c>
    </row>
    <row r="627" spans="2:10" x14ac:dyDescent="0.25">
      <c r="B627" s="28">
        <v>623</v>
      </c>
      <c r="C627" s="35">
        <v>44088</v>
      </c>
      <c r="D627" s="29" t="s">
        <v>9</v>
      </c>
      <c r="E627" s="29" t="s">
        <v>12</v>
      </c>
      <c r="F627" s="29" t="s">
        <v>11</v>
      </c>
      <c r="G627" s="28">
        <v>1100</v>
      </c>
      <c r="H627" s="28">
        <v>1</v>
      </c>
      <c r="I627" s="30">
        <f>TownTeam1[[#This Row],[Selling price]]*TownTeam1[[#This Row],[Item quantity]]</f>
        <v>1100</v>
      </c>
      <c r="J627" s="30">
        <f>IF(TownTeam1[[#This Row],[Item name]]=" Jeans - Denim",TownTeam1[[#This Row],[Total sales]]*0.85,TownTeam1[[#This Row],[Total sales]])</f>
        <v>935</v>
      </c>
    </row>
    <row r="628" spans="2:10" x14ac:dyDescent="0.25">
      <c r="B628" s="28">
        <v>624</v>
      </c>
      <c r="C628" s="35">
        <v>44089</v>
      </c>
      <c r="D628" s="29" t="s">
        <v>9</v>
      </c>
      <c r="E628" s="29" t="s">
        <v>12</v>
      </c>
      <c r="F628" s="29" t="s">
        <v>11</v>
      </c>
      <c r="G628" s="28">
        <v>1100</v>
      </c>
      <c r="H628" s="28">
        <v>1</v>
      </c>
      <c r="I628" s="30">
        <f>TownTeam1[[#This Row],[Selling price]]*TownTeam1[[#This Row],[Item quantity]]</f>
        <v>1100</v>
      </c>
      <c r="J628" s="30">
        <f>IF(TownTeam1[[#This Row],[Item name]]=" Jeans - Denim",TownTeam1[[#This Row],[Total sales]]*0.85,TownTeam1[[#This Row],[Total sales]])</f>
        <v>935</v>
      </c>
    </row>
    <row r="629" spans="2:10" x14ac:dyDescent="0.25">
      <c r="B629" s="28">
        <v>625</v>
      </c>
      <c r="C629" s="35">
        <v>44090</v>
      </c>
      <c r="D629" s="29" t="s">
        <v>9</v>
      </c>
      <c r="E629" s="29" t="s">
        <v>12</v>
      </c>
      <c r="F629" s="29" t="s">
        <v>11</v>
      </c>
      <c r="G629" s="28">
        <v>1100</v>
      </c>
      <c r="H629" s="28">
        <v>1</v>
      </c>
      <c r="I629" s="30">
        <f>TownTeam1[[#This Row],[Selling price]]*TownTeam1[[#This Row],[Item quantity]]</f>
        <v>1100</v>
      </c>
      <c r="J629" s="30">
        <f>IF(TownTeam1[[#This Row],[Item name]]=" Jeans - Denim",TownTeam1[[#This Row],[Total sales]]*0.85,TownTeam1[[#This Row],[Total sales]])</f>
        <v>935</v>
      </c>
    </row>
    <row r="630" spans="2:10" x14ac:dyDescent="0.25">
      <c r="B630" s="28">
        <v>626</v>
      </c>
      <c r="C630" s="35">
        <v>44091</v>
      </c>
      <c r="D630" s="29" t="s">
        <v>9</v>
      </c>
      <c r="E630" s="29" t="s">
        <v>15</v>
      </c>
      <c r="F630" s="29" t="s">
        <v>11</v>
      </c>
      <c r="G630" s="28">
        <v>1000</v>
      </c>
      <c r="H630" s="28">
        <v>1</v>
      </c>
      <c r="I630" s="30">
        <f>TownTeam1[[#This Row],[Selling price]]*TownTeam1[[#This Row],[Item quantity]]</f>
        <v>1000</v>
      </c>
      <c r="J630" s="30">
        <f>IF(TownTeam1[[#This Row],[Item name]]=" Jeans - Denim",TownTeam1[[#This Row],[Total sales]]*0.85,TownTeam1[[#This Row],[Total sales]])</f>
        <v>1000</v>
      </c>
    </row>
    <row r="631" spans="2:10" x14ac:dyDescent="0.25">
      <c r="B631" s="28">
        <v>627</v>
      </c>
      <c r="C631" s="35">
        <v>44092</v>
      </c>
      <c r="D631" s="29" t="s">
        <v>9</v>
      </c>
      <c r="E631" s="29" t="s">
        <v>18</v>
      </c>
      <c r="F631" s="29" t="s">
        <v>17</v>
      </c>
      <c r="G631" s="28">
        <v>600</v>
      </c>
      <c r="H631" s="28">
        <v>1</v>
      </c>
      <c r="I631" s="30">
        <f>TownTeam1[[#This Row],[Selling price]]*TownTeam1[[#This Row],[Item quantity]]</f>
        <v>600</v>
      </c>
      <c r="J631" s="30">
        <f>IF(TownTeam1[[#This Row],[Item name]]=" Jeans - Denim",TownTeam1[[#This Row],[Total sales]]*0.85,TownTeam1[[#This Row],[Total sales]])</f>
        <v>600</v>
      </c>
    </row>
    <row r="632" spans="2:10" x14ac:dyDescent="0.25">
      <c r="B632" s="28">
        <v>628</v>
      </c>
      <c r="C632" s="35">
        <v>44093</v>
      </c>
      <c r="D632" s="29" t="s">
        <v>9</v>
      </c>
      <c r="E632" s="29" t="s">
        <v>16</v>
      </c>
      <c r="F632" s="29" t="s">
        <v>17</v>
      </c>
      <c r="G632" s="28">
        <v>800</v>
      </c>
      <c r="H632" s="28">
        <v>1</v>
      </c>
      <c r="I632" s="30">
        <f>TownTeam1[[#This Row],[Selling price]]*TownTeam1[[#This Row],[Item quantity]]</f>
        <v>800</v>
      </c>
      <c r="J632" s="30">
        <f>IF(TownTeam1[[#This Row],[Item name]]=" Jeans - Denim",TownTeam1[[#This Row],[Total sales]]*0.85,TownTeam1[[#This Row],[Total sales]])</f>
        <v>800</v>
      </c>
    </row>
    <row r="633" spans="2:10" x14ac:dyDescent="0.25">
      <c r="B633" s="28">
        <v>629</v>
      </c>
      <c r="C633" s="35">
        <v>44094</v>
      </c>
      <c r="D633" s="29" t="s">
        <v>9</v>
      </c>
      <c r="E633" s="29" t="s">
        <v>12</v>
      </c>
      <c r="F633" s="29" t="s">
        <v>11</v>
      </c>
      <c r="G633" s="28">
        <v>1100</v>
      </c>
      <c r="H633" s="28">
        <v>1</v>
      </c>
      <c r="I633" s="30">
        <f>TownTeam1[[#This Row],[Selling price]]*TownTeam1[[#This Row],[Item quantity]]</f>
        <v>1100</v>
      </c>
      <c r="J633" s="30">
        <f>IF(TownTeam1[[#This Row],[Item name]]=" Jeans - Denim",TownTeam1[[#This Row],[Total sales]]*0.85,TownTeam1[[#This Row],[Total sales]])</f>
        <v>935</v>
      </c>
    </row>
    <row r="634" spans="2:10" x14ac:dyDescent="0.25">
      <c r="B634" s="28">
        <v>630</v>
      </c>
      <c r="C634" s="35">
        <v>44095</v>
      </c>
      <c r="D634" s="29" t="s">
        <v>9</v>
      </c>
      <c r="E634" s="29" t="s">
        <v>18</v>
      </c>
      <c r="F634" s="29" t="s">
        <v>17</v>
      </c>
      <c r="G634" s="28">
        <v>600</v>
      </c>
      <c r="H634" s="28">
        <v>1</v>
      </c>
      <c r="I634" s="30">
        <f>TownTeam1[[#This Row],[Selling price]]*TownTeam1[[#This Row],[Item quantity]]</f>
        <v>600</v>
      </c>
      <c r="J634" s="30">
        <f>IF(TownTeam1[[#This Row],[Item name]]=" Jeans - Denim",TownTeam1[[#This Row],[Total sales]]*0.85,TownTeam1[[#This Row],[Total sales]])</f>
        <v>600</v>
      </c>
    </row>
    <row r="635" spans="2:10" x14ac:dyDescent="0.25">
      <c r="B635" s="28">
        <v>631</v>
      </c>
      <c r="C635" s="35">
        <v>44096</v>
      </c>
      <c r="D635" s="29" t="s">
        <v>9</v>
      </c>
      <c r="E635" s="29" t="s">
        <v>19</v>
      </c>
      <c r="F635" s="29" t="s">
        <v>20</v>
      </c>
      <c r="G635" s="28">
        <v>850</v>
      </c>
      <c r="H635" s="28">
        <v>1</v>
      </c>
      <c r="I635" s="30">
        <f>TownTeam1[[#This Row],[Selling price]]*TownTeam1[[#This Row],[Item quantity]]</f>
        <v>850</v>
      </c>
      <c r="J635" s="30">
        <f>IF(TownTeam1[[#This Row],[Item name]]=" Jeans - Denim",TownTeam1[[#This Row],[Total sales]]*0.85,TownTeam1[[#This Row],[Total sales]])</f>
        <v>850</v>
      </c>
    </row>
    <row r="636" spans="2:10" x14ac:dyDescent="0.25">
      <c r="B636" s="28">
        <v>632</v>
      </c>
      <c r="C636" s="35">
        <v>44097</v>
      </c>
      <c r="D636" s="29" t="s">
        <v>9</v>
      </c>
      <c r="E636" s="29" t="s">
        <v>14</v>
      </c>
      <c r="F636" s="29" t="s">
        <v>11</v>
      </c>
      <c r="G636" s="28">
        <v>900</v>
      </c>
      <c r="H636" s="28">
        <v>1</v>
      </c>
      <c r="I636" s="30">
        <f>TownTeam1[[#This Row],[Selling price]]*TownTeam1[[#This Row],[Item quantity]]</f>
        <v>900</v>
      </c>
      <c r="J636" s="30">
        <f>IF(TownTeam1[[#This Row],[Item name]]=" Jeans - Denim",TownTeam1[[#This Row],[Total sales]]*0.85,TownTeam1[[#This Row],[Total sales]])</f>
        <v>900</v>
      </c>
    </row>
    <row r="637" spans="2:10" x14ac:dyDescent="0.25">
      <c r="B637" s="28">
        <v>633</v>
      </c>
      <c r="C637" s="35">
        <v>44098</v>
      </c>
      <c r="D637" s="29" t="s">
        <v>9</v>
      </c>
      <c r="E637" s="29" t="s">
        <v>15</v>
      </c>
      <c r="F637" s="29" t="s">
        <v>11</v>
      </c>
      <c r="G637" s="28">
        <v>1000</v>
      </c>
      <c r="H637" s="28">
        <v>1</v>
      </c>
      <c r="I637" s="30">
        <f>TownTeam1[[#This Row],[Selling price]]*TownTeam1[[#This Row],[Item quantity]]</f>
        <v>1000</v>
      </c>
      <c r="J637" s="30">
        <f>IF(TownTeam1[[#This Row],[Item name]]=" Jeans - Denim",TownTeam1[[#This Row],[Total sales]]*0.85,TownTeam1[[#This Row],[Total sales]])</f>
        <v>1000</v>
      </c>
    </row>
    <row r="638" spans="2:10" x14ac:dyDescent="0.25">
      <c r="B638" s="28">
        <v>634</v>
      </c>
      <c r="C638" s="35">
        <v>44099</v>
      </c>
      <c r="D638" s="29" t="s">
        <v>9</v>
      </c>
      <c r="E638" s="29" t="s">
        <v>19</v>
      </c>
      <c r="F638" s="29" t="s">
        <v>20</v>
      </c>
      <c r="G638" s="28">
        <v>850</v>
      </c>
      <c r="H638" s="28">
        <v>1</v>
      </c>
      <c r="I638" s="30">
        <f>TownTeam1[[#This Row],[Selling price]]*TownTeam1[[#This Row],[Item quantity]]</f>
        <v>850</v>
      </c>
      <c r="J638" s="30">
        <f>IF(TownTeam1[[#This Row],[Item name]]=" Jeans - Denim",TownTeam1[[#This Row],[Total sales]]*0.85,TownTeam1[[#This Row],[Total sales]])</f>
        <v>850</v>
      </c>
    </row>
    <row r="639" spans="2:10" x14ac:dyDescent="0.25">
      <c r="B639" s="28">
        <v>635</v>
      </c>
      <c r="C639" s="35">
        <v>44100</v>
      </c>
      <c r="D639" s="29" t="s">
        <v>9</v>
      </c>
      <c r="E639" s="29" t="s">
        <v>19</v>
      </c>
      <c r="F639" s="29" t="s">
        <v>20</v>
      </c>
      <c r="G639" s="28">
        <v>850</v>
      </c>
      <c r="H639" s="28">
        <v>1</v>
      </c>
      <c r="I639" s="30">
        <f>TownTeam1[[#This Row],[Selling price]]*TownTeam1[[#This Row],[Item quantity]]</f>
        <v>850</v>
      </c>
      <c r="J639" s="30">
        <f>IF(TownTeam1[[#This Row],[Item name]]=" Jeans - Denim",TownTeam1[[#This Row],[Total sales]]*0.85,TownTeam1[[#This Row],[Total sales]])</f>
        <v>850</v>
      </c>
    </row>
    <row r="640" spans="2:10" x14ac:dyDescent="0.25">
      <c r="B640" s="28">
        <v>636</v>
      </c>
      <c r="C640" s="35">
        <v>44101</v>
      </c>
      <c r="D640" s="29" t="s">
        <v>9</v>
      </c>
      <c r="E640" s="29" t="s">
        <v>15</v>
      </c>
      <c r="F640" s="29" t="s">
        <v>11</v>
      </c>
      <c r="G640" s="28">
        <v>1000</v>
      </c>
      <c r="H640" s="28">
        <v>1</v>
      </c>
      <c r="I640" s="30">
        <f>TownTeam1[[#This Row],[Selling price]]*TownTeam1[[#This Row],[Item quantity]]</f>
        <v>1000</v>
      </c>
      <c r="J640" s="30">
        <f>IF(TownTeam1[[#This Row],[Item name]]=" Jeans - Denim",TownTeam1[[#This Row],[Total sales]]*0.85,TownTeam1[[#This Row],[Total sales]])</f>
        <v>1000</v>
      </c>
    </row>
    <row r="641" spans="2:10" x14ac:dyDescent="0.25">
      <c r="B641" s="28">
        <v>637</v>
      </c>
      <c r="C641" s="35">
        <v>44102</v>
      </c>
      <c r="D641" s="29" t="s">
        <v>9</v>
      </c>
      <c r="E641" s="29" t="s">
        <v>16</v>
      </c>
      <c r="F641" s="29" t="s">
        <v>17</v>
      </c>
      <c r="G641" s="28">
        <v>800</v>
      </c>
      <c r="H641" s="28">
        <v>1</v>
      </c>
      <c r="I641" s="30">
        <f>TownTeam1[[#This Row],[Selling price]]*TownTeam1[[#This Row],[Item quantity]]</f>
        <v>800</v>
      </c>
      <c r="J641" s="30">
        <f>IF(TownTeam1[[#This Row],[Item name]]=" Jeans - Denim",TownTeam1[[#This Row],[Total sales]]*0.85,TownTeam1[[#This Row],[Total sales]])</f>
        <v>800</v>
      </c>
    </row>
    <row r="642" spans="2:10" x14ac:dyDescent="0.25">
      <c r="B642" s="28">
        <v>638</v>
      </c>
      <c r="C642" s="35">
        <v>44103</v>
      </c>
      <c r="D642" s="29" t="s">
        <v>9</v>
      </c>
      <c r="E642" s="29" t="s">
        <v>12</v>
      </c>
      <c r="F642" s="29" t="s">
        <v>11</v>
      </c>
      <c r="G642" s="28">
        <v>1100</v>
      </c>
      <c r="H642" s="28">
        <v>1</v>
      </c>
      <c r="I642" s="30">
        <f>TownTeam1[[#This Row],[Selling price]]*TownTeam1[[#This Row],[Item quantity]]</f>
        <v>1100</v>
      </c>
      <c r="J642" s="30">
        <f>IF(TownTeam1[[#This Row],[Item name]]=" Jeans - Denim",TownTeam1[[#This Row],[Total sales]]*0.85,TownTeam1[[#This Row],[Total sales]])</f>
        <v>935</v>
      </c>
    </row>
    <row r="643" spans="2:10" x14ac:dyDescent="0.25">
      <c r="B643" s="28">
        <v>639</v>
      </c>
      <c r="C643" s="35">
        <v>44104</v>
      </c>
      <c r="D643" s="29" t="s">
        <v>9</v>
      </c>
      <c r="E643" s="29" t="s">
        <v>12</v>
      </c>
      <c r="F643" s="29" t="s">
        <v>11</v>
      </c>
      <c r="G643" s="28">
        <v>1100</v>
      </c>
      <c r="H643" s="28">
        <v>1</v>
      </c>
      <c r="I643" s="30">
        <f>TownTeam1[[#This Row],[Selling price]]*TownTeam1[[#This Row],[Item quantity]]</f>
        <v>1100</v>
      </c>
      <c r="J643" s="30">
        <f>IF(TownTeam1[[#This Row],[Item name]]=" Jeans - Denim",TownTeam1[[#This Row],[Total sales]]*0.85,TownTeam1[[#This Row],[Total sales]])</f>
        <v>935</v>
      </c>
    </row>
    <row r="644" spans="2:10" x14ac:dyDescent="0.25">
      <c r="B644" s="28">
        <v>640</v>
      </c>
      <c r="C644" s="35">
        <v>44105</v>
      </c>
      <c r="D644" s="29" t="s">
        <v>9</v>
      </c>
      <c r="E644" s="29" t="s">
        <v>12</v>
      </c>
      <c r="F644" s="29" t="s">
        <v>11</v>
      </c>
      <c r="G644" s="28">
        <v>1100</v>
      </c>
      <c r="H644" s="28">
        <v>1</v>
      </c>
      <c r="I644" s="30">
        <f>TownTeam1[[#This Row],[Selling price]]*TownTeam1[[#This Row],[Item quantity]]</f>
        <v>1100</v>
      </c>
      <c r="J644" s="30">
        <f>IF(TownTeam1[[#This Row],[Item name]]=" Jeans - Denim",TownTeam1[[#This Row],[Total sales]]*0.85,TownTeam1[[#This Row],[Total sales]])</f>
        <v>935</v>
      </c>
    </row>
    <row r="645" spans="2:10" x14ac:dyDescent="0.25">
      <c r="B645" s="28">
        <v>641</v>
      </c>
      <c r="C645" s="35">
        <v>44106</v>
      </c>
      <c r="D645" s="29" t="s">
        <v>9</v>
      </c>
      <c r="E645" s="29" t="s">
        <v>12</v>
      </c>
      <c r="F645" s="29" t="s">
        <v>11</v>
      </c>
      <c r="G645" s="28">
        <v>1100</v>
      </c>
      <c r="H645" s="28">
        <v>1</v>
      </c>
      <c r="I645" s="30">
        <f>TownTeam1[[#This Row],[Selling price]]*TownTeam1[[#This Row],[Item quantity]]</f>
        <v>1100</v>
      </c>
      <c r="J645" s="30">
        <f>IF(TownTeam1[[#This Row],[Item name]]=" Jeans - Denim",TownTeam1[[#This Row],[Total sales]]*0.85,TownTeam1[[#This Row],[Total sales]])</f>
        <v>935</v>
      </c>
    </row>
    <row r="646" spans="2:10" x14ac:dyDescent="0.25">
      <c r="B646" s="28">
        <v>642</v>
      </c>
      <c r="C646" s="35">
        <v>44107</v>
      </c>
      <c r="D646" s="29" t="s">
        <v>9</v>
      </c>
      <c r="E646" s="29" t="s">
        <v>12</v>
      </c>
      <c r="F646" s="29" t="s">
        <v>11</v>
      </c>
      <c r="G646" s="28">
        <v>1100</v>
      </c>
      <c r="H646" s="28">
        <v>1</v>
      </c>
      <c r="I646" s="30">
        <f>TownTeam1[[#This Row],[Selling price]]*TownTeam1[[#This Row],[Item quantity]]</f>
        <v>1100</v>
      </c>
      <c r="J646" s="30">
        <f>IF(TownTeam1[[#This Row],[Item name]]=" Jeans - Denim",TownTeam1[[#This Row],[Total sales]]*0.85,TownTeam1[[#This Row],[Total sales]])</f>
        <v>935</v>
      </c>
    </row>
    <row r="647" spans="2:10" x14ac:dyDescent="0.25">
      <c r="B647" s="28">
        <v>643</v>
      </c>
      <c r="C647" s="35">
        <v>44108</v>
      </c>
      <c r="D647" s="29" t="s">
        <v>9</v>
      </c>
      <c r="E647" s="29" t="s">
        <v>12</v>
      </c>
      <c r="F647" s="29" t="s">
        <v>11</v>
      </c>
      <c r="G647" s="28">
        <v>1100</v>
      </c>
      <c r="H647" s="28">
        <v>1</v>
      </c>
      <c r="I647" s="30">
        <f>TownTeam1[[#This Row],[Selling price]]*TownTeam1[[#This Row],[Item quantity]]</f>
        <v>1100</v>
      </c>
      <c r="J647" s="30">
        <f>IF(TownTeam1[[#This Row],[Item name]]=" Jeans - Denim",TownTeam1[[#This Row],[Total sales]]*0.85,TownTeam1[[#This Row],[Total sales]])</f>
        <v>935</v>
      </c>
    </row>
    <row r="648" spans="2:10" x14ac:dyDescent="0.25">
      <c r="B648" s="28">
        <v>644</v>
      </c>
      <c r="C648" s="35">
        <v>44109</v>
      </c>
      <c r="D648" s="29" t="s">
        <v>9</v>
      </c>
      <c r="E648" s="29" t="s">
        <v>12</v>
      </c>
      <c r="F648" s="29" t="s">
        <v>11</v>
      </c>
      <c r="G648" s="28">
        <v>1100</v>
      </c>
      <c r="H648" s="28">
        <v>2</v>
      </c>
      <c r="I648" s="30">
        <f>TownTeam1[[#This Row],[Selling price]]*TownTeam1[[#This Row],[Item quantity]]</f>
        <v>2200</v>
      </c>
      <c r="J648" s="30">
        <f>IF(TownTeam1[[#This Row],[Item name]]=" Jeans - Denim",TownTeam1[[#This Row],[Total sales]]*0.85,TownTeam1[[#This Row],[Total sales]])</f>
        <v>1870</v>
      </c>
    </row>
    <row r="649" spans="2:10" x14ac:dyDescent="0.25">
      <c r="B649" s="28">
        <v>645</v>
      </c>
      <c r="C649" s="35">
        <v>44110</v>
      </c>
      <c r="D649" s="29" t="s">
        <v>9</v>
      </c>
      <c r="E649" s="29" t="s">
        <v>12</v>
      </c>
      <c r="F649" s="29" t="s">
        <v>11</v>
      </c>
      <c r="G649" s="28">
        <v>1100</v>
      </c>
      <c r="H649" s="28">
        <v>1</v>
      </c>
      <c r="I649" s="30">
        <f>TownTeam1[[#This Row],[Selling price]]*TownTeam1[[#This Row],[Item quantity]]</f>
        <v>1100</v>
      </c>
      <c r="J649" s="30">
        <f>IF(TownTeam1[[#This Row],[Item name]]=" Jeans - Denim",TownTeam1[[#This Row],[Total sales]]*0.85,TownTeam1[[#This Row],[Total sales]])</f>
        <v>935</v>
      </c>
    </row>
    <row r="650" spans="2:10" x14ac:dyDescent="0.25">
      <c r="B650" s="28">
        <v>646</v>
      </c>
      <c r="C650" s="35">
        <v>44111</v>
      </c>
      <c r="D650" s="29" t="s">
        <v>9</v>
      </c>
      <c r="E650" s="29" t="s">
        <v>12</v>
      </c>
      <c r="F650" s="29" t="s">
        <v>11</v>
      </c>
      <c r="G650" s="28">
        <v>1100</v>
      </c>
      <c r="H650" s="28">
        <v>1</v>
      </c>
      <c r="I650" s="30">
        <f>TownTeam1[[#This Row],[Selling price]]*TownTeam1[[#This Row],[Item quantity]]</f>
        <v>1100</v>
      </c>
      <c r="J650" s="30">
        <f>IF(TownTeam1[[#This Row],[Item name]]=" Jeans - Denim",TownTeam1[[#This Row],[Total sales]]*0.85,TownTeam1[[#This Row],[Total sales]])</f>
        <v>935</v>
      </c>
    </row>
    <row r="651" spans="2:10" x14ac:dyDescent="0.25">
      <c r="B651" s="28">
        <v>647</v>
      </c>
      <c r="C651" s="35">
        <v>44112</v>
      </c>
      <c r="D651" s="29" t="s">
        <v>9</v>
      </c>
      <c r="E651" s="29" t="s">
        <v>12</v>
      </c>
      <c r="F651" s="29" t="s">
        <v>11</v>
      </c>
      <c r="G651" s="28">
        <v>900</v>
      </c>
      <c r="H651" s="28">
        <v>1</v>
      </c>
      <c r="I651" s="30">
        <f>TownTeam1[[#This Row],[Selling price]]*TownTeam1[[#This Row],[Item quantity]]</f>
        <v>900</v>
      </c>
      <c r="J651" s="30">
        <f>IF(TownTeam1[[#This Row],[Item name]]=" Jeans - Denim",TownTeam1[[#This Row],[Total sales]]*0.85,TownTeam1[[#This Row],[Total sales]])</f>
        <v>765</v>
      </c>
    </row>
    <row r="652" spans="2:10" x14ac:dyDescent="0.25">
      <c r="B652" s="28">
        <v>648</v>
      </c>
      <c r="C652" s="35">
        <v>44113</v>
      </c>
      <c r="D652" s="29" t="s">
        <v>9</v>
      </c>
      <c r="E652" s="29" t="s">
        <v>12</v>
      </c>
      <c r="F652" s="29" t="s">
        <v>11</v>
      </c>
      <c r="G652" s="28">
        <v>900</v>
      </c>
      <c r="H652" s="28">
        <v>1</v>
      </c>
      <c r="I652" s="30">
        <f>TownTeam1[[#This Row],[Selling price]]*TownTeam1[[#This Row],[Item quantity]]</f>
        <v>900</v>
      </c>
      <c r="J652" s="30">
        <f>IF(TownTeam1[[#This Row],[Item name]]=" Jeans - Denim",TownTeam1[[#This Row],[Total sales]]*0.85,TownTeam1[[#This Row],[Total sales]])</f>
        <v>765</v>
      </c>
    </row>
    <row r="653" spans="2:10" x14ac:dyDescent="0.25">
      <c r="B653" s="28">
        <v>649</v>
      </c>
      <c r="C653" s="35">
        <v>44114</v>
      </c>
      <c r="D653" s="29" t="s">
        <v>9</v>
      </c>
      <c r="E653" s="29" t="s">
        <v>12</v>
      </c>
      <c r="F653" s="29" t="s">
        <v>11</v>
      </c>
      <c r="G653" s="28">
        <v>900</v>
      </c>
      <c r="H653" s="28">
        <v>1</v>
      </c>
      <c r="I653" s="30">
        <f>TownTeam1[[#This Row],[Selling price]]*TownTeam1[[#This Row],[Item quantity]]</f>
        <v>900</v>
      </c>
      <c r="J653" s="30">
        <f>IF(TownTeam1[[#This Row],[Item name]]=" Jeans - Denim",TownTeam1[[#This Row],[Total sales]]*0.85,TownTeam1[[#This Row],[Total sales]])</f>
        <v>765</v>
      </c>
    </row>
    <row r="654" spans="2:10" x14ac:dyDescent="0.25">
      <c r="B654" s="28">
        <v>650</v>
      </c>
      <c r="C654" s="35">
        <v>44115</v>
      </c>
      <c r="D654" s="29" t="s">
        <v>9</v>
      </c>
      <c r="E654" s="29" t="s">
        <v>12</v>
      </c>
      <c r="F654" s="29" t="s">
        <v>11</v>
      </c>
      <c r="G654" s="28">
        <v>900</v>
      </c>
      <c r="H654" s="28">
        <v>2</v>
      </c>
      <c r="I654" s="30">
        <f>TownTeam1[[#This Row],[Selling price]]*TownTeam1[[#This Row],[Item quantity]]</f>
        <v>1800</v>
      </c>
      <c r="J654" s="30">
        <f>IF(TownTeam1[[#This Row],[Item name]]=" Jeans - Denim",TownTeam1[[#This Row],[Total sales]]*0.85,TownTeam1[[#This Row],[Total sales]])</f>
        <v>1530</v>
      </c>
    </row>
    <row r="655" spans="2:10" x14ac:dyDescent="0.25">
      <c r="B655" s="28">
        <v>651</v>
      </c>
      <c r="C655" s="35">
        <v>44116</v>
      </c>
      <c r="D655" s="29" t="s">
        <v>9</v>
      </c>
      <c r="E655" s="29" t="s">
        <v>12</v>
      </c>
      <c r="F655" s="29" t="s">
        <v>11</v>
      </c>
      <c r="G655" s="28">
        <v>900</v>
      </c>
      <c r="H655" s="28">
        <v>1</v>
      </c>
      <c r="I655" s="30">
        <f>TownTeam1[[#This Row],[Selling price]]*TownTeam1[[#This Row],[Item quantity]]</f>
        <v>900</v>
      </c>
      <c r="J655" s="30">
        <f>IF(TownTeam1[[#This Row],[Item name]]=" Jeans - Denim",TownTeam1[[#This Row],[Total sales]]*0.85,TownTeam1[[#This Row],[Total sales]])</f>
        <v>765</v>
      </c>
    </row>
    <row r="656" spans="2:10" x14ac:dyDescent="0.25">
      <c r="B656" s="28">
        <v>652</v>
      </c>
      <c r="C656" s="35">
        <v>44117</v>
      </c>
      <c r="D656" s="29" t="s">
        <v>9</v>
      </c>
      <c r="E656" s="29" t="s">
        <v>12</v>
      </c>
      <c r="F656" s="29" t="s">
        <v>11</v>
      </c>
      <c r="G656" s="28">
        <v>900</v>
      </c>
      <c r="H656" s="28">
        <v>1</v>
      </c>
      <c r="I656" s="30">
        <f>TownTeam1[[#This Row],[Selling price]]*TownTeam1[[#This Row],[Item quantity]]</f>
        <v>900</v>
      </c>
      <c r="J656" s="30">
        <f>IF(TownTeam1[[#This Row],[Item name]]=" Jeans - Denim",TownTeam1[[#This Row],[Total sales]]*0.85,TownTeam1[[#This Row],[Total sales]])</f>
        <v>765</v>
      </c>
    </row>
    <row r="657" spans="2:10" x14ac:dyDescent="0.25">
      <c r="B657" s="28">
        <v>653</v>
      </c>
      <c r="C657" s="35">
        <v>44118</v>
      </c>
      <c r="D657" s="29" t="s">
        <v>9</v>
      </c>
      <c r="E657" s="29" t="s">
        <v>12</v>
      </c>
      <c r="F657" s="29" t="s">
        <v>11</v>
      </c>
      <c r="G657" s="28">
        <v>1100</v>
      </c>
      <c r="H657" s="28">
        <v>1</v>
      </c>
      <c r="I657" s="30">
        <f>TownTeam1[[#This Row],[Selling price]]*TownTeam1[[#This Row],[Item quantity]]</f>
        <v>1100</v>
      </c>
      <c r="J657" s="30">
        <f>IF(TownTeam1[[#This Row],[Item name]]=" Jeans - Denim",TownTeam1[[#This Row],[Total sales]]*0.85,TownTeam1[[#This Row],[Total sales]])</f>
        <v>935</v>
      </c>
    </row>
    <row r="658" spans="2:10" x14ac:dyDescent="0.25">
      <c r="B658" s="28">
        <v>654</v>
      </c>
      <c r="C658" s="35">
        <v>44119</v>
      </c>
      <c r="D658" s="29" t="s">
        <v>9</v>
      </c>
      <c r="E658" s="29" t="s">
        <v>12</v>
      </c>
      <c r="F658" s="29" t="s">
        <v>11</v>
      </c>
      <c r="G658" s="28">
        <v>900</v>
      </c>
      <c r="H658" s="28">
        <v>1</v>
      </c>
      <c r="I658" s="30">
        <f>TownTeam1[[#This Row],[Selling price]]*TownTeam1[[#This Row],[Item quantity]]</f>
        <v>900</v>
      </c>
      <c r="J658" s="30">
        <f>IF(TownTeam1[[#This Row],[Item name]]=" Jeans - Denim",TownTeam1[[#This Row],[Total sales]]*0.85,TownTeam1[[#This Row],[Total sales]])</f>
        <v>765</v>
      </c>
    </row>
    <row r="659" spans="2:10" x14ac:dyDescent="0.25">
      <c r="B659" s="28">
        <v>655</v>
      </c>
      <c r="C659" s="35">
        <v>44120</v>
      </c>
      <c r="D659" s="29" t="s">
        <v>9</v>
      </c>
      <c r="E659" s="29" t="s">
        <v>12</v>
      </c>
      <c r="F659" s="29" t="s">
        <v>11</v>
      </c>
      <c r="G659" s="28">
        <v>1100</v>
      </c>
      <c r="H659" s="28">
        <v>2</v>
      </c>
      <c r="I659" s="30">
        <f>TownTeam1[[#This Row],[Selling price]]*TownTeam1[[#This Row],[Item quantity]]</f>
        <v>2200</v>
      </c>
      <c r="J659" s="30">
        <f>IF(TownTeam1[[#This Row],[Item name]]=" Jeans - Denim",TownTeam1[[#This Row],[Total sales]]*0.85,TownTeam1[[#This Row],[Total sales]])</f>
        <v>1870</v>
      </c>
    </row>
    <row r="660" spans="2:10" x14ac:dyDescent="0.25">
      <c r="B660" s="28">
        <v>656</v>
      </c>
      <c r="C660" s="35">
        <v>44121</v>
      </c>
      <c r="D660" s="29" t="s">
        <v>9</v>
      </c>
      <c r="E660" s="29" t="s">
        <v>12</v>
      </c>
      <c r="F660" s="29" t="s">
        <v>11</v>
      </c>
      <c r="G660" s="28">
        <v>1100</v>
      </c>
      <c r="H660" s="28">
        <v>1</v>
      </c>
      <c r="I660" s="30">
        <f>TownTeam1[[#This Row],[Selling price]]*TownTeam1[[#This Row],[Item quantity]]</f>
        <v>1100</v>
      </c>
      <c r="J660" s="30">
        <f>IF(TownTeam1[[#This Row],[Item name]]=" Jeans - Denim",TownTeam1[[#This Row],[Total sales]]*0.85,TownTeam1[[#This Row],[Total sales]])</f>
        <v>935</v>
      </c>
    </row>
    <row r="661" spans="2:10" x14ac:dyDescent="0.25">
      <c r="B661" s="28">
        <v>657</v>
      </c>
      <c r="C661" s="35">
        <v>44122</v>
      </c>
      <c r="D661" s="29" t="s">
        <v>9</v>
      </c>
      <c r="E661" s="29" t="s">
        <v>12</v>
      </c>
      <c r="F661" s="29" t="s">
        <v>11</v>
      </c>
      <c r="G661" s="28">
        <v>900</v>
      </c>
      <c r="H661" s="28">
        <v>1</v>
      </c>
      <c r="I661" s="30">
        <f>TownTeam1[[#This Row],[Selling price]]*TownTeam1[[#This Row],[Item quantity]]</f>
        <v>900</v>
      </c>
      <c r="J661" s="30">
        <f>IF(TownTeam1[[#This Row],[Item name]]=" Jeans - Denim",TownTeam1[[#This Row],[Total sales]]*0.85,TownTeam1[[#This Row],[Total sales]])</f>
        <v>765</v>
      </c>
    </row>
    <row r="662" spans="2:10" x14ac:dyDescent="0.25">
      <c r="B662" s="28">
        <v>658</v>
      </c>
      <c r="C662" s="35">
        <v>44123</v>
      </c>
      <c r="D662" s="29" t="s">
        <v>9</v>
      </c>
      <c r="E662" s="29" t="s">
        <v>12</v>
      </c>
      <c r="F662" s="29" t="s">
        <v>11</v>
      </c>
      <c r="G662" s="28">
        <v>900</v>
      </c>
      <c r="H662" s="28">
        <v>1</v>
      </c>
      <c r="I662" s="30">
        <f>TownTeam1[[#This Row],[Selling price]]*TownTeam1[[#This Row],[Item quantity]]</f>
        <v>900</v>
      </c>
      <c r="J662" s="30">
        <f>IF(TownTeam1[[#This Row],[Item name]]=" Jeans - Denim",TownTeam1[[#This Row],[Total sales]]*0.85,TownTeam1[[#This Row],[Total sales]])</f>
        <v>765</v>
      </c>
    </row>
    <row r="663" spans="2:10" x14ac:dyDescent="0.25">
      <c r="B663" s="28">
        <v>659</v>
      </c>
      <c r="C663" s="35">
        <v>44124</v>
      </c>
      <c r="D663" s="29" t="s">
        <v>9</v>
      </c>
      <c r="E663" s="29" t="s">
        <v>14</v>
      </c>
      <c r="F663" s="29" t="s">
        <v>11</v>
      </c>
      <c r="G663" s="28">
        <v>900</v>
      </c>
      <c r="H663" s="28">
        <v>1</v>
      </c>
      <c r="I663" s="30">
        <f>TownTeam1[[#This Row],[Selling price]]*TownTeam1[[#This Row],[Item quantity]]</f>
        <v>900</v>
      </c>
      <c r="J663" s="30">
        <f>IF(TownTeam1[[#This Row],[Item name]]=" Jeans - Denim",TownTeam1[[#This Row],[Total sales]]*0.85,TownTeam1[[#This Row],[Total sales]])</f>
        <v>900</v>
      </c>
    </row>
    <row r="664" spans="2:10" x14ac:dyDescent="0.25">
      <c r="B664" s="28">
        <v>660</v>
      </c>
      <c r="C664" s="35">
        <v>44125</v>
      </c>
      <c r="D664" s="29" t="s">
        <v>9</v>
      </c>
      <c r="E664" s="29" t="s">
        <v>12</v>
      </c>
      <c r="F664" s="29" t="s">
        <v>11</v>
      </c>
      <c r="G664" s="28">
        <v>1100</v>
      </c>
      <c r="H664" s="28">
        <v>1</v>
      </c>
      <c r="I664" s="30">
        <f>TownTeam1[[#This Row],[Selling price]]*TownTeam1[[#This Row],[Item quantity]]</f>
        <v>1100</v>
      </c>
      <c r="J664" s="30">
        <f>IF(TownTeam1[[#This Row],[Item name]]=" Jeans - Denim",TownTeam1[[#This Row],[Total sales]]*0.85,TownTeam1[[#This Row],[Total sales]])</f>
        <v>935</v>
      </c>
    </row>
    <row r="665" spans="2:10" x14ac:dyDescent="0.25">
      <c r="B665" s="28">
        <v>661</v>
      </c>
      <c r="C665" s="35">
        <v>44126</v>
      </c>
      <c r="D665" s="29" t="s">
        <v>9</v>
      </c>
      <c r="E665" s="29" t="s">
        <v>12</v>
      </c>
      <c r="F665" s="29" t="s">
        <v>11</v>
      </c>
      <c r="G665" s="28">
        <v>1100</v>
      </c>
      <c r="H665" s="28">
        <v>1</v>
      </c>
      <c r="I665" s="30">
        <f>TownTeam1[[#This Row],[Selling price]]*TownTeam1[[#This Row],[Item quantity]]</f>
        <v>1100</v>
      </c>
      <c r="J665" s="30">
        <f>IF(TownTeam1[[#This Row],[Item name]]=" Jeans - Denim",TownTeam1[[#This Row],[Total sales]]*0.85,TownTeam1[[#This Row],[Total sales]])</f>
        <v>935</v>
      </c>
    </row>
    <row r="666" spans="2:10" x14ac:dyDescent="0.25">
      <c r="B666" s="28">
        <v>662</v>
      </c>
      <c r="C666" s="35">
        <v>44127</v>
      </c>
      <c r="D666" s="29" t="s">
        <v>9</v>
      </c>
      <c r="E666" s="29" t="s">
        <v>14</v>
      </c>
      <c r="F666" s="29" t="s">
        <v>11</v>
      </c>
      <c r="G666" s="28">
        <v>900</v>
      </c>
      <c r="H666" s="28">
        <v>1</v>
      </c>
      <c r="I666" s="30">
        <f>TownTeam1[[#This Row],[Selling price]]*TownTeam1[[#This Row],[Item quantity]]</f>
        <v>900</v>
      </c>
      <c r="J666" s="30">
        <f>IF(TownTeam1[[#This Row],[Item name]]=" Jeans - Denim",TownTeam1[[#This Row],[Total sales]]*0.85,TownTeam1[[#This Row],[Total sales]])</f>
        <v>900</v>
      </c>
    </row>
    <row r="667" spans="2:10" x14ac:dyDescent="0.25">
      <c r="B667" s="28">
        <v>663</v>
      </c>
      <c r="C667" s="35">
        <v>44128</v>
      </c>
      <c r="D667" s="29" t="s">
        <v>9</v>
      </c>
      <c r="E667" s="29" t="s">
        <v>12</v>
      </c>
      <c r="F667" s="29" t="s">
        <v>11</v>
      </c>
      <c r="G667" s="28">
        <v>900</v>
      </c>
      <c r="H667" s="28">
        <v>1</v>
      </c>
      <c r="I667" s="30">
        <f>TownTeam1[[#This Row],[Selling price]]*TownTeam1[[#This Row],[Item quantity]]</f>
        <v>900</v>
      </c>
      <c r="J667" s="30">
        <f>IF(TownTeam1[[#This Row],[Item name]]=" Jeans - Denim",TownTeam1[[#This Row],[Total sales]]*0.85,TownTeam1[[#This Row],[Total sales]])</f>
        <v>765</v>
      </c>
    </row>
    <row r="668" spans="2:10" x14ac:dyDescent="0.25">
      <c r="B668" s="28">
        <v>664</v>
      </c>
      <c r="C668" s="35">
        <v>44129</v>
      </c>
      <c r="D668" s="29" t="s">
        <v>9</v>
      </c>
      <c r="E668" s="29" t="s">
        <v>14</v>
      </c>
      <c r="F668" s="29" t="s">
        <v>11</v>
      </c>
      <c r="G668" s="28">
        <v>900</v>
      </c>
      <c r="H668" s="28">
        <v>1</v>
      </c>
      <c r="I668" s="30">
        <f>TownTeam1[[#This Row],[Selling price]]*TownTeam1[[#This Row],[Item quantity]]</f>
        <v>900</v>
      </c>
      <c r="J668" s="30">
        <f>IF(TownTeam1[[#This Row],[Item name]]=" Jeans - Denim",TownTeam1[[#This Row],[Total sales]]*0.85,TownTeam1[[#This Row],[Total sales]])</f>
        <v>900</v>
      </c>
    </row>
    <row r="669" spans="2:10" x14ac:dyDescent="0.25">
      <c r="B669" s="28">
        <v>665</v>
      </c>
      <c r="C669" s="35">
        <v>44130</v>
      </c>
      <c r="D669" s="29" t="s">
        <v>9</v>
      </c>
      <c r="E669" s="29" t="s">
        <v>12</v>
      </c>
      <c r="F669" s="29" t="s">
        <v>11</v>
      </c>
      <c r="G669" s="28">
        <v>1100</v>
      </c>
      <c r="H669" s="28">
        <v>1</v>
      </c>
      <c r="I669" s="30">
        <f>TownTeam1[[#This Row],[Selling price]]*TownTeam1[[#This Row],[Item quantity]]</f>
        <v>1100</v>
      </c>
      <c r="J669" s="30">
        <f>IF(TownTeam1[[#This Row],[Item name]]=" Jeans - Denim",TownTeam1[[#This Row],[Total sales]]*0.85,TownTeam1[[#This Row],[Total sales]])</f>
        <v>935</v>
      </c>
    </row>
    <row r="670" spans="2:10" x14ac:dyDescent="0.25">
      <c r="B670" s="28">
        <v>666</v>
      </c>
      <c r="C670" s="35">
        <v>44131</v>
      </c>
      <c r="D670" s="29" t="s">
        <v>9</v>
      </c>
      <c r="E670" s="29" t="s">
        <v>12</v>
      </c>
      <c r="F670" s="29" t="s">
        <v>11</v>
      </c>
      <c r="G670" s="28">
        <v>1100</v>
      </c>
      <c r="H670" s="28">
        <v>1</v>
      </c>
      <c r="I670" s="30">
        <f>TownTeam1[[#This Row],[Selling price]]*TownTeam1[[#This Row],[Item quantity]]</f>
        <v>1100</v>
      </c>
      <c r="J670" s="30">
        <f>IF(TownTeam1[[#This Row],[Item name]]=" Jeans - Denim",TownTeam1[[#This Row],[Total sales]]*0.85,TownTeam1[[#This Row],[Total sales]])</f>
        <v>935</v>
      </c>
    </row>
    <row r="671" spans="2:10" x14ac:dyDescent="0.25">
      <c r="B671" s="28">
        <v>667</v>
      </c>
      <c r="C671" s="35">
        <v>44132</v>
      </c>
      <c r="D671" s="29" t="s">
        <v>9</v>
      </c>
      <c r="E671" s="29" t="s">
        <v>14</v>
      </c>
      <c r="F671" s="29" t="s">
        <v>11</v>
      </c>
      <c r="G671" s="28">
        <v>900</v>
      </c>
      <c r="H671" s="28">
        <v>1</v>
      </c>
      <c r="I671" s="30">
        <f>TownTeam1[[#This Row],[Selling price]]*TownTeam1[[#This Row],[Item quantity]]</f>
        <v>900</v>
      </c>
      <c r="J671" s="30">
        <f>IF(TownTeam1[[#This Row],[Item name]]=" Jeans - Denim",TownTeam1[[#This Row],[Total sales]]*0.85,TownTeam1[[#This Row],[Total sales]])</f>
        <v>900</v>
      </c>
    </row>
    <row r="672" spans="2:10" x14ac:dyDescent="0.25">
      <c r="B672" s="28">
        <v>668</v>
      </c>
      <c r="C672" s="35">
        <v>44133</v>
      </c>
      <c r="D672" s="29" t="s">
        <v>9</v>
      </c>
      <c r="E672" s="29" t="s">
        <v>14</v>
      </c>
      <c r="F672" s="29" t="s">
        <v>11</v>
      </c>
      <c r="G672" s="28">
        <v>900</v>
      </c>
      <c r="H672" s="28">
        <v>1</v>
      </c>
      <c r="I672" s="30">
        <f>TownTeam1[[#This Row],[Selling price]]*TownTeam1[[#This Row],[Item quantity]]</f>
        <v>900</v>
      </c>
      <c r="J672" s="30">
        <f>IF(TownTeam1[[#This Row],[Item name]]=" Jeans - Denim",TownTeam1[[#This Row],[Total sales]]*0.85,TownTeam1[[#This Row],[Total sales]])</f>
        <v>900</v>
      </c>
    </row>
    <row r="673" spans="2:10" x14ac:dyDescent="0.25">
      <c r="B673" s="28">
        <v>669</v>
      </c>
      <c r="C673" s="35">
        <v>44134</v>
      </c>
      <c r="D673" s="29" t="s">
        <v>9</v>
      </c>
      <c r="E673" s="29" t="s">
        <v>14</v>
      </c>
      <c r="F673" s="29" t="s">
        <v>11</v>
      </c>
      <c r="G673" s="28">
        <v>900</v>
      </c>
      <c r="H673" s="28">
        <v>1</v>
      </c>
      <c r="I673" s="30">
        <f>TownTeam1[[#This Row],[Selling price]]*TownTeam1[[#This Row],[Item quantity]]</f>
        <v>900</v>
      </c>
      <c r="J673" s="30">
        <f>IF(TownTeam1[[#This Row],[Item name]]=" Jeans - Denim",TownTeam1[[#This Row],[Total sales]]*0.85,TownTeam1[[#This Row],[Total sales]])</f>
        <v>900</v>
      </c>
    </row>
    <row r="674" spans="2:10" x14ac:dyDescent="0.25">
      <c r="B674" s="28">
        <v>670</v>
      </c>
      <c r="C674" s="35">
        <v>44135</v>
      </c>
      <c r="D674" s="29" t="s">
        <v>9</v>
      </c>
      <c r="E674" s="29" t="s">
        <v>14</v>
      </c>
      <c r="F674" s="29" t="s">
        <v>11</v>
      </c>
      <c r="G674" s="28">
        <v>900</v>
      </c>
      <c r="H674" s="28">
        <v>1</v>
      </c>
      <c r="I674" s="30">
        <f>TownTeam1[[#This Row],[Selling price]]*TownTeam1[[#This Row],[Item quantity]]</f>
        <v>900</v>
      </c>
      <c r="J674" s="30">
        <f>IF(TownTeam1[[#This Row],[Item name]]=" Jeans - Denim",TownTeam1[[#This Row],[Total sales]]*0.85,TownTeam1[[#This Row],[Total sales]])</f>
        <v>900</v>
      </c>
    </row>
    <row r="675" spans="2:10" x14ac:dyDescent="0.25">
      <c r="B675" s="28">
        <v>671</v>
      </c>
      <c r="C675" s="35">
        <v>44136</v>
      </c>
      <c r="D675" s="29" t="s">
        <v>9</v>
      </c>
      <c r="E675" s="29" t="s">
        <v>14</v>
      </c>
      <c r="F675" s="29" t="s">
        <v>11</v>
      </c>
      <c r="G675" s="28">
        <v>900</v>
      </c>
      <c r="H675" s="28">
        <v>1</v>
      </c>
      <c r="I675" s="30">
        <f>TownTeam1[[#This Row],[Selling price]]*TownTeam1[[#This Row],[Item quantity]]</f>
        <v>900</v>
      </c>
      <c r="J675" s="30">
        <f>IF(TownTeam1[[#This Row],[Item name]]=" Jeans - Denim",TownTeam1[[#This Row],[Total sales]]*0.85,TownTeam1[[#This Row],[Total sales]])</f>
        <v>900</v>
      </c>
    </row>
    <row r="676" spans="2:10" x14ac:dyDescent="0.25">
      <c r="B676" s="28">
        <v>672</v>
      </c>
      <c r="C676" s="35">
        <v>44137</v>
      </c>
      <c r="D676" s="29" t="s">
        <v>9</v>
      </c>
      <c r="E676" s="29" t="s">
        <v>12</v>
      </c>
      <c r="F676" s="29" t="s">
        <v>11</v>
      </c>
      <c r="G676" s="28">
        <v>900</v>
      </c>
      <c r="H676" s="28">
        <v>1</v>
      </c>
      <c r="I676" s="30">
        <f>TownTeam1[[#This Row],[Selling price]]*TownTeam1[[#This Row],[Item quantity]]</f>
        <v>900</v>
      </c>
      <c r="J676" s="30">
        <f>IF(TownTeam1[[#This Row],[Item name]]=" Jeans - Denim",TownTeam1[[#This Row],[Total sales]]*0.85,TownTeam1[[#This Row],[Total sales]])</f>
        <v>765</v>
      </c>
    </row>
    <row r="677" spans="2:10" x14ac:dyDescent="0.25">
      <c r="B677" s="28">
        <v>673</v>
      </c>
      <c r="C677" s="35">
        <v>44138</v>
      </c>
      <c r="D677" s="29" t="s">
        <v>9</v>
      </c>
      <c r="E677" s="29" t="s">
        <v>12</v>
      </c>
      <c r="F677" s="29" t="s">
        <v>11</v>
      </c>
      <c r="G677" s="28">
        <v>900</v>
      </c>
      <c r="H677" s="28">
        <v>1</v>
      </c>
      <c r="I677" s="30">
        <f>TownTeam1[[#This Row],[Selling price]]*TownTeam1[[#This Row],[Item quantity]]</f>
        <v>900</v>
      </c>
      <c r="J677" s="30">
        <f>IF(TownTeam1[[#This Row],[Item name]]=" Jeans - Denim",TownTeam1[[#This Row],[Total sales]]*0.85,TownTeam1[[#This Row],[Total sales]])</f>
        <v>765</v>
      </c>
    </row>
    <row r="678" spans="2:10" x14ac:dyDescent="0.25">
      <c r="B678" s="28">
        <v>674</v>
      </c>
      <c r="C678" s="35">
        <v>44139</v>
      </c>
      <c r="D678" s="29" t="s">
        <v>9</v>
      </c>
      <c r="E678" s="29" t="s">
        <v>12</v>
      </c>
      <c r="F678" s="29" t="s">
        <v>11</v>
      </c>
      <c r="G678" s="28">
        <v>900</v>
      </c>
      <c r="H678" s="28">
        <v>1</v>
      </c>
      <c r="I678" s="30">
        <f>TownTeam1[[#This Row],[Selling price]]*TownTeam1[[#This Row],[Item quantity]]</f>
        <v>900</v>
      </c>
      <c r="J678" s="30">
        <f>IF(TownTeam1[[#This Row],[Item name]]=" Jeans - Denim",TownTeam1[[#This Row],[Total sales]]*0.85,TownTeam1[[#This Row],[Total sales]])</f>
        <v>765</v>
      </c>
    </row>
    <row r="679" spans="2:10" x14ac:dyDescent="0.25">
      <c r="B679" s="28">
        <v>675</v>
      </c>
      <c r="C679" s="35">
        <v>44140</v>
      </c>
      <c r="D679" s="29" t="s">
        <v>9</v>
      </c>
      <c r="E679" s="29" t="s">
        <v>12</v>
      </c>
      <c r="F679" s="29" t="s">
        <v>11</v>
      </c>
      <c r="G679" s="28">
        <v>1100</v>
      </c>
      <c r="H679" s="28">
        <v>1</v>
      </c>
      <c r="I679" s="30">
        <f>TownTeam1[[#This Row],[Selling price]]*TownTeam1[[#This Row],[Item quantity]]</f>
        <v>1100</v>
      </c>
      <c r="J679" s="30">
        <f>IF(TownTeam1[[#This Row],[Item name]]=" Jeans - Denim",TownTeam1[[#This Row],[Total sales]]*0.85,TownTeam1[[#This Row],[Total sales]])</f>
        <v>935</v>
      </c>
    </row>
    <row r="680" spans="2:10" x14ac:dyDescent="0.25">
      <c r="B680" s="28">
        <v>676</v>
      </c>
      <c r="C680" s="35">
        <v>44141</v>
      </c>
      <c r="D680" s="29" t="s">
        <v>9</v>
      </c>
      <c r="E680" s="29" t="s">
        <v>12</v>
      </c>
      <c r="F680" s="29" t="s">
        <v>11</v>
      </c>
      <c r="G680" s="28">
        <v>1100</v>
      </c>
      <c r="H680" s="28">
        <v>1</v>
      </c>
      <c r="I680" s="30">
        <f>TownTeam1[[#This Row],[Selling price]]*TownTeam1[[#This Row],[Item quantity]]</f>
        <v>1100</v>
      </c>
      <c r="J680" s="30">
        <f>IF(TownTeam1[[#This Row],[Item name]]=" Jeans - Denim",TownTeam1[[#This Row],[Total sales]]*0.85,TownTeam1[[#This Row],[Total sales]])</f>
        <v>935</v>
      </c>
    </row>
    <row r="681" spans="2:10" x14ac:dyDescent="0.25">
      <c r="B681" s="28">
        <v>677</v>
      </c>
      <c r="C681" s="35">
        <v>44142</v>
      </c>
      <c r="D681" s="29" t="s">
        <v>9</v>
      </c>
      <c r="E681" s="29" t="s">
        <v>15</v>
      </c>
      <c r="F681" s="29" t="s">
        <v>11</v>
      </c>
      <c r="G681" s="28">
        <v>1000</v>
      </c>
      <c r="H681" s="28">
        <v>1</v>
      </c>
      <c r="I681" s="30">
        <f>TownTeam1[[#This Row],[Selling price]]*TownTeam1[[#This Row],[Item quantity]]</f>
        <v>1000</v>
      </c>
      <c r="J681" s="30">
        <f>IF(TownTeam1[[#This Row],[Item name]]=" Jeans - Denim",TownTeam1[[#This Row],[Total sales]]*0.85,TownTeam1[[#This Row],[Total sales]])</f>
        <v>1000</v>
      </c>
    </row>
    <row r="682" spans="2:10" x14ac:dyDescent="0.25">
      <c r="B682" s="28">
        <v>678</v>
      </c>
      <c r="C682" s="35">
        <v>44143</v>
      </c>
      <c r="D682" s="29" t="s">
        <v>9</v>
      </c>
      <c r="E682" s="29" t="s">
        <v>15</v>
      </c>
      <c r="F682" s="29" t="s">
        <v>11</v>
      </c>
      <c r="G682" s="28">
        <v>1000</v>
      </c>
      <c r="H682" s="28">
        <v>1</v>
      </c>
      <c r="I682" s="30">
        <f>TownTeam1[[#This Row],[Selling price]]*TownTeam1[[#This Row],[Item quantity]]</f>
        <v>1000</v>
      </c>
      <c r="J682" s="30">
        <f>IF(TownTeam1[[#This Row],[Item name]]=" Jeans - Denim",TownTeam1[[#This Row],[Total sales]]*0.85,TownTeam1[[#This Row],[Total sales]])</f>
        <v>1000</v>
      </c>
    </row>
    <row r="683" spans="2:10" x14ac:dyDescent="0.25">
      <c r="B683" s="28">
        <v>679</v>
      </c>
      <c r="C683" s="35">
        <v>44144</v>
      </c>
      <c r="D683" s="29" t="s">
        <v>9</v>
      </c>
      <c r="E683" s="29" t="s">
        <v>12</v>
      </c>
      <c r="F683" s="29" t="s">
        <v>11</v>
      </c>
      <c r="G683" s="28">
        <v>1100</v>
      </c>
      <c r="H683" s="28">
        <v>1</v>
      </c>
      <c r="I683" s="30">
        <f>TownTeam1[[#This Row],[Selling price]]*TownTeam1[[#This Row],[Item quantity]]</f>
        <v>1100</v>
      </c>
      <c r="J683" s="30">
        <f>IF(TownTeam1[[#This Row],[Item name]]=" Jeans - Denim",TownTeam1[[#This Row],[Total sales]]*0.85,TownTeam1[[#This Row],[Total sales]])</f>
        <v>935</v>
      </c>
    </row>
    <row r="684" spans="2:10" x14ac:dyDescent="0.25">
      <c r="B684" s="28">
        <v>680</v>
      </c>
      <c r="C684" s="35">
        <v>44145</v>
      </c>
      <c r="D684" s="29" t="s">
        <v>9</v>
      </c>
      <c r="E684" s="29" t="s">
        <v>15</v>
      </c>
      <c r="F684" s="29" t="s">
        <v>11</v>
      </c>
      <c r="G684" s="28">
        <v>1000</v>
      </c>
      <c r="H684" s="28">
        <v>1</v>
      </c>
      <c r="I684" s="30">
        <f>TownTeam1[[#This Row],[Selling price]]*TownTeam1[[#This Row],[Item quantity]]</f>
        <v>1000</v>
      </c>
      <c r="J684" s="30">
        <f>IF(TownTeam1[[#This Row],[Item name]]=" Jeans - Denim",TownTeam1[[#This Row],[Total sales]]*0.85,TownTeam1[[#This Row],[Total sales]])</f>
        <v>1000</v>
      </c>
    </row>
    <row r="685" spans="2:10" x14ac:dyDescent="0.25">
      <c r="B685" s="28">
        <v>681</v>
      </c>
      <c r="C685" s="35">
        <v>44146</v>
      </c>
      <c r="D685" s="29" t="s">
        <v>9</v>
      </c>
      <c r="E685" s="29" t="s">
        <v>12</v>
      </c>
      <c r="F685" s="29" t="s">
        <v>11</v>
      </c>
      <c r="G685" s="28">
        <v>900</v>
      </c>
      <c r="H685" s="28">
        <v>1</v>
      </c>
      <c r="I685" s="30">
        <f>TownTeam1[[#This Row],[Selling price]]*TownTeam1[[#This Row],[Item quantity]]</f>
        <v>900</v>
      </c>
      <c r="J685" s="30">
        <f>IF(TownTeam1[[#This Row],[Item name]]=" Jeans - Denim",TownTeam1[[#This Row],[Total sales]]*0.85,TownTeam1[[#This Row],[Total sales]])</f>
        <v>765</v>
      </c>
    </row>
    <row r="686" spans="2:10" x14ac:dyDescent="0.25">
      <c r="B686" s="28">
        <v>682</v>
      </c>
      <c r="C686" s="35">
        <v>44147</v>
      </c>
      <c r="D686" s="29" t="s">
        <v>9</v>
      </c>
      <c r="E686" s="29" t="s">
        <v>12</v>
      </c>
      <c r="F686" s="29" t="s">
        <v>11</v>
      </c>
      <c r="G686" s="28">
        <v>900</v>
      </c>
      <c r="H686" s="28">
        <v>2</v>
      </c>
      <c r="I686" s="30">
        <f>TownTeam1[[#This Row],[Selling price]]*TownTeam1[[#This Row],[Item quantity]]</f>
        <v>1800</v>
      </c>
      <c r="J686" s="30">
        <f>IF(TownTeam1[[#This Row],[Item name]]=" Jeans - Denim",TownTeam1[[#This Row],[Total sales]]*0.85,TownTeam1[[#This Row],[Total sales]])</f>
        <v>1530</v>
      </c>
    </row>
    <row r="687" spans="2:10" x14ac:dyDescent="0.25">
      <c r="B687" s="28">
        <v>683</v>
      </c>
      <c r="C687" s="35">
        <v>44148</v>
      </c>
      <c r="D687" s="29" t="s">
        <v>9</v>
      </c>
      <c r="E687" s="29" t="s">
        <v>12</v>
      </c>
      <c r="F687" s="29" t="s">
        <v>11</v>
      </c>
      <c r="G687" s="28">
        <v>1100</v>
      </c>
      <c r="H687" s="28">
        <v>1</v>
      </c>
      <c r="I687" s="30">
        <f>TownTeam1[[#This Row],[Selling price]]*TownTeam1[[#This Row],[Item quantity]]</f>
        <v>1100</v>
      </c>
      <c r="J687" s="30">
        <f>IF(TownTeam1[[#This Row],[Item name]]=" Jeans - Denim",TownTeam1[[#This Row],[Total sales]]*0.85,TownTeam1[[#This Row],[Total sales]])</f>
        <v>935</v>
      </c>
    </row>
    <row r="688" spans="2:10" x14ac:dyDescent="0.25">
      <c r="B688" s="28">
        <v>684</v>
      </c>
      <c r="C688" s="35">
        <v>44149</v>
      </c>
      <c r="D688" s="29" t="s">
        <v>9</v>
      </c>
      <c r="E688" s="29" t="s">
        <v>12</v>
      </c>
      <c r="F688" s="29" t="s">
        <v>11</v>
      </c>
      <c r="G688" s="28">
        <v>900</v>
      </c>
      <c r="H688" s="28">
        <v>1</v>
      </c>
      <c r="I688" s="30">
        <f>TownTeam1[[#This Row],[Selling price]]*TownTeam1[[#This Row],[Item quantity]]</f>
        <v>900</v>
      </c>
      <c r="J688" s="30">
        <f>IF(TownTeam1[[#This Row],[Item name]]=" Jeans - Denim",TownTeam1[[#This Row],[Total sales]]*0.85,TownTeam1[[#This Row],[Total sales]])</f>
        <v>765</v>
      </c>
    </row>
    <row r="689" spans="2:10" x14ac:dyDescent="0.25">
      <c r="B689" s="28">
        <v>685</v>
      </c>
      <c r="C689" s="35">
        <v>44150</v>
      </c>
      <c r="D689" s="29" t="s">
        <v>9</v>
      </c>
      <c r="E689" s="29" t="s">
        <v>12</v>
      </c>
      <c r="F689" s="29" t="s">
        <v>11</v>
      </c>
      <c r="G689" s="28">
        <v>1100</v>
      </c>
      <c r="H689" s="28">
        <v>1</v>
      </c>
      <c r="I689" s="30">
        <f>TownTeam1[[#This Row],[Selling price]]*TownTeam1[[#This Row],[Item quantity]]</f>
        <v>1100</v>
      </c>
      <c r="J689" s="30">
        <f>IF(TownTeam1[[#This Row],[Item name]]=" Jeans - Denim",TownTeam1[[#This Row],[Total sales]]*0.85,TownTeam1[[#This Row],[Total sales]])</f>
        <v>935</v>
      </c>
    </row>
    <row r="690" spans="2:10" x14ac:dyDescent="0.25">
      <c r="B690" s="28">
        <v>686</v>
      </c>
      <c r="C690" s="35">
        <v>44151</v>
      </c>
      <c r="D690" s="29" t="s">
        <v>9</v>
      </c>
      <c r="E690" s="29" t="s">
        <v>16</v>
      </c>
      <c r="F690" s="29" t="s">
        <v>17</v>
      </c>
      <c r="G690" s="28">
        <v>800</v>
      </c>
      <c r="H690" s="28">
        <v>1</v>
      </c>
      <c r="I690" s="30">
        <f>TownTeam1[[#This Row],[Selling price]]*TownTeam1[[#This Row],[Item quantity]]</f>
        <v>800</v>
      </c>
      <c r="J690" s="30">
        <f>IF(TownTeam1[[#This Row],[Item name]]=" Jeans - Denim",TownTeam1[[#This Row],[Total sales]]*0.85,TownTeam1[[#This Row],[Total sales]])</f>
        <v>800</v>
      </c>
    </row>
    <row r="691" spans="2:10" x14ac:dyDescent="0.25">
      <c r="B691" s="28">
        <v>687</v>
      </c>
      <c r="C691" s="35">
        <v>44152</v>
      </c>
      <c r="D691" s="29" t="s">
        <v>9</v>
      </c>
      <c r="E691" s="29" t="s">
        <v>16</v>
      </c>
      <c r="F691" s="29" t="s">
        <v>17</v>
      </c>
      <c r="G691" s="28">
        <v>800</v>
      </c>
      <c r="H691" s="28">
        <v>2</v>
      </c>
      <c r="I691" s="30">
        <f>TownTeam1[[#This Row],[Selling price]]*TownTeam1[[#This Row],[Item quantity]]</f>
        <v>1600</v>
      </c>
      <c r="J691" s="30">
        <f>IF(TownTeam1[[#This Row],[Item name]]=" Jeans - Denim",TownTeam1[[#This Row],[Total sales]]*0.85,TownTeam1[[#This Row],[Total sales]])</f>
        <v>1600</v>
      </c>
    </row>
    <row r="692" spans="2:10" x14ac:dyDescent="0.25">
      <c r="B692" s="28">
        <v>688</v>
      </c>
      <c r="C692" s="35">
        <v>44153</v>
      </c>
      <c r="D692" s="29" t="s">
        <v>9</v>
      </c>
      <c r="E692" s="29" t="s">
        <v>14</v>
      </c>
      <c r="F692" s="29" t="s">
        <v>11</v>
      </c>
      <c r="G692" s="28">
        <v>900</v>
      </c>
      <c r="H692" s="28">
        <v>1</v>
      </c>
      <c r="I692" s="30">
        <f>TownTeam1[[#This Row],[Selling price]]*TownTeam1[[#This Row],[Item quantity]]</f>
        <v>900</v>
      </c>
      <c r="J692" s="30">
        <f>IF(TownTeam1[[#This Row],[Item name]]=" Jeans - Denim",TownTeam1[[#This Row],[Total sales]]*0.85,TownTeam1[[#This Row],[Total sales]])</f>
        <v>900</v>
      </c>
    </row>
    <row r="693" spans="2:10" x14ac:dyDescent="0.25">
      <c r="B693" s="28">
        <v>689</v>
      </c>
      <c r="C693" s="35">
        <v>44154</v>
      </c>
      <c r="D693" s="29" t="s">
        <v>9</v>
      </c>
      <c r="E693" s="29" t="s">
        <v>12</v>
      </c>
      <c r="F693" s="29" t="s">
        <v>11</v>
      </c>
      <c r="G693" s="28">
        <v>1100</v>
      </c>
      <c r="H693" s="28">
        <v>1</v>
      </c>
      <c r="I693" s="30">
        <f>TownTeam1[[#This Row],[Selling price]]*TownTeam1[[#This Row],[Item quantity]]</f>
        <v>1100</v>
      </c>
      <c r="J693" s="30">
        <f>IF(TownTeam1[[#This Row],[Item name]]=" Jeans - Denim",TownTeam1[[#This Row],[Total sales]]*0.85,TownTeam1[[#This Row],[Total sales]])</f>
        <v>935</v>
      </c>
    </row>
    <row r="694" spans="2:10" x14ac:dyDescent="0.25">
      <c r="B694" s="28">
        <v>690</v>
      </c>
      <c r="C694" s="35">
        <v>44155</v>
      </c>
      <c r="D694" s="29" t="s">
        <v>9</v>
      </c>
      <c r="E694" s="29" t="s">
        <v>16</v>
      </c>
      <c r="F694" s="29" t="s">
        <v>17</v>
      </c>
      <c r="G694" s="28">
        <v>800</v>
      </c>
      <c r="H694" s="28">
        <v>1</v>
      </c>
      <c r="I694" s="30">
        <f>TownTeam1[[#This Row],[Selling price]]*TownTeam1[[#This Row],[Item quantity]]</f>
        <v>800</v>
      </c>
      <c r="J694" s="30">
        <f>IF(TownTeam1[[#This Row],[Item name]]=" Jeans - Denim",TownTeam1[[#This Row],[Total sales]]*0.85,TownTeam1[[#This Row],[Total sales]])</f>
        <v>800</v>
      </c>
    </row>
    <row r="695" spans="2:10" x14ac:dyDescent="0.25">
      <c r="B695" s="28">
        <v>691</v>
      </c>
      <c r="C695" s="35">
        <v>44156</v>
      </c>
      <c r="D695" s="29" t="s">
        <v>9</v>
      </c>
      <c r="E695" s="29" t="s">
        <v>15</v>
      </c>
      <c r="F695" s="29" t="s">
        <v>11</v>
      </c>
      <c r="G695" s="28">
        <v>1000</v>
      </c>
      <c r="H695" s="28">
        <v>1</v>
      </c>
      <c r="I695" s="30">
        <f>TownTeam1[[#This Row],[Selling price]]*TownTeam1[[#This Row],[Item quantity]]</f>
        <v>1000</v>
      </c>
      <c r="J695" s="30">
        <f>IF(TownTeam1[[#This Row],[Item name]]=" Jeans - Denim",TownTeam1[[#This Row],[Total sales]]*0.85,TownTeam1[[#This Row],[Total sales]])</f>
        <v>1000</v>
      </c>
    </row>
    <row r="696" spans="2:10" x14ac:dyDescent="0.25">
      <c r="B696" s="28">
        <v>692</v>
      </c>
      <c r="C696" s="35">
        <v>44157</v>
      </c>
      <c r="D696" s="29" t="s">
        <v>9</v>
      </c>
      <c r="E696" s="29" t="s">
        <v>16</v>
      </c>
      <c r="F696" s="29" t="s">
        <v>17</v>
      </c>
      <c r="G696" s="28">
        <v>800</v>
      </c>
      <c r="H696" s="28">
        <v>1</v>
      </c>
      <c r="I696" s="30">
        <f>TownTeam1[[#This Row],[Selling price]]*TownTeam1[[#This Row],[Item quantity]]</f>
        <v>800</v>
      </c>
      <c r="J696" s="30">
        <f>IF(TownTeam1[[#This Row],[Item name]]=" Jeans - Denim",TownTeam1[[#This Row],[Total sales]]*0.85,TownTeam1[[#This Row],[Total sales]])</f>
        <v>800</v>
      </c>
    </row>
    <row r="697" spans="2:10" x14ac:dyDescent="0.25">
      <c r="B697" s="28">
        <v>693</v>
      </c>
      <c r="C697" s="35">
        <v>44158</v>
      </c>
      <c r="D697" s="29" t="s">
        <v>9</v>
      </c>
      <c r="E697" s="29" t="s">
        <v>18</v>
      </c>
      <c r="F697" s="29" t="s">
        <v>17</v>
      </c>
      <c r="G697" s="28">
        <v>600</v>
      </c>
      <c r="H697" s="28">
        <v>1</v>
      </c>
      <c r="I697" s="30">
        <f>TownTeam1[[#This Row],[Selling price]]*TownTeam1[[#This Row],[Item quantity]]</f>
        <v>600</v>
      </c>
      <c r="J697" s="30">
        <f>IF(TownTeam1[[#This Row],[Item name]]=" Jeans - Denim",TownTeam1[[#This Row],[Total sales]]*0.85,TownTeam1[[#This Row],[Total sales]])</f>
        <v>600</v>
      </c>
    </row>
    <row r="698" spans="2:10" x14ac:dyDescent="0.25">
      <c r="B698" s="28">
        <v>694</v>
      </c>
      <c r="C698" s="35">
        <v>44159</v>
      </c>
      <c r="D698" s="29" t="s">
        <v>9</v>
      </c>
      <c r="E698" s="29" t="s">
        <v>12</v>
      </c>
      <c r="F698" s="29" t="s">
        <v>11</v>
      </c>
      <c r="G698" s="28">
        <v>900</v>
      </c>
      <c r="H698" s="28">
        <v>1</v>
      </c>
      <c r="I698" s="30">
        <f>TownTeam1[[#This Row],[Selling price]]*TownTeam1[[#This Row],[Item quantity]]</f>
        <v>900</v>
      </c>
      <c r="J698" s="30">
        <f>IF(TownTeam1[[#This Row],[Item name]]=" Jeans - Denim",TownTeam1[[#This Row],[Total sales]]*0.85,TownTeam1[[#This Row],[Total sales]])</f>
        <v>765</v>
      </c>
    </row>
    <row r="699" spans="2:10" x14ac:dyDescent="0.25">
      <c r="B699" s="28">
        <v>695</v>
      </c>
      <c r="C699" s="35">
        <v>44160</v>
      </c>
      <c r="D699" s="29" t="s">
        <v>9</v>
      </c>
      <c r="E699" s="29" t="s">
        <v>12</v>
      </c>
      <c r="F699" s="29" t="s">
        <v>11</v>
      </c>
      <c r="G699" s="28">
        <v>1100</v>
      </c>
      <c r="H699" s="28">
        <v>1</v>
      </c>
      <c r="I699" s="30">
        <f>TownTeam1[[#This Row],[Selling price]]*TownTeam1[[#This Row],[Item quantity]]</f>
        <v>1100</v>
      </c>
      <c r="J699" s="30">
        <f>IF(TownTeam1[[#This Row],[Item name]]=" Jeans - Denim",TownTeam1[[#This Row],[Total sales]]*0.85,TownTeam1[[#This Row],[Total sales]])</f>
        <v>935</v>
      </c>
    </row>
    <row r="700" spans="2:10" x14ac:dyDescent="0.25">
      <c r="B700" s="28">
        <v>696</v>
      </c>
      <c r="C700" s="35">
        <v>44161</v>
      </c>
      <c r="D700" s="29" t="s">
        <v>9</v>
      </c>
      <c r="E700" s="29" t="s">
        <v>15</v>
      </c>
      <c r="F700" s="29" t="s">
        <v>11</v>
      </c>
      <c r="G700" s="28">
        <v>1000</v>
      </c>
      <c r="H700" s="28">
        <v>1</v>
      </c>
      <c r="I700" s="30">
        <f>TownTeam1[[#This Row],[Selling price]]*TownTeam1[[#This Row],[Item quantity]]</f>
        <v>1000</v>
      </c>
      <c r="J700" s="30">
        <f>IF(TownTeam1[[#This Row],[Item name]]=" Jeans - Denim",TownTeam1[[#This Row],[Total sales]]*0.85,TownTeam1[[#This Row],[Total sales]])</f>
        <v>1000</v>
      </c>
    </row>
    <row r="701" spans="2:10" x14ac:dyDescent="0.25">
      <c r="B701" s="28">
        <v>697</v>
      </c>
      <c r="C701" s="35">
        <v>44162</v>
      </c>
      <c r="D701" s="29" t="s">
        <v>9</v>
      </c>
      <c r="E701" s="29" t="s">
        <v>12</v>
      </c>
      <c r="F701" s="29" t="s">
        <v>11</v>
      </c>
      <c r="G701" s="28">
        <v>900</v>
      </c>
      <c r="H701" s="28">
        <v>1</v>
      </c>
      <c r="I701" s="30">
        <f>TownTeam1[[#This Row],[Selling price]]*TownTeam1[[#This Row],[Item quantity]]</f>
        <v>900</v>
      </c>
      <c r="J701" s="30">
        <f>IF(TownTeam1[[#This Row],[Item name]]=" Jeans - Denim",TownTeam1[[#This Row],[Total sales]]*0.85,TownTeam1[[#This Row],[Total sales]])</f>
        <v>765</v>
      </c>
    </row>
    <row r="702" spans="2:10" x14ac:dyDescent="0.25">
      <c r="B702" s="28">
        <v>698</v>
      </c>
      <c r="C702" s="35">
        <v>44163</v>
      </c>
      <c r="D702" s="29" t="s">
        <v>9</v>
      </c>
      <c r="E702" s="29" t="s">
        <v>12</v>
      </c>
      <c r="F702" s="29" t="s">
        <v>11</v>
      </c>
      <c r="G702" s="28">
        <v>1100</v>
      </c>
      <c r="H702" s="28">
        <v>2</v>
      </c>
      <c r="I702" s="30">
        <f>TownTeam1[[#This Row],[Selling price]]*TownTeam1[[#This Row],[Item quantity]]</f>
        <v>2200</v>
      </c>
      <c r="J702" s="30">
        <f>IF(TownTeam1[[#This Row],[Item name]]=" Jeans - Denim",TownTeam1[[#This Row],[Total sales]]*0.85,TownTeam1[[#This Row],[Total sales]])</f>
        <v>1870</v>
      </c>
    </row>
    <row r="703" spans="2:10" x14ac:dyDescent="0.25">
      <c r="B703" s="28">
        <v>699</v>
      </c>
      <c r="C703" s="35">
        <v>44164</v>
      </c>
      <c r="D703" s="29" t="s">
        <v>9</v>
      </c>
      <c r="E703" s="29" t="s">
        <v>18</v>
      </c>
      <c r="F703" s="29" t="s">
        <v>17</v>
      </c>
      <c r="G703" s="28">
        <v>600</v>
      </c>
      <c r="H703" s="28">
        <v>1</v>
      </c>
      <c r="I703" s="30">
        <f>TownTeam1[[#This Row],[Selling price]]*TownTeam1[[#This Row],[Item quantity]]</f>
        <v>600</v>
      </c>
      <c r="J703" s="30">
        <f>IF(TownTeam1[[#This Row],[Item name]]=" Jeans - Denim",TownTeam1[[#This Row],[Total sales]]*0.85,TownTeam1[[#This Row],[Total sales]])</f>
        <v>600</v>
      </c>
    </row>
    <row r="704" spans="2:10" x14ac:dyDescent="0.25">
      <c r="B704" s="28">
        <v>700</v>
      </c>
      <c r="C704" s="35">
        <v>44165</v>
      </c>
      <c r="D704" s="29" t="s">
        <v>9</v>
      </c>
      <c r="E704" s="29" t="s">
        <v>18</v>
      </c>
      <c r="F704" s="29" t="s">
        <v>17</v>
      </c>
      <c r="G704" s="28">
        <v>600</v>
      </c>
      <c r="H704" s="28">
        <v>1</v>
      </c>
      <c r="I704" s="30">
        <f>TownTeam1[[#This Row],[Selling price]]*TownTeam1[[#This Row],[Item quantity]]</f>
        <v>600</v>
      </c>
      <c r="J704" s="30">
        <f>IF(TownTeam1[[#This Row],[Item name]]=" Jeans - Denim",TownTeam1[[#This Row],[Total sales]]*0.85,TownTeam1[[#This Row],[Total sales]])</f>
        <v>600</v>
      </c>
    </row>
    <row r="705" spans="2:10" x14ac:dyDescent="0.25">
      <c r="B705" s="28">
        <v>701</v>
      </c>
      <c r="C705" s="35">
        <v>44166</v>
      </c>
      <c r="D705" s="29" t="s">
        <v>9</v>
      </c>
      <c r="E705" s="29" t="s">
        <v>18</v>
      </c>
      <c r="F705" s="29" t="s">
        <v>17</v>
      </c>
      <c r="G705" s="28">
        <v>600</v>
      </c>
      <c r="H705" s="28">
        <v>1</v>
      </c>
      <c r="I705" s="30">
        <f>TownTeam1[[#This Row],[Selling price]]*TownTeam1[[#This Row],[Item quantity]]</f>
        <v>600</v>
      </c>
      <c r="J705" s="30">
        <f>IF(TownTeam1[[#This Row],[Item name]]=" Jeans - Denim",TownTeam1[[#This Row],[Total sales]]*0.85,TownTeam1[[#This Row],[Total sales]])</f>
        <v>600</v>
      </c>
    </row>
    <row r="706" spans="2:10" x14ac:dyDescent="0.25">
      <c r="B706" s="28">
        <v>702</v>
      </c>
      <c r="C706" s="35">
        <v>44167</v>
      </c>
      <c r="D706" s="29" t="s">
        <v>9</v>
      </c>
      <c r="E706" s="29" t="s">
        <v>12</v>
      </c>
      <c r="F706" s="29" t="s">
        <v>11</v>
      </c>
      <c r="G706" s="28">
        <v>900</v>
      </c>
      <c r="H706" s="28">
        <v>1</v>
      </c>
      <c r="I706" s="30">
        <f>TownTeam1[[#This Row],[Selling price]]*TownTeam1[[#This Row],[Item quantity]]</f>
        <v>900</v>
      </c>
      <c r="J706" s="30">
        <f>IF(TownTeam1[[#This Row],[Item name]]=" Jeans - Denim",TownTeam1[[#This Row],[Total sales]]*0.85,TownTeam1[[#This Row],[Total sales]])</f>
        <v>765</v>
      </c>
    </row>
    <row r="707" spans="2:10" x14ac:dyDescent="0.25">
      <c r="B707" s="28">
        <v>703</v>
      </c>
      <c r="C707" s="35">
        <v>44168</v>
      </c>
      <c r="D707" s="29" t="s">
        <v>9</v>
      </c>
      <c r="E707" s="29" t="s">
        <v>18</v>
      </c>
      <c r="F707" s="29" t="s">
        <v>17</v>
      </c>
      <c r="G707" s="28">
        <v>600</v>
      </c>
      <c r="H707" s="28">
        <v>1</v>
      </c>
      <c r="I707" s="30">
        <f>TownTeam1[[#This Row],[Selling price]]*TownTeam1[[#This Row],[Item quantity]]</f>
        <v>600</v>
      </c>
      <c r="J707" s="30">
        <f>IF(TownTeam1[[#This Row],[Item name]]=" Jeans - Denim",TownTeam1[[#This Row],[Total sales]]*0.85,TownTeam1[[#This Row],[Total sales]])</f>
        <v>600</v>
      </c>
    </row>
    <row r="708" spans="2:10" x14ac:dyDescent="0.25">
      <c r="B708" s="28">
        <v>704</v>
      </c>
      <c r="C708" s="35">
        <v>44169</v>
      </c>
      <c r="D708" s="29" t="s">
        <v>9</v>
      </c>
      <c r="E708" s="29" t="s">
        <v>18</v>
      </c>
      <c r="F708" s="29" t="s">
        <v>17</v>
      </c>
      <c r="G708" s="28">
        <v>600</v>
      </c>
      <c r="H708" s="28">
        <v>1</v>
      </c>
      <c r="I708" s="30">
        <f>TownTeam1[[#This Row],[Selling price]]*TownTeam1[[#This Row],[Item quantity]]</f>
        <v>600</v>
      </c>
      <c r="J708" s="30">
        <f>IF(TownTeam1[[#This Row],[Item name]]=" Jeans - Denim",TownTeam1[[#This Row],[Total sales]]*0.85,TownTeam1[[#This Row],[Total sales]])</f>
        <v>600</v>
      </c>
    </row>
    <row r="709" spans="2:10" x14ac:dyDescent="0.25">
      <c r="B709" s="28">
        <v>705</v>
      </c>
      <c r="C709" s="35">
        <v>44170</v>
      </c>
      <c r="D709" s="29" t="s">
        <v>9</v>
      </c>
      <c r="E709" s="29" t="s">
        <v>12</v>
      </c>
      <c r="F709" s="29" t="s">
        <v>11</v>
      </c>
      <c r="G709" s="28">
        <v>1100</v>
      </c>
      <c r="H709" s="28">
        <v>1</v>
      </c>
      <c r="I709" s="30">
        <f>TownTeam1[[#This Row],[Selling price]]*TownTeam1[[#This Row],[Item quantity]]</f>
        <v>1100</v>
      </c>
      <c r="J709" s="30">
        <f>IF(TownTeam1[[#This Row],[Item name]]=" Jeans - Denim",TownTeam1[[#This Row],[Total sales]]*0.85,TownTeam1[[#This Row],[Total sales]])</f>
        <v>935</v>
      </c>
    </row>
    <row r="710" spans="2:10" x14ac:dyDescent="0.25">
      <c r="B710" s="28">
        <v>706</v>
      </c>
      <c r="C710" s="35">
        <v>44171</v>
      </c>
      <c r="D710" s="29" t="s">
        <v>9</v>
      </c>
      <c r="E710" s="29" t="s">
        <v>14</v>
      </c>
      <c r="F710" s="29" t="s">
        <v>11</v>
      </c>
      <c r="G710" s="28">
        <v>900</v>
      </c>
      <c r="H710" s="28">
        <v>3</v>
      </c>
      <c r="I710" s="30">
        <f>TownTeam1[[#This Row],[Selling price]]*TownTeam1[[#This Row],[Item quantity]]</f>
        <v>2700</v>
      </c>
      <c r="J710" s="30">
        <f>IF(TownTeam1[[#This Row],[Item name]]=" Jeans - Denim",TownTeam1[[#This Row],[Total sales]]*0.85,TownTeam1[[#This Row],[Total sales]])</f>
        <v>2700</v>
      </c>
    </row>
    <row r="711" spans="2:10" x14ac:dyDescent="0.25">
      <c r="B711" s="28">
        <v>707</v>
      </c>
      <c r="C711" s="35">
        <v>44172</v>
      </c>
      <c r="D711" s="29" t="s">
        <v>9</v>
      </c>
      <c r="E711" s="29" t="s">
        <v>10</v>
      </c>
      <c r="F711" s="29" t="s">
        <v>11</v>
      </c>
      <c r="G711" s="28">
        <v>1100</v>
      </c>
      <c r="H711" s="28">
        <v>2</v>
      </c>
      <c r="I711" s="30">
        <f>TownTeam1[[#This Row],[Selling price]]*TownTeam1[[#This Row],[Item quantity]]</f>
        <v>2200</v>
      </c>
      <c r="J711" s="30">
        <f>IF(TownTeam1[[#This Row],[Item name]]=" Jeans - Denim",TownTeam1[[#This Row],[Total sales]]*0.85,TownTeam1[[#This Row],[Total sales]])</f>
        <v>2200</v>
      </c>
    </row>
    <row r="712" spans="2:10" x14ac:dyDescent="0.25">
      <c r="B712" s="28">
        <v>708</v>
      </c>
      <c r="C712" s="35">
        <v>44173</v>
      </c>
      <c r="D712" s="29" t="s">
        <v>9</v>
      </c>
      <c r="E712" s="29" t="s">
        <v>10</v>
      </c>
      <c r="F712" s="29" t="s">
        <v>11</v>
      </c>
      <c r="G712" s="28">
        <v>1100</v>
      </c>
      <c r="H712" s="28">
        <v>1</v>
      </c>
      <c r="I712" s="30">
        <f>TownTeam1[[#This Row],[Selling price]]*TownTeam1[[#This Row],[Item quantity]]</f>
        <v>1100</v>
      </c>
      <c r="J712" s="30">
        <f>IF(TownTeam1[[#This Row],[Item name]]=" Jeans - Denim",TownTeam1[[#This Row],[Total sales]]*0.85,TownTeam1[[#This Row],[Total sales]])</f>
        <v>1100</v>
      </c>
    </row>
    <row r="713" spans="2:10" x14ac:dyDescent="0.25">
      <c r="B713" s="28">
        <v>709</v>
      </c>
      <c r="C713" s="35">
        <v>44174</v>
      </c>
      <c r="D713" s="29" t="s">
        <v>9</v>
      </c>
      <c r="E713" s="29" t="s">
        <v>18</v>
      </c>
      <c r="F713" s="29" t="s">
        <v>17</v>
      </c>
      <c r="G713" s="28">
        <v>600</v>
      </c>
      <c r="H713" s="28">
        <v>1</v>
      </c>
      <c r="I713" s="30">
        <f>TownTeam1[[#This Row],[Selling price]]*TownTeam1[[#This Row],[Item quantity]]</f>
        <v>600</v>
      </c>
      <c r="J713" s="30">
        <f>IF(TownTeam1[[#This Row],[Item name]]=" Jeans - Denim",TownTeam1[[#This Row],[Total sales]]*0.85,TownTeam1[[#This Row],[Total sales]])</f>
        <v>600</v>
      </c>
    </row>
    <row r="714" spans="2:10" x14ac:dyDescent="0.25">
      <c r="B714" s="28">
        <v>710</v>
      </c>
      <c r="C714" s="35">
        <v>44175</v>
      </c>
      <c r="D714" s="29" t="s">
        <v>9</v>
      </c>
      <c r="E714" s="29" t="s">
        <v>12</v>
      </c>
      <c r="F714" s="29" t="s">
        <v>11</v>
      </c>
      <c r="G714" s="28">
        <v>900</v>
      </c>
      <c r="H714" s="28">
        <v>1</v>
      </c>
      <c r="I714" s="30">
        <f>TownTeam1[[#This Row],[Selling price]]*TownTeam1[[#This Row],[Item quantity]]</f>
        <v>900</v>
      </c>
      <c r="J714" s="30">
        <f>IF(TownTeam1[[#This Row],[Item name]]=" Jeans - Denim",TownTeam1[[#This Row],[Total sales]]*0.85,TownTeam1[[#This Row],[Total sales]])</f>
        <v>765</v>
      </c>
    </row>
    <row r="715" spans="2:10" x14ac:dyDescent="0.25">
      <c r="B715" s="28">
        <v>711</v>
      </c>
      <c r="C715" s="35">
        <v>44176</v>
      </c>
      <c r="D715" s="29" t="s">
        <v>9</v>
      </c>
      <c r="E715" s="29" t="s">
        <v>18</v>
      </c>
      <c r="F715" s="29" t="s">
        <v>17</v>
      </c>
      <c r="G715" s="28">
        <v>600</v>
      </c>
      <c r="H715" s="28">
        <v>1</v>
      </c>
      <c r="I715" s="30">
        <f>TownTeam1[[#This Row],[Selling price]]*TownTeam1[[#This Row],[Item quantity]]</f>
        <v>600</v>
      </c>
      <c r="J715" s="30">
        <f>IF(TownTeam1[[#This Row],[Item name]]=" Jeans - Denim",TownTeam1[[#This Row],[Total sales]]*0.85,TownTeam1[[#This Row],[Total sales]])</f>
        <v>600</v>
      </c>
    </row>
    <row r="716" spans="2:10" x14ac:dyDescent="0.25">
      <c r="B716" s="28">
        <v>712</v>
      </c>
      <c r="C716" s="35">
        <v>44177</v>
      </c>
      <c r="D716" s="29" t="s">
        <v>9</v>
      </c>
      <c r="E716" s="29" t="s">
        <v>18</v>
      </c>
      <c r="F716" s="29" t="s">
        <v>17</v>
      </c>
      <c r="G716" s="28">
        <v>600</v>
      </c>
      <c r="H716" s="28">
        <v>1</v>
      </c>
      <c r="I716" s="30">
        <f>TownTeam1[[#This Row],[Selling price]]*TownTeam1[[#This Row],[Item quantity]]</f>
        <v>600</v>
      </c>
      <c r="J716" s="30">
        <f>IF(TownTeam1[[#This Row],[Item name]]=" Jeans - Denim",TownTeam1[[#This Row],[Total sales]]*0.85,TownTeam1[[#This Row],[Total sales]])</f>
        <v>600</v>
      </c>
    </row>
    <row r="717" spans="2:10" x14ac:dyDescent="0.25">
      <c r="B717" s="28">
        <v>713</v>
      </c>
      <c r="C717" s="35">
        <v>44178</v>
      </c>
      <c r="D717" s="29" t="s">
        <v>13</v>
      </c>
      <c r="E717" s="29" t="s">
        <v>12</v>
      </c>
      <c r="F717" s="29" t="s">
        <v>11</v>
      </c>
      <c r="G717" s="28">
        <v>900</v>
      </c>
      <c r="H717" s="28">
        <v>3</v>
      </c>
      <c r="I717" s="30">
        <f>TownTeam1[[#This Row],[Selling price]]*TownTeam1[[#This Row],[Item quantity]]</f>
        <v>2700</v>
      </c>
      <c r="J717" s="30">
        <f>IF(TownTeam1[[#This Row],[Item name]]=" Jeans - Denim",TownTeam1[[#This Row],[Total sales]]*0.85,TownTeam1[[#This Row],[Total sales]])</f>
        <v>2295</v>
      </c>
    </row>
    <row r="718" spans="2:10" x14ac:dyDescent="0.25">
      <c r="B718" s="28">
        <v>714</v>
      </c>
      <c r="C718" s="35">
        <v>44179</v>
      </c>
      <c r="D718" s="29" t="s">
        <v>13</v>
      </c>
      <c r="E718" s="29" t="s">
        <v>18</v>
      </c>
      <c r="F718" s="29" t="s">
        <v>17</v>
      </c>
      <c r="G718" s="28">
        <v>600</v>
      </c>
      <c r="H718" s="28">
        <v>1</v>
      </c>
      <c r="I718" s="30">
        <f>TownTeam1[[#This Row],[Selling price]]*TownTeam1[[#This Row],[Item quantity]]</f>
        <v>600</v>
      </c>
      <c r="J718" s="30">
        <f>IF(TownTeam1[[#This Row],[Item name]]=" Jeans - Denim",TownTeam1[[#This Row],[Total sales]]*0.85,TownTeam1[[#This Row],[Total sales]])</f>
        <v>600</v>
      </c>
    </row>
    <row r="719" spans="2:10" x14ac:dyDescent="0.25">
      <c r="B719" s="28">
        <v>715</v>
      </c>
      <c r="C719" s="35">
        <v>44180</v>
      </c>
      <c r="D719" s="29" t="s">
        <v>13</v>
      </c>
      <c r="E719" s="29" t="s">
        <v>16</v>
      </c>
      <c r="F719" s="29" t="s">
        <v>17</v>
      </c>
      <c r="G719" s="28">
        <v>800</v>
      </c>
      <c r="H719" s="28">
        <v>1</v>
      </c>
      <c r="I719" s="30">
        <f>TownTeam1[[#This Row],[Selling price]]*TownTeam1[[#This Row],[Item quantity]]</f>
        <v>800</v>
      </c>
      <c r="J719" s="30">
        <f>IF(TownTeam1[[#This Row],[Item name]]=" Jeans - Denim",TownTeam1[[#This Row],[Total sales]]*0.85,TownTeam1[[#This Row],[Total sales]])</f>
        <v>800</v>
      </c>
    </row>
    <row r="720" spans="2:10" x14ac:dyDescent="0.25">
      <c r="B720" s="28">
        <v>716</v>
      </c>
      <c r="C720" s="35">
        <v>44181</v>
      </c>
      <c r="D720" s="29" t="s">
        <v>13</v>
      </c>
      <c r="E720" s="29" t="s">
        <v>18</v>
      </c>
      <c r="F720" s="29" t="s">
        <v>17</v>
      </c>
      <c r="G720" s="28">
        <v>600</v>
      </c>
      <c r="H720" s="28">
        <v>1</v>
      </c>
      <c r="I720" s="30">
        <f>TownTeam1[[#This Row],[Selling price]]*TownTeam1[[#This Row],[Item quantity]]</f>
        <v>600</v>
      </c>
      <c r="J720" s="30">
        <f>IF(TownTeam1[[#This Row],[Item name]]=" Jeans - Denim",TownTeam1[[#This Row],[Total sales]]*0.85,TownTeam1[[#This Row],[Total sales]])</f>
        <v>600</v>
      </c>
    </row>
    <row r="721" spans="2:10" x14ac:dyDescent="0.25">
      <c r="B721" s="28">
        <v>717</v>
      </c>
      <c r="C721" s="35">
        <v>44182</v>
      </c>
      <c r="D721" s="29" t="s">
        <v>13</v>
      </c>
      <c r="E721" s="29" t="s">
        <v>10</v>
      </c>
      <c r="F721" s="29" t="s">
        <v>11</v>
      </c>
      <c r="G721" s="28">
        <v>1100</v>
      </c>
      <c r="H721" s="28">
        <v>1</v>
      </c>
      <c r="I721" s="30">
        <f>TownTeam1[[#This Row],[Selling price]]*TownTeam1[[#This Row],[Item quantity]]</f>
        <v>1100</v>
      </c>
      <c r="J721" s="30">
        <f>IF(TownTeam1[[#This Row],[Item name]]=" Jeans - Denim",TownTeam1[[#This Row],[Total sales]]*0.85,TownTeam1[[#This Row],[Total sales]])</f>
        <v>1100</v>
      </c>
    </row>
    <row r="722" spans="2:10" x14ac:dyDescent="0.25">
      <c r="B722" s="28">
        <v>718</v>
      </c>
      <c r="C722" s="35">
        <v>44183</v>
      </c>
      <c r="D722" s="29" t="s">
        <v>13</v>
      </c>
      <c r="E722" s="29" t="s">
        <v>14</v>
      </c>
      <c r="F722" s="29" t="s">
        <v>11</v>
      </c>
      <c r="G722" s="28">
        <v>900</v>
      </c>
      <c r="H722" s="28">
        <v>1</v>
      </c>
      <c r="I722" s="30">
        <f>TownTeam1[[#This Row],[Selling price]]*TownTeam1[[#This Row],[Item quantity]]</f>
        <v>900</v>
      </c>
      <c r="J722" s="30">
        <f>IF(TownTeam1[[#This Row],[Item name]]=" Jeans - Denim",TownTeam1[[#This Row],[Total sales]]*0.85,TownTeam1[[#This Row],[Total sales]])</f>
        <v>900</v>
      </c>
    </row>
    <row r="723" spans="2:10" x14ac:dyDescent="0.25">
      <c r="B723" s="28">
        <v>719</v>
      </c>
      <c r="C723" s="35">
        <v>44184</v>
      </c>
      <c r="D723" s="29" t="s">
        <v>13</v>
      </c>
      <c r="E723" s="29" t="s">
        <v>10</v>
      </c>
      <c r="F723" s="29" t="s">
        <v>11</v>
      </c>
      <c r="G723" s="28">
        <v>1100</v>
      </c>
      <c r="H723" s="28">
        <v>1</v>
      </c>
      <c r="I723" s="30">
        <f>TownTeam1[[#This Row],[Selling price]]*TownTeam1[[#This Row],[Item quantity]]</f>
        <v>1100</v>
      </c>
      <c r="J723" s="30">
        <f>IF(TownTeam1[[#This Row],[Item name]]=" Jeans - Denim",TownTeam1[[#This Row],[Total sales]]*0.85,TownTeam1[[#This Row],[Total sales]])</f>
        <v>1100</v>
      </c>
    </row>
    <row r="724" spans="2:10" x14ac:dyDescent="0.25">
      <c r="B724" s="28">
        <v>720</v>
      </c>
      <c r="C724" s="35">
        <v>44185</v>
      </c>
      <c r="D724" s="29" t="s">
        <v>13</v>
      </c>
      <c r="E724" s="29" t="s">
        <v>10</v>
      </c>
      <c r="F724" s="29" t="s">
        <v>11</v>
      </c>
      <c r="G724" s="28">
        <v>1100</v>
      </c>
      <c r="H724" s="28">
        <v>1</v>
      </c>
      <c r="I724" s="30">
        <f>TownTeam1[[#This Row],[Selling price]]*TownTeam1[[#This Row],[Item quantity]]</f>
        <v>1100</v>
      </c>
      <c r="J724" s="30">
        <f>IF(TownTeam1[[#This Row],[Item name]]=" Jeans - Denim",TownTeam1[[#This Row],[Total sales]]*0.85,TownTeam1[[#This Row],[Total sales]])</f>
        <v>1100</v>
      </c>
    </row>
    <row r="725" spans="2:10" x14ac:dyDescent="0.25">
      <c r="B725" s="28">
        <v>721</v>
      </c>
      <c r="C725" s="35">
        <v>44186</v>
      </c>
      <c r="D725" s="29" t="s">
        <v>13</v>
      </c>
      <c r="E725" s="29" t="s">
        <v>10</v>
      </c>
      <c r="F725" s="29" t="s">
        <v>11</v>
      </c>
      <c r="G725" s="28">
        <v>1100</v>
      </c>
      <c r="H725" s="28">
        <v>1</v>
      </c>
      <c r="I725" s="30">
        <f>TownTeam1[[#This Row],[Selling price]]*TownTeam1[[#This Row],[Item quantity]]</f>
        <v>1100</v>
      </c>
      <c r="J725" s="30">
        <f>IF(TownTeam1[[#This Row],[Item name]]=" Jeans - Denim",TownTeam1[[#This Row],[Total sales]]*0.85,TownTeam1[[#This Row],[Total sales]])</f>
        <v>1100</v>
      </c>
    </row>
    <row r="726" spans="2:10" x14ac:dyDescent="0.25">
      <c r="B726" s="28">
        <v>722</v>
      </c>
      <c r="C726" s="35">
        <v>44187</v>
      </c>
      <c r="D726" s="29" t="s">
        <v>9</v>
      </c>
      <c r="E726" s="29" t="s">
        <v>15</v>
      </c>
      <c r="F726" s="29" t="s">
        <v>11</v>
      </c>
      <c r="G726" s="28">
        <v>1000</v>
      </c>
      <c r="H726" s="28">
        <v>1</v>
      </c>
      <c r="I726" s="30">
        <f>TownTeam1[[#This Row],[Selling price]]*TownTeam1[[#This Row],[Item quantity]]</f>
        <v>1000</v>
      </c>
      <c r="J726" s="30">
        <f>IF(TownTeam1[[#This Row],[Item name]]=" Jeans - Denim",TownTeam1[[#This Row],[Total sales]]*0.85,TownTeam1[[#This Row],[Total sales]])</f>
        <v>1000</v>
      </c>
    </row>
    <row r="727" spans="2:10" x14ac:dyDescent="0.25">
      <c r="B727" s="28">
        <v>723</v>
      </c>
      <c r="C727" s="35">
        <v>44188</v>
      </c>
      <c r="D727" s="29" t="s">
        <v>9</v>
      </c>
      <c r="E727" s="29" t="s">
        <v>18</v>
      </c>
      <c r="F727" s="29" t="s">
        <v>17</v>
      </c>
      <c r="G727" s="28">
        <v>600</v>
      </c>
      <c r="H727" s="28">
        <v>1</v>
      </c>
      <c r="I727" s="30">
        <f>TownTeam1[[#This Row],[Selling price]]*TownTeam1[[#This Row],[Item quantity]]</f>
        <v>600</v>
      </c>
      <c r="J727" s="30">
        <f>IF(TownTeam1[[#This Row],[Item name]]=" Jeans - Denim",TownTeam1[[#This Row],[Total sales]]*0.85,TownTeam1[[#This Row],[Total sales]])</f>
        <v>600</v>
      </c>
    </row>
    <row r="728" spans="2:10" x14ac:dyDescent="0.25">
      <c r="B728" s="28">
        <v>724</v>
      </c>
      <c r="C728" s="35">
        <v>44189</v>
      </c>
      <c r="D728" s="29" t="s">
        <v>9</v>
      </c>
      <c r="E728" s="29" t="s">
        <v>16</v>
      </c>
      <c r="F728" s="29" t="s">
        <v>17</v>
      </c>
      <c r="G728" s="28">
        <v>800</v>
      </c>
      <c r="H728" s="28">
        <v>1</v>
      </c>
      <c r="I728" s="30">
        <f>TownTeam1[[#This Row],[Selling price]]*TownTeam1[[#This Row],[Item quantity]]</f>
        <v>800</v>
      </c>
      <c r="J728" s="30">
        <f>IF(TownTeam1[[#This Row],[Item name]]=" Jeans - Denim",TownTeam1[[#This Row],[Total sales]]*0.85,TownTeam1[[#This Row],[Total sales]])</f>
        <v>800</v>
      </c>
    </row>
    <row r="729" spans="2:10" x14ac:dyDescent="0.25">
      <c r="B729" s="28">
        <v>725</v>
      </c>
      <c r="C729" s="35">
        <v>44190</v>
      </c>
      <c r="D729" s="29" t="s">
        <v>9</v>
      </c>
      <c r="E729" s="29" t="s">
        <v>10</v>
      </c>
      <c r="F729" s="29" t="s">
        <v>11</v>
      </c>
      <c r="G729" s="28">
        <v>1100</v>
      </c>
      <c r="H729" s="28">
        <v>1</v>
      </c>
      <c r="I729" s="30">
        <f>TownTeam1[[#This Row],[Selling price]]*TownTeam1[[#This Row],[Item quantity]]</f>
        <v>1100</v>
      </c>
      <c r="J729" s="30">
        <f>IF(TownTeam1[[#This Row],[Item name]]=" Jeans - Denim",TownTeam1[[#This Row],[Total sales]]*0.85,TownTeam1[[#This Row],[Total sales]])</f>
        <v>1100</v>
      </c>
    </row>
    <row r="730" spans="2:10" x14ac:dyDescent="0.25">
      <c r="B730" s="28">
        <v>726</v>
      </c>
      <c r="C730" s="35">
        <v>44191</v>
      </c>
      <c r="D730" s="29" t="s">
        <v>9</v>
      </c>
      <c r="E730" s="29" t="s">
        <v>18</v>
      </c>
      <c r="F730" s="29" t="s">
        <v>17</v>
      </c>
      <c r="G730" s="28">
        <v>600</v>
      </c>
      <c r="H730" s="28">
        <v>1</v>
      </c>
      <c r="I730" s="30">
        <f>TownTeam1[[#This Row],[Selling price]]*TownTeam1[[#This Row],[Item quantity]]</f>
        <v>600</v>
      </c>
      <c r="J730" s="30">
        <f>IF(TownTeam1[[#This Row],[Item name]]=" Jeans - Denim",TownTeam1[[#This Row],[Total sales]]*0.85,TownTeam1[[#This Row],[Total sales]])</f>
        <v>600</v>
      </c>
    </row>
    <row r="731" spans="2:10" x14ac:dyDescent="0.25">
      <c r="B731" s="28">
        <v>727</v>
      </c>
      <c r="C731" s="35">
        <v>44192</v>
      </c>
      <c r="D731" s="29" t="s">
        <v>9</v>
      </c>
      <c r="E731" s="29" t="s">
        <v>19</v>
      </c>
      <c r="F731" s="29" t="s">
        <v>20</v>
      </c>
      <c r="G731" s="28">
        <v>850</v>
      </c>
      <c r="H731" s="28">
        <v>1</v>
      </c>
      <c r="I731" s="30">
        <f>TownTeam1[[#This Row],[Selling price]]*TownTeam1[[#This Row],[Item quantity]]</f>
        <v>850</v>
      </c>
      <c r="J731" s="30">
        <f>IF(TownTeam1[[#This Row],[Item name]]=" Jeans - Denim",TownTeam1[[#This Row],[Total sales]]*0.85,TownTeam1[[#This Row],[Total sales]])</f>
        <v>850</v>
      </c>
    </row>
    <row r="732" spans="2:10" x14ac:dyDescent="0.25">
      <c r="B732" s="28">
        <v>728</v>
      </c>
      <c r="C732" s="35">
        <v>44193</v>
      </c>
      <c r="D732" s="29" t="s">
        <v>9</v>
      </c>
      <c r="E732" s="29" t="s">
        <v>14</v>
      </c>
      <c r="F732" s="29" t="s">
        <v>11</v>
      </c>
      <c r="G732" s="28">
        <v>900</v>
      </c>
      <c r="H732" s="28">
        <v>1</v>
      </c>
      <c r="I732" s="30">
        <f>TownTeam1[[#This Row],[Selling price]]*TownTeam1[[#This Row],[Item quantity]]</f>
        <v>900</v>
      </c>
      <c r="J732" s="30">
        <f>IF(TownTeam1[[#This Row],[Item name]]=" Jeans - Denim",TownTeam1[[#This Row],[Total sales]]*0.85,TownTeam1[[#This Row],[Total sales]])</f>
        <v>900</v>
      </c>
    </row>
    <row r="733" spans="2:10" x14ac:dyDescent="0.25">
      <c r="B733" s="28">
        <v>729</v>
      </c>
      <c r="C733" s="35">
        <v>44194</v>
      </c>
      <c r="D733" s="29" t="s">
        <v>9</v>
      </c>
      <c r="E733" s="29" t="s">
        <v>15</v>
      </c>
      <c r="F733" s="29" t="s">
        <v>11</v>
      </c>
      <c r="G733" s="28">
        <v>1000</v>
      </c>
      <c r="H733" s="28">
        <v>1</v>
      </c>
      <c r="I733" s="30">
        <f>TownTeam1[[#This Row],[Selling price]]*TownTeam1[[#This Row],[Item quantity]]</f>
        <v>1000</v>
      </c>
      <c r="J733" s="30">
        <f>IF(TownTeam1[[#This Row],[Item name]]=" Jeans - Denim",TownTeam1[[#This Row],[Total sales]]*0.85,TownTeam1[[#This Row],[Total sales]])</f>
        <v>1000</v>
      </c>
    </row>
    <row r="734" spans="2:10" x14ac:dyDescent="0.25">
      <c r="B734" s="28">
        <v>730</v>
      </c>
      <c r="C734" s="35">
        <v>44195</v>
      </c>
      <c r="D734" s="29" t="s">
        <v>9</v>
      </c>
      <c r="E734" s="29" t="s">
        <v>19</v>
      </c>
      <c r="F734" s="29" t="s">
        <v>20</v>
      </c>
      <c r="G734" s="28">
        <v>850</v>
      </c>
      <c r="H734" s="28">
        <v>1</v>
      </c>
      <c r="I734" s="30">
        <f>TownTeam1[[#This Row],[Selling price]]*TownTeam1[[#This Row],[Item quantity]]</f>
        <v>850</v>
      </c>
      <c r="J734" s="30">
        <f>IF(TownTeam1[[#This Row],[Item name]]=" Jeans - Denim",TownTeam1[[#This Row],[Total sales]]*0.85,TownTeam1[[#This Row],[Total sales]])</f>
        <v>850</v>
      </c>
    </row>
    <row r="735" spans="2:10" x14ac:dyDescent="0.25">
      <c r="B735" s="28">
        <v>731</v>
      </c>
      <c r="C735" s="35">
        <v>44196</v>
      </c>
      <c r="D735" s="29" t="s">
        <v>9</v>
      </c>
      <c r="E735" s="29" t="s">
        <v>19</v>
      </c>
      <c r="F735" s="29" t="s">
        <v>20</v>
      </c>
      <c r="G735" s="28">
        <v>850</v>
      </c>
      <c r="H735" s="28">
        <v>1</v>
      </c>
      <c r="I735" s="30">
        <f>TownTeam1[[#This Row],[Selling price]]*TownTeam1[[#This Row],[Item quantity]]</f>
        <v>850</v>
      </c>
      <c r="J735" s="30">
        <f>IF(TownTeam1[[#This Row],[Item name]]=" Jeans - Denim",TownTeam1[[#This Row],[Total sales]]*0.85,TownTeam1[[#This Row],[Total sales]])</f>
        <v>850</v>
      </c>
    </row>
    <row r="736" spans="2:10" x14ac:dyDescent="0.25">
      <c r="B736" s="28">
        <v>732</v>
      </c>
      <c r="C736" s="35">
        <v>44197</v>
      </c>
      <c r="D736" s="29" t="s">
        <v>9</v>
      </c>
      <c r="E736" s="29" t="s">
        <v>15</v>
      </c>
      <c r="F736" s="29" t="s">
        <v>11</v>
      </c>
      <c r="G736" s="28">
        <v>1000</v>
      </c>
      <c r="H736" s="28">
        <v>1</v>
      </c>
      <c r="I736" s="30">
        <f>TownTeam1[[#This Row],[Selling price]]*TownTeam1[[#This Row],[Item quantity]]</f>
        <v>1000</v>
      </c>
      <c r="J736" s="30">
        <f>IF(TownTeam1[[#This Row],[Item name]]=" Jeans - Denim",TownTeam1[[#This Row],[Total sales]]*0.85,TownTeam1[[#This Row],[Total sales]])</f>
        <v>1000</v>
      </c>
    </row>
    <row r="737" spans="2:10" x14ac:dyDescent="0.25">
      <c r="B737" s="28">
        <v>733</v>
      </c>
      <c r="C737" s="35">
        <v>44198</v>
      </c>
      <c r="D737" s="29" t="s">
        <v>9</v>
      </c>
      <c r="E737" s="29" t="s">
        <v>16</v>
      </c>
      <c r="F737" s="29" t="s">
        <v>17</v>
      </c>
      <c r="G737" s="28">
        <v>800</v>
      </c>
      <c r="H737" s="28">
        <v>1</v>
      </c>
      <c r="I737" s="30">
        <f>TownTeam1[[#This Row],[Selling price]]*TownTeam1[[#This Row],[Item quantity]]</f>
        <v>800</v>
      </c>
      <c r="J737" s="30">
        <f>IF(TownTeam1[[#This Row],[Item name]]=" Jeans - Denim",TownTeam1[[#This Row],[Total sales]]*0.85,TownTeam1[[#This Row],[Total sales]])</f>
        <v>800</v>
      </c>
    </row>
    <row r="738" spans="2:10" x14ac:dyDescent="0.25">
      <c r="B738" s="28">
        <v>734</v>
      </c>
      <c r="C738" s="35">
        <v>44199</v>
      </c>
      <c r="D738" s="29" t="s">
        <v>9</v>
      </c>
      <c r="E738" s="29" t="s">
        <v>18</v>
      </c>
      <c r="F738" s="29" t="s">
        <v>17</v>
      </c>
      <c r="G738" s="28">
        <v>600</v>
      </c>
      <c r="H738" s="28">
        <v>1</v>
      </c>
      <c r="I738" s="30">
        <f>TownTeam1[[#This Row],[Selling price]]*TownTeam1[[#This Row],[Item quantity]]</f>
        <v>600</v>
      </c>
      <c r="J738" s="30">
        <f>IF(TownTeam1[[#This Row],[Item name]]=" Jeans - Denim",TownTeam1[[#This Row],[Total sales]]*0.85,TownTeam1[[#This Row],[Total sales]])</f>
        <v>600</v>
      </c>
    </row>
    <row r="739" spans="2:10" x14ac:dyDescent="0.25">
      <c r="B739" s="28">
        <v>735</v>
      </c>
      <c r="C739" s="35">
        <v>44200</v>
      </c>
      <c r="D739" s="29" t="s">
        <v>9</v>
      </c>
      <c r="E739" s="29" t="s">
        <v>16</v>
      </c>
      <c r="F739" s="29" t="s">
        <v>17</v>
      </c>
      <c r="G739" s="28">
        <v>800</v>
      </c>
      <c r="H739" s="28">
        <v>1</v>
      </c>
      <c r="I739" s="30">
        <f>TownTeam1[[#This Row],[Selling price]]*TownTeam1[[#This Row],[Item quantity]]</f>
        <v>800</v>
      </c>
      <c r="J739" s="30">
        <f>IF(TownTeam1[[#This Row],[Item name]]=" Jeans - Denim",TownTeam1[[#This Row],[Total sales]]*0.85,TownTeam1[[#This Row],[Total sales]])</f>
        <v>800</v>
      </c>
    </row>
    <row r="740" spans="2:10" x14ac:dyDescent="0.25">
      <c r="B740" s="28">
        <v>736</v>
      </c>
      <c r="C740" s="35">
        <v>44201</v>
      </c>
      <c r="D740" s="29" t="s">
        <v>9</v>
      </c>
      <c r="E740" s="29" t="s">
        <v>10</v>
      </c>
      <c r="F740" s="29" t="s">
        <v>11</v>
      </c>
      <c r="G740" s="28">
        <v>1100</v>
      </c>
      <c r="H740" s="28">
        <v>1</v>
      </c>
      <c r="I740" s="30">
        <f>TownTeam1[[#This Row],[Selling price]]*TownTeam1[[#This Row],[Item quantity]]</f>
        <v>1100</v>
      </c>
      <c r="J740" s="30">
        <f>IF(TownTeam1[[#This Row],[Item name]]=" Jeans - Denim",TownTeam1[[#This Row],[Total sales]]*0.85,TownTeam1[[#This Row],[Total sales]])</f>
        <v>1100</v>
      </c>
    </row>
    <row r="741" spans="2:10" x14ac:dyDescent="0.25">
      <c r="B741" s="28">
        <v>737</v>
      </c>
      <c r="C741" s="35">
        <v>44202</v>
      </c>
      <c r="D741" s="29" t="s">
        <v>9</v>
      </c>
      <c r="E741" s="29" t="s">
        <v>19</v>
      </c>
      <c r="F741" s="29" t="s">
        <v>20</v>
      </c>
      <c r="G741" s="28">
        <v>850</v>
      </c>
      <c r="H741" s="28">
        <v>1</v>
      </c>
      <c r="I741" s="30">
        <f>TownTeam1[[#This Row],[Selling price]]*TownTeam1[[#This Row],[Item quantity]]</f>
        <v>850</v>
      </c>
      <c r="J741" s="30">
        <f>IF(TownTeam1[[#This Row],[Item name]]=" Jeans - Denim",TownTeam1[[#This Row],[Total sales]]*0.85,TownTeam1[[#This Row],[Total sales]])</f>
        <v>850</v>
      </c>
    </row>
    <row r="742" spans="2:10" x14ac:dyDescent="0.25">
      <c r="B742" s="28">
        <v>738</v>
      </c>
      <c r="C742" s="35">
        <v>44203</v>
      </c>
      <c r="D742" s="29" t="s">
        <v>9</v>
      </c>
      <c r="E742" s="29" t="s">
        <v>19</v>
      </c>
      <c r="F742" s="29" t="s">
        <v>20</v>
      </c>
      <c r="G742" s="28">
        <v>850</v>
      </c>
      <c r="H742" s="28">
        <v>1</v>
      </c>
      <c r="I742" s="30">
        <f>TownTeam1[[#This Row],[Selling price]]*TownTeam1[[#This Row],[Item quantity]]</f>
        <v>850</v>
      </c>
      <c r="J742" s="30">
        <f>IF(TownTeam1[[#This Row],[Item name]]=" Jeans - Denim",TownTeam1[[#This Row],[Total sales]]*0.85,TownTeam1[[#This Row],[Total sales]])</f>
        <v>850</v>
      </c>
    </row>
    <row r="743" spans="2:10" x14ac:dyDescent="0.25">
      <c r="B743" s="28">
        <v>739</v>
      </c>
      <c r="C743" s="35">
        <v>44204</v>
      </c>
      <c r="D743" s="29" t="s">
        <v>9</v>
      </c>
      <c r="E743" s="29" t="s">
        <v>19</v>
      </c>
      <c r="F743" s="29" t="s">
        <v>20</v>
      </c>
      <c r="G743" s="28">
        <v>850</v>
      </c>
      <c r="H743" s="28">
        <v>1</v>
      </c>
      <c r="I743" s="30">
        <f>TownTeam1[[#This Row],[Selling price]]*TownTeam1[[#This Row],[Item quantity]]</f>
        <v>850</v>
      </c>
      <c r="J743" s="30">
        <f>IF(TownTeam1[[#This Row],[Item name]]=" Jeans - Denim",TownTeam1[[#This Row],[Total sales]]*0.85,TownTeam1[[#This Row],[Total sales]])</f>
        <v>850</v>
      </c>
    </row>
    <row r="744" spans="2:10" x14ac:dyDescent="0.25">
      <c r="B744" s="28">
        <v>740</v>
      </c>
      <c r="C744" s="35">
        <v>44205</v>
      </c>
      <c r="D744" s="29" t="s">
        <v>9</v>
      </c>
      <c r="E744" s="29" t="s">
        <v>18</v>
      </c>
      <c r="F744" s="29" t="s">
        <v>17</v>
      </c>
      <c r="G744" s="28">
        <v>600</v>
      </c>
      <c r="H744" s="28">
        <v>1</v>
      </c>
      <c r="I744" s="30">
        <f>TownTeam1[[#This Row],[Selling price]]*TownTeam1[[#This Row],[Item quantity]]</f>
        <v>600</v>
      </c>
      <c r="J744" s="30">
        <f>IF(TownTeam1[[#This Row],[Item name]]=" Jeans - Denim",TownTeam1[[#This Row],[Total sales]]*0.85,TownTeam1[[#This Row],[Total sales]])</f>
        <v>600</v>
      </c>
    </row>
    <row r="745" spans="2:10" x14ac:dyDescent="0.25">
      <c r="B745" s="28">
        <v>741</v>
      </c>
      <c r="C745" s="35">
        <v>44206</v>
      </c>
      <c r="D745" s="29" t="s">
        <v>9</v>
      </c>
      <c r="E745" s="29" t="s">
        <v>19</v>
      </c>
      <c r="F745" s="29" t="s">
        <v>20</v>
      </c>
      <c r="G745" s="28">
        <v>850</v>
      </c>
      <c r="H745" s="28">
        <v>1</v>
      </c>
      <c r="I745" s="30">
        <f>TownTeam1[[#This Row],[Selling price]]*TownTeam1[[#This Row],[Item quantity]]</f>
        <v>850</v>
      </c>
      <c r="J745" s="30">
        <f>IF(TownTeam1[[#This Row],[Item name]]=" Jeans - Denim",TownTeam1[[#This Row],[Total sales]]*0.85,TownTeam1[[#This Row],[Total sales]])</f>
        <v>850</v>
      </c>
    </row>
    <row r="746" spans="2:10" x14ac:dyDescent="0.25">
      <c r="B746" s="28">
        <v>742</v>
      </c>
      <c r="C746" s="35">
        <v>44207</v>
      </c>
      <c r="D746" s="29" t="s">
        <v>9</v>
      </c>
      <c r="E746" s="29" t="s">
        <v>19</v>
      </c>
      <c r="F746" s="29" t="s">
        <v>20</v>
      </c>
      <c r="G746" s="28">
        <v>850</v>
      </c>
      <c r="H746" s="28">
        <v>1</v>
      </c>
      <c r="I746" s="30">
        <f>TownTeam1[[#This Row],[Selling price]]*TownTeam1[[#This Row],[Item quantity]]</f>
        <v>850</v>
      </c>
      <c r="J746" s="30">
        <f>IF(TownTeam1[[#This Row],[Item name]]=" Jeans - Denim",TownTeam1[[#This Row],[Total sales]]*0.85,TownTeam1[[#This Row],[Total sales]])</f>
        <v>850</v>
      </c>
    </row>
    <row r="747" spans="2:10" x14ac:dyDescent="0.25">
      <c r="B747" s="28">
        <v>743</v>
      </c>
      <c r="C747" s="35">
        <v>44208</v>
      </c>
      <c r="D747" s="29" t="s">
        <v>9</v>
      </c>
      <c r="E747" s="29" t="s">
        <v>10</v>
      </c>
      <c r="F747" s="29" t="s">
        <v>11</v>
      </c>
      <c r="G747" s="28">
        <v>1100</v>
      </c>
      <c r="H747" s="28">
        <v>1</v>
      </c>
      <c r="I747" s="30">
        <f>TownTeam1[[#This Row],[Selling price]]*TownTeam1[[#This Row],[Item quantity]]</f>
        <v>1100</v>
      </c>
      <c r="J747" s="30">
        <f>IF(TownTeam1[[#This Row],[Item name]]=" Jeans - Denim",TownTeam1[[#This Row],[Total sales]]*0.85,TownTeam1[[#This Row],[Total sales]])</f>
        <v>1100</v>
      </c>
    </row>
    <row r="748" spans="2:10" x14ac:dyDescent="0.25">
      <c r="B748" s="28">
        <v>744</v>
      </c>
      <c r="C748" s="35">
        <v>44209</v>
      </c>
      <c r="D748" s="29" t="s">
        <v>9</v>
      </c>
      <c r="E748" s="29" t="s">
        <v>15</v>
      </c>
      <c r="F748" s="29" t="s">
        <v>11</v>
      </c>
      <c r="G748" s="28">
        <v>1000</v>
      </c>
      <c r="H748" s="28">
        <v>1</v>
      </c>
      <c r="I748" s="30">
        <f>TownTeam1[[#This Row],[Selling price]]*TownTeam1[[#This Row],[Item quantity]]</f>
        <v>1000</v>
      </c>
      <c r="J748" s="30">
        <f>IF(TownTeam1[[#This Row],[Item name]]=" Jeans - Denim",TownTeam1[[#This Row],[Total sales]]*0.85,TownTeam1[[#This Row],[Total sales]])</f>
        <v>1000</v>
      </c>
    </row>
    <row r="749" spans="2:10" x14ac:dyDescent="0.25">
      <c r="B749" s="28">
        <v>745</v>
      </c>
      <c r="C749" s="35">
        <v>44210</v>
      </c>
      <c r="D749" s="29" t="s">
        <v>9</v>
      </c>
      <c r="E749" s="29" t="s">
        <v>10</v>
      </c>
      <c r="F749" s="29" t="s">
        <v>11</v>
      </c>
      <c r="G749" s="28">
        <v>1100</v>
      </c>
      <c r="H749" s="28">
        <v>1</v>
      </c>
      <c r="I749" s="30">
        <f>TownTeam1[[#This Row],[Selling price]]*TownTeam1[[#This Row],[Item quantity]]</f>
        <v>1100</v>
      </c>
      <c r="J749" s="30">
        <f>IF(TownTeam1[[#This Row],[Item name]]=" Jeans - Denim",TownTeam1[[#This Row],[Total sales]]*0.85,TownTeam1[[#This Row],[Total sales]])</f>
        <v>1100</v>
      </c>
    </row>
    <row r="750" spans="2:10" x14ac:dyDescent="0.25">
      <c r="B750" s="28">
        <v>746</v>
      </c>
      <c r="C750" s="35">
        <v>44211</v>
      </c>
      <c r="D750" s="29" t="s">
        <v>9</v>
      </c>
      <c r="E750" s="29" t="s">
        <v>18</v>
      </c>
      <c r="F750" s="29" t="s">
        <v>17</v>
      </c>
      <c r="G750" s="28">
        <v>600</v>
      </c>
      <c r="H750" s="28">
        <v>1</v>
      </c>
      <c r="I750" s="30">
        <f>TownTeam1[[#This Row],[Selling price]]*TownTeam1[[#This Row],[Item quantity]]</f>
        <v>600</v>
      </c>
      <c r="J750" s="30">
        <f>IF(TownTeam1[[#This Row],[Item name]]=" Jeans - Denim",TownTeam1[[#This Row],[Total sales]]*0.85,TownTeam1[[#This Row],[Total sales]])</f>
        <v>600</v>
      </c>
    </row>
    <row r="751" spans="2:10" x14ac:dyDescent="0.25">
      <c r="B751" s="28">
        <v>747</v>
      </c>
      <c r="C751" s="35">
        <v>44212</v>
      </c>
      <c r="D751" s="29" t="s">
        <v>9</v>
      </c>
      <c r="E751" s="29" t="s">
        <v>18</v>
      </c>
      <c r="F751" s="29" t="s">
        <v>17</v>
      </c>
      <c r="G751" s="28">
        <v>600</v>
      </c>
      <c r="H751" s="28">
        <v>2</v>
      </c>
      <c r="I751" s="30">
        <f>TownTeam1[[#This Row],[Selling price]]*TownTeam1[[#This Row],[Item quantity]]</f>
        <v>1200</v>
      </c>
      <c r="J751" s="30">
        <f>IF(TownTeam1[[#This Row],[Item name]]=" Jeans - Denim",TownTeam1[[#This Row],[Total sales]]*0.85,TownTeam1[[#This Row],[Total sales]])</f>
        <v>1200</v>
      </c>
    </row>
    <row r="752" spans="2:10" x14ac:dyDescent="0.25">
      <c r="B752" s="28">
        <v>748</v>
      </c>
      <c r="C752" s="35">
        <v>44213</v>
      </c>
      <c r="D752" s="29" t="s">
        <v>9</v>
      </c>
      <c r="E752" s="29" t="s">
        <v>18</v>
      </c>
      <c r="F752" s="29" t="s">
        <v>17</v>
      </c>
      <c r="G752" s="28">
        <v>600</v>
      </c>
      <c r="H752" s="28">
        <v>1</v>
      </c>
      <c r="I752" s="30">
        <f>TownTeam1[[#This Row],[Selling price]]*TownTeam1[[#This Row],[Item quantity]]</f>
        <v>600</v>
      </c>
      <c r="J752" s="30">
        <f>IF(TownTeam1[[#This Row],[Item name]]=" Jeans - Denim",TownTeam1[[#This Row],[Total sales]]*0.85,TownTeam1[[#This Row],[Total sales]])</f>
        <v>600</v>
      </c>
    </row>
    <row r="753" spans="2:10" x14ac:dyDescent="0.25">
      <c r="B753" s="28">
        <v>749</v>
      </c>
      <c r="C753" s="35">
        <v>44214</v>
      </c>
      <c r="D753" s="29" t="s">
        <v>9</v>
      </c>
      <c r="E753" s="29" t="s">
        <v>18</v>
      </c>
      <c r="F753" s="29" t="s">
        <v>17</v>
      </c>
      <c r="G753" s="28">
        <v>600</v>
      </c>
      <c r="H753" s="28">
        <v>1</v>
      </c>
      <c r="I753" s="30">
        <f>TownTeam1[[#This Row],[Selling price]]*TownTeam1[[#This Row],[Item quantity]]</f>
        <v>600</v>
      </c>
      <c r="J753" s="30">
        <f>IF(TownTeam1[[#This Row],[Item name]]=" Jeans - Denim",TownTeam1[[#This Row],[Total sales]]*0.85,TownTeam1[[#This Row],[Total sales]])</f>
        <v>600</v>
      </c>
    </row>
    <row r="754" spans="2:10" x14ac:dyDescent="0.25">
      <c r="B754" s="28">
        <v>750</v>
      </c>
      <c r="C754" s="35">
        <v>44215</v>
      </c>
      <c r="D754" s="29" t="s">
        <v>9</v>
      </c>
      <c r="E754" s="29" t="s">
        <v>10</v>
      </c>
      <c r="F754" s="29" t="s">
        <v>11</v>
      </c>
      <c r="G754" s="28">
        <v>1100</v>
      </c>
      <c r="H754" s="28">
        <v>1</v>
      </c>
      <c r="I754" s="30">
        <f>TownTeam1[[#This Row],[Selling price]]*TownTeam1[[#This Row],[Item quantity]]</f>
        <v>1100</v>
      </c>
      <c r="J754" s="30">
        <f>IF(TownTeam1[[#This Row],[Item name]]=" Jeans - Denim",TownTeam1[[#This Row],[Total sales]]*0.85,TownTeam1[[#This Row],[Total sales]])</f>
        <v>1100</v>
      </c>
    </row>
    <row r="755" spans="2:10" x14ac:dyDescent="0.25">
      <c r="B755" s="28">
        <v>751</v>
      </c>
      <c r="C755" s="35">
        <v>44216</v>
      </c>
      <c r="D755" s="29" t="s">
        <v>9</v>
      </c>
      <c r="E755" s="29" t="s">
        <v>14</v>
      </c>
      <c r="F755" s="29" t="s">
        <v>11</v>
      </c>
      <c r="G755" s="28">
        <v>900</v>
      </c>
      <c r="H755" s="28">
        <v>1</v>
      </c>
      <c r="I755" s="30">
        <f>TownTeam1[[#This Row],[Selling price]]*TownTeam1[[#This Row],[Item quantity]]</f>
        <v>900</v>
      </c>
      <c r="J755" s="30">
        <f>IF(TownTeam1[[#This Row],[Item name]]=" Jeans - Denim",TownTeam1[[#This Row],[Total sales]]*0.85,TownTeam1[[#This Row],[Total sales]])</f>
        <v>900</v>
      </c>
    </row>
    <row r="756" spans="2:10" x14ac:dyDescent="0.25">
      <c r="B756" s="28">
        <v>752</v>
      </c>
      <c r="C756" s="35">
        <v>44217</v>
      </c>
      <c r="D756" s="29" t="s">
        <v>9</v>
      </c>
      <c r="E756" s="29" t="s">
        <v>18</v>
      </c>
      <c r="F756" s="29" t="s">
        <v>17</v>
      </c>
      <c r="G756" s="28">
        <v>600</v>
      </c>
      <c r="H756" s="28">
        <v>1</v>
      </c>
      <c r="I756" s="30">
        <f>TownTeam1[[#This Row],[Selling price]]*TownTeam1[[#This Row],[Item quantity]]</f>
        <v>600</v>
      </c>
      <c r="J756" s="30">
        <f>IF(TownTeam1[[#This Row],[Item name]]=" Jeans - Denim",TownTeam1[[#This Row],[Total sales]]*0.85,TownTeam1[[#This Row],[Total sales]])</f>
        <v>600</v>
      </c>
    </row>
    <row r="757" spans="2:10" x14ac:dyDescent="0.25">
      <c r="B757" s="28">
        <v>753</v>
      </c>
      <c r="C757" s="35">
        <v>44218</v>
      </c>
      <c r="D757" s="29" t="s">
        <v>9</v>
      </c>
      <c r="E757" s="29" t="s">
        <v>14</v>
      </c>
      <c r="F757" s="29" t="s">
        <v>11</v>
      </c>
      <c r="G757" s="28">
        <v>900</v>
      </c>
      <c r="H757" s="28">
        <v>1</v>
      </c>
      <c r="I757" s="30">
        <f>TownTeam1[[#This Row],[Selling price]]*TownTeam1[[#This Row],[Item quantity]]</f>
        <v>900</v>
      </c>
      <c r="J757" s="30">
        <f>IF(TownTeam1[[#This Row],[Item name]]=" Jeans - Denim",TownTeam1[[#This Row],[Total sales]]*0.85,TownTeam1[[#This Row],[Total sales]])</f>
        <v>900</v>
      </c>
    </row>
    <row r="758" spans="2:10" x14ac:dyDescent="0.25">
      <c r="B758" s="28">
        <v>754</v>
      </c>
      <c r="C758" s="35">
        <v>44219</v>
      </c>
      <c r="D758" s="29" t="s">
        <v>9</v>
      </c>
      <c r="E758" s="29" t="s">
        <v>12</v>
      </c>
      <c r="F758" s="29" t="s">
        <v>11</v>
      </c>
      <c r="G758" s="28">
        <v>900</v>
      </c>
      <c r="H758" s="28">
        <v>1</v>
      </c>
      <c r="I758" s="30">
        <f>TownTeam1[[#This Row],[Selling price]]*TownTeam1[[#This Row],[Item quantity]]</f>
        <v>900</v>
      </c>
      <c r="J758" s="30">
        <f>IF(TownTeam1[[#This Row],[Item name]]=" Jeans - Denim",TownTeam1[[#This Row],[Total sales]]*0.85,TownTeam1[[#This Row],[Total sales]])</f>
        <v>765</v>
      </c>
    </row>
    <row r="759" spans="2:10" x14ac:dyDescent="0.25">
      <c r="B759" s="28">
        <v>755</v>
      </c>
      <c r="C759" s="35">
        <v>44220</v>
      </c>
      <c r="D759" s="29" t="s">
        <v>9</v>
      </c>
      <c r="E759" s="29" t="s">
        <v>18</v>
      </c>
      <c r="F759" s="29" t="s">
        <v>17</v>
      </c>
      <c r="G759" s="28">
        <v>600</v>
      </c>
      <c r="H759" s="28">
        <v>1</v>
      </c>
      <c r="I759" s="30">
        <f>TownTeam1[[#This Row],[Selling price]]*TownTeam1[[#This Row],[Item quantity]]</f>
        <v>600</v>
      </c>
      <c r="J759" s="30">
        <f>IF(TownTeam1[[#This Row],[Item name]]=" Jeans - Denim",TownTeam1[[#This Row],[Total sales]]*0.85,TownTeam1[[#This Row],[Total sales]])</f>
        <v>600</v>
      </c>
    </row>
    <row r="760" spans="2:10" x14ac:dyDescent="0.25">
      <c r="B760" s="28">
        <v>756</v>
      </c>
      <c r="C760" s="35">
        <v>44221</v>
      </c>
      <c r="D760" s="29" t="s">
        <v>9</v>
      </c>
      <c r="E760" s="29" t="s">
        <v>18</v>
      </c>
      <c r="F760" s="29" t="s">
        <v>17</v>
      </c>
      <c r="G760" s="28">
        <v>600</v>
      </c>
      <c r="H760" s="28">
        <v>1</v>
      </c>
      <c r="I760" s="30">
        <f>TownTeam1[[#This Row],[Selling price]]*TownTeam1[[#This Row],[Item quantity]]</f>
        <v>600</v>
      </c>
      <c r="J760" s="30">
        <f>IF(TownTeam1[[#This Row],[Item name]]=" Jeans - Denim",TownTeam1[[#This Row],[Total sales]]*0.85,TownTeam1[[#This Row],[Total sales]])</f>
        <v>600</v>
      </c>
    </row>
    <row r="761" spans="2:10" x14ac:dyDescent="0.25">
      <c r="B761" s="28">
        <v>757</v>
      </c>
      <c r="C761" s="35">
        <v>44222</v>
      </c>
      <c r="D761" s="29" t="s">
        <v>9</v>
      </c>
      <c r="E761" s="29" t="s">
        <v>18</v>
      </c>
      <c r="F761" s="29" t="s">
        <v>17</v>
      </c>
      <c r="G761" s="28">
        <v>600</v>
      </c>
      <c r="H761" s="28">
        <v>1</v>
      </c>
      <c r="I761" s="30">
        <f>TownTeam1[[#This Row],[Selling price]]*TownTeam1[[#This Row],[Item quantity]]</f>
        <v>600</v>
      </c>
      <c r="J761" s="30">
        <f>IF(TownTeam1[[#This Row],[Item name]]=" Jeans - Denim",TownTeam1[[#This Row],[Total sales]]*0.85,TownTeam1[[#This Row],[Total sales]])</f>
        <v>600</v>
      </c>
    </row>
    <row r="762" spans="2:10" x14ac:dyDescent="0.25">
      <c r="B762" s="28">
        <v>758</v>
      </c>
      <c r="C762" s="35">
        <v>44223</v>
      </c>
      <c r="D762" s="29" t="s">
        <v>9</v>
      </c>
      <c r="E762" s="29" t="s">
        <v>10</v>
      </c>
      <c r="F762" s="29" t="s">
        <v>11</v>
      </c>
      <c r="G762" s="28">
        <v>1100</v>
      </c>
      <c r="H762" s="28">
        <v>1</v>
      </c>
      <c r="I762" s="30">
        <f>TownTeam1[[#This Row],[Selling price]]*TownTeam1[[#This Row],[Item quantity]]</f>
        <v>1100</v>
      </c>
      <c r="J762" s="30">
        <f>IF(TownTeam1[[#This Row],[Item name]]=" Jeans - Denim",TownTeam1[[#This Row],[Total sales]]*0.85,TownTeam1[[#This Row],[Total sales]])</f>
        <v>1100</v>
      </c>
    </row>
    <row r="763" spans="2:10" x14ac:dyDescent="0.25">
      <c r="B763" s="28">
        <v>759</v>
      </c>
      <c r="C763" s="35">
        <v>44224</v>
      </c>
      <c r="D763" s="29" t="s">
        <v>9</v>
      </c>
      <c r="E763" s="29" t="s">
        <v>18</v>
      </c>
      <c r="F763" s="29" t="s">
        <v>17</v>
      </c>
      <c r="G763" s="28">
        <v>600</v>
      </c>
      <c r="H763" s="28">
        <v>1</v>
      </c>
      <c r="I763" s="30">
        <f>TownTeam1[[#This Row],[Selling price]]*TownTeam1[[#This Row],[Item quantity]]</f>
        <v>600</v>
      </c>
      <c r="J763" s="30">
        <f>IF(TownTeam1[[#This Row],[Item name]]=" Jeans - Denim",TownTeam1[[#This Row],[Total sales]]*0.85,TownTeam1[[#This Row],[Total sales]])</f>
        <v>600</v>
      </c>
    </row>
    <row r="764" spans="2:10" x14ac:dyDescent="0.25">
      <c r="B764" s="28">
        <v>760</v>
      </c>
      <c r="C764" s="35">
        <v>44225</v>
      </c>
      <c r="D764" s="29" t="s">
        <v>9</v>
      </c>
      <c r="E764" s="29" t="s">
        <v>18</v>
      </c>
      <c r="F764" s="29" t="s">
        <v>17</v>
      </c>
      <c r="G764" s="28">
        <v>600</v>
      </c>
      <c r="H764" s="28">
        <v>1</v>
      </c>
      <c r="I764" s="30">
        <f>TownTeam1[[#This Row],[Selling price]]*TownTeam1[[#This Row],[Item quantity]]</f>
        <v>600</v>
      </c>
      <c r="J764" s="30">
        <f>IF(TownTeam1[[#This Row],[Item name]]=" Jeans - Denim",TownTeam1[[#This Row],[Total sales]]*0.85,TownTeam1[[#This Row],[Total sales]])</f>
        <v>600</v>
      </c>
    </row>
    <row r="765" spans="2:10" x14ac:dyDescent="0.25">
      <c r="B765" s="28">
        <v>761</v>
      </c>
      <c r="C765" s="35">
        <v>44226</v>
      </c>
      <c r="D765" s="29" t="s">
        <v>9</v>
      </c>
      <c r="E765" s="29" t="s">
        <v>18</v>
      </c>
      <c r="F765" s="29" t="s">
        <v>17</v>
      </c>
      <c r="G765" s="28">
        <v>600</v>
      </c>
      <c r="H765" s="28">
        <v>1</v>
      </c>
      <c r="I765" s="30">
        <f>TownTeam1[[#This Row],[Selling price]]*TownTeam1[[#This Row],[Item quantity]]</f>
        <v>600</v>
      </c>
      <c r="J765" s="30">
        <f>IF(TownTeam1[[#This Row],[Item name]]=" Jeans - Denim",TownTeam1[[#This Row],[Total sales]]*0.85,TownTeam1[[#This Row],[Total sales]])</f>
        <v>600</v>
      </c>
    </row>
    <row r="766" spans="2:10" x14ac:dyDescent="0.25">
      <c r="B766" s="28">
        <v>762</v>
      </c>
      <c r="C766" s="35">
        <v>44227</v>
      </c>
      <c r="D766" s="29" t="s">
        <v>9</v>
      </c>
      <c r="E766" s="29" t="s">
        <v>12</v>
      </c>
      <c r="F766" s="29" t="s">
        <v>11</v>
      </c>
      <c r="G766" s="28">
        <v>900</v>
      </c>
      <c r="H766" s="28">
        <v>1</v>
      </c>
      <c r="I766" s="30">
        <f>TownTeam1[[#This Row],[Selling price]]*TownTeam1[[#This Row],[Item quantity]]</f>
        <v>900</v>
      </c>
      <c r="J766" s="30">
        <f>IF(TownTeam1[[#This Row],[Item name]]=" Jeans - Denim",TownTeam1[[#This Row],[Total sales]]*0.85,TownTeam1[[#This Row],[Total sales]])</f>
        <v>765</v>
      </c>
    </row>
    <row r="767" spans="2:10" x14ac:dyDescent="0.25">
      <c r="B767" s="28">
        <v>763</v>
      </c>
      <c r="C767" s="35">
        <v>44228</v>
      </c>
      <c r="D767" s="29" t="s">
        <v>9</v>
      </c>
      <c r="E767" s="29" t="s">
        <v>18</v>
      </c>
      <c r="F767" s="29" t="s">
        <v>17</v>
      </c>
      <c r="G767" s="28">
        <v>600</v>
      </c>
      <c r="H767" s="28">
        <v>1</v>
      </c>
      <c r="I767" s="30">
        <f>TownTeam1[[#This Row],[Selling price]]*TownTeam1[[#This Row],[Item quantity]]</f>
        <v>600</v>
      </c>
      <c r="J767" s="30">
        <f>IF(TownTeam1[[#This Row],[Item name]]=" Jeans - Denim",TownTeam1[[#This Row],[Total sales]]*0.85,TownTeam1[[#This Row],[Total sales]])</f>
        <v>600</v>
      </c>
    </row>
    <row r="768" spans="2:10" x14ac:dyDescent="0.25">
      <c r="B768" s="28">
        <v>764</v>
      </c>
      <c r="C768" s="35">
        <v>44229</v>
      </c>
      <c r="D768" s="29" t="s">
        <v>9</v>
      </c>
      <c r="E768" s="29" t="s">
        <v>14</v>
      </c>
      <c r="F768" s="29" t="s">
        <v>11</v>
      </c>
      <c r="G768" s="28">
        <v>900</v>
      </c>
      <c r="H768" s="28">
        <v>1</v>
      </c>
      <c r="I768" s="30">
        <f>TownTeam1[[#This Row],[Selling price]]*TownTeam1[[#This Row],[Item quantity]]</f>
        <v>900</v>
      </c>
      <c r="J768" s="30">
        <f>IF(TownTeam1[[#This Row],[Item name]]=" Jeans - Denim",TownTeam1[[#This Row],[Total sales]]*0.85,TownTeam1[[#This Row],[Total sales]])</f>
        <v>900</v>
      </c>
    </row>
    <row r="769" spans="2:10" x14ac:dyDescent="0.25">
      <c r="B769" s="28">
        <v>765</v>
      </c>
      <c r="C769" s="35">
        <v>44230</v>
      </c>
      <c r="D769" s="29" t="s">
        <v>9</v>
      </c>
      <c r="E769" s="29" t="s">
        <v>21</v>
      </c>
      <c r="F769" s="29" t="s">
        <v>20</v>
      </c>
      <c r="G769" s="28">
        <v>1200</v>
      </c>
      <c r="H769" s="28">
        <v>1</v>
      </c>
      <c r="I769" s="30">
        <f>TownTeam1[[#This Row],[Selling price]]*TownTeam1[[#This Row],[Item quantity]]</f>
        <v>1200</v>
      </c>
      <c r="J769" s="30">
        <f>IF(TownTeam1[[#This Row],[Item name]]=" Jeans - Denim",TownTeam1[[#This Row],[Total sales]]*0.85,TownTeam1[[#This Row],[Total sales]])</f>
        <v>1200</v>
      </c>
    </row>
    <row r="770" spans="2:10" x14ac:dyDescent="0.25">
      <c r="B770" s="28">
        <v>766</v>
      </c>
      <c r="C770" s="35">
        <v>44231</v>
      </c>
      <c r="D770" s="29" t="s">
        <v>9</v>
      </c>
      <c r="E770" s="29" t="s">
        <v>10</v>
      </c>
      <c r="F770" s="29" t="s">
        <v>11</v>
      </c>
      <c r="G770" s="28">
        <v>1100</v>
      </c>
      <c r="H770" s="28">
        <v>1</v>
      </c>
      <c r="I770" s="30">
        <f>TownTeam1[[#This Row],[Selling price]]*TownTeam1[[#This Row],[Item quantity]]</f>
        <v>1100</v>
      </c>
      <c r="J770" s="30">
        <f>IF(TownTeam1[[#This Row],[Item name]]=" Jeans - Denim",TownTeam1[[#This Row],[Total sales]]*0.85,TownTeam1[[#This Row],[Total sales]])</f>
        <v>1100</v>
      </c>
    </row>
    <row r="771" spans="2:10" x14ac:dyDescent="0.25">
      <c r="B771" s="28">
        <v>767</v>
      </c>
      <c r="C771" s="35">
        <v>44232</v>
      </c>
      <c r="D771" s="29" t="s">
        <v>9</v>
      </c>
      <c r="E771" s="29" t="s">
        <v>10</v>
      </c>
      <c r="F771" s="29" t="s">
        <v>11</v>
      </c>
      <c r="G771" s="28">
        <v>1100</v>
      </c>
      <c r="H771" s="28">
        <v>1</v>
      </c>
      <c r="I771" s="30">
        <f>TownTeam1[[#This Row],[Selling price]]*TownTeam1[[#This Row],[Item quantity]]</f>
        <v>1100</v>
      </c>
      <c r="J771" s="30">
        <f>IF(TownTeam1[[#This Row],[Item name]]=" Jeans - Denim",TownTeam1[[#This Row],[Total sales]]*0.85,TownTeam1[[#This Row],[Total sales]])</f>
        <v>1100</v>
      </c>
    </row>
    <row r="772" spans="2:10" x14ac:dyDescent="0.25">
      <c r="B772" s="28">
        <v>768</v>
      </c>
      <c r="C772" s="35">
        <v>44233</v>
      </c>
      <c r="D772" s="29" t="s">
        <v>9</v>
      </c>
      <c r="E772" s="29" t="s">
        <v>18</v>
      </c>
      <c r="F772" s="29" t="s">
        <v>17</v>
      </c>
      <c r="G772" s="28">
        <v>600</v>
      </c>
      <c r="H772" s="28">
        <v>1</v>
      </c>
      <c r="I772" s="30">
        <f>TownTeam1[[#This Row],[Selling price]]*TownTeam1[[#This Row],[Item quantity]]</f>
        <v>600</v>
      </c>
      <c r="J772" s="30">
        <f>IF(TownTeam1[[#This Row],[Item name]]=" Jeans - Denim",TownTeam1[[#This Row],[Total sales]]*0.85,TownTeam1[[#This Row],[Total sales]])</f>
        <v>600</v>
      </c>
    </row>
    <row r="773" spans="2:10" x14ac:dyDescent="0.25">
      <c r="B773" s="28">
        <v>769</v>
      </c>
      <c r="C773" s="35">
        <v>44234</v>
      </c>
      <c r="D773" s="29" t="s">
        <v>9</v>
      </c>
      <c r="E773" s="29" t="s">
        <v>18</v>
      </c>
      <c r="F773" s="29" t="s">
        <v>17</v>
      </c>
      <c r="G773" s="28">
        <v>600</v>
      </c>
      <c r="H773" s="28">
        <v>2</v>
      </c>
      <c r="I773" s="30">
        <f>TownTeam1[[#This Row],[Selling price]]*TownTeam1[[#This Row],[Item quantity]]</f>
        <v>1200</v>
      </c>
      <c r="J773" s="30">
        <f>IF(TownTeam1[[#This Row],[Item name]]=" Jeans - Denim",TownTeam1[[#This Row],[Total sales]]*0.85,TownTeam1[[#This Row],[Total sales]])</f>
        <v>1200</v>
      </c>
    </row>
    <row r="774" spans="2:10" x14ac:dyDescent="0.25">
      <c r="B774" s="28">
        <v>770</v>
      </c>
      <c r="C774" s="35">
        <v>44235</v>
      </c>
      <c r="D774" s="29" t="s">
        <v>9</v>
      </c>
      <c r="E774" s="29" t="s">
        <v>21</v>
      </c>
      <c r="F774" s="29" t="s">
        <v>20</v>
      </c>
      <c r="G774" s="28">
        <v>1200</v>
      </c>
      <c r="H774" s="28">
        <v>1</v>
      </c>
      <c r="I774" s="30">
        <f>TownTeam1[[#This Row],[Selling price]]*TownTeam1[[#This Row],[Item quantity]]</f>
        <v>1200</v>
      </c>
      <c r="J774" s="30">
        <f>IF(TownTeam1[[#This Row],[Item name]]=" Jeans - Denim",TownTeam1[[#This Row],[Total sales]]*0.85,TownTeam1[[#This Row],[Total sales]])</f>
        <v>1200</v>
      </c>
    </row>
    <row r="775" spans="2:10" x14ac:dyDescent="0.25">
      <c r="B775" s="28">
        <v>771</v>
      </c>
      <c r="C775" s="35">
        <v>44236</v>
      </c>
      <c r="D775" s="29" t="s">
        <v>9</v>
      </c>
      <c r="E775" s="29" t="s">
        <v>21</v>
      </c>
      <c r="F775" s="29" t="s">
        <v>20</v>
      </c>
      <c r="G775" s="28">
        <v>1200</v>
      </c>
      <c r="H775" s="28">
        <v>1</v>
      </c>
      <c r="I775" s="30">
        <f>TownTeam1[[#This Row],[Selling price]]*TownTeam1[[#This Row],[Item quantity]]</f>
        <v>1200</v>
      </c>
      <c r="J775" s="30">
        <f>IF(TownTeam1[[#This Row],[Item name]]=" Jeans - Denim",TownTeam1[[#This Row],[Total sales]]*0.85,TownTeam1[[#This Row],[Total sales]])</f>
        <v>1200</v>
      </c>
    </row>
    <row r="776" spans="2:10" x14ac:dyDescent="0.25">
      <c r="B776" s="28">
        <v>772</v>
      </c>
      <c r="C776" s="35">
        <v>44237</v>
      </c>
      <c r="D776" s="29" t="s">
        <v>9</v>
      </c>
      <c r="E776" s="29" t="s">
        <v>15</v>
      </c>
      <c r="F776" s="29" t="s">
        <v>11</v>
      </c>
      <c r="G776" s="28">
        <v>1000</v>
      </c>
      <c r="H776" s="28">
        <v>1</v>
      </c>
      <c r="I776" s="30">
        <f>TownTeam1[[#This Row],[Selling price]]*TownTeam1[[#This Row],[Item quantity]]</f>
        <v>1000</v>
      </c>
      <c r="J776" s="30">
        <f>IF(TownTeam1[[#This Row],[Item name]]=" Jeans - Denim",TownTeam1[[#This Row],[Total sales]]*0.85,TownTeam1[[#This Row],[Total sales]])</f>
        <v>1000</v>
      </c>
    </row>
    <row r="777" spans="2:10" x14ac:dyDescent="0.25">
      <c r="B777" s="28">
        <v>773</v>
      </c>
      <c r="C777" s="35">
        <v>44238</v>
      </c>
      <c r="D777" s="29" t="s">
        <v>9</v>
      </c>
      <c r="E777" s="29" t="s">
        <v>16</v>
      </c>
      <c r="F777" s="29" t="s">
        <v>17</v>
      </c>
      <c r="G777" s="28">
        <v>800</v>
      </c>
      <c r="H777" s="28">
        <v>2</v>
      </c>
      <c r="I777" s="30">
        <f>TownTeam1[[#This Row],[Selling price]]*TownTeam1[[#This Row],[Item quantity]]</f>
        <v>1600</v>
      </c>
      <c r="J777" s="30">
        <f>IF(TownTeam1[[#This Row],[Item name]]=" Jeans - Denim",TownTeam1[[#This Row],[Total sales]]*0.85,TownTeam1[[#This Row],[Total sales]])</f>
        <v>1600</v>
      </c>
    </row>
    <row r="778" spans="2:10" x14ac:dyDescent="0.25">
      <c r="B778" s="28">
        <v>774</v>
      </c>
      <c r="C778" s="35">
        <v>44239</v>
      </c>
      <c r="D778" s="29" t="s">
        <v>9</v>
      </c>
      <c r="E778" s="29" t="s">
        <v>21</v>
      </c>
      <c r="F778" s="29" t="s">
        <v>20</v>
      </c>
      <c r="G778" s="28">
        <v>1200</v>
      </c>
      <c r="H778" s="28">
        <v>1</v>
      </c>
      <c r="I778" s="30">
        <f>TownTeam1[[#This Row],[Selling price]]*TownTeam1[[#This Row],[Item quantity]]</f>
        <v>1200</v>
      </c>
      <c r="J778" s="30">
        <f>IF(TownTeam1[[#This Row],[Item name]]=" Jeans - Denim",TownTeam1[[#This Row],[Total sales]]*0.85,TownTeam1[[#This Row],[Total sales]])</f>
        <v>1200</v>
      </c>
    </row>
    <row r="779" spans="2:10" x14ac:dyDescent="0.25">
      <c r="B779" s="28">
        <v>775</v>
      </c>
      <c r="C779" s="35">
        <v>44240</v>
      </c>
      <c r="D779" s="29" t="s">
        <v>9</v>
      </c>
      <c r="E779" s="29" t="s">
        <v>14</v>
      </c>
      <c r="F779" s="29" t="s">
        <v>11</v>
      </c>
      <c r="G779" s="28">
        <v>900</v>
      </c>
      <c r="H779" s="28">
        <v>1</v>
      </c>
      <c r="I779" s="30">
        <f>TownTeam1[[#This Row],[Selling price]]*TownTeam1[[#This Row],[Item quantity]]</f>
        <v>900</v>
      </c>
      <c r="J779" s="30">
        <f>IF(TownTeam1[[#This Row],[Item name]]=" Jeans - Denim",TownTeam1[[#This Row],[Total sales]]*0.85,TownTeam1[[#This Row],[Total sales]])</f>
        <v>900</v>
      </c>
    </row>
    <row r="780" spans="2:10" x14ac:dyDescent="0.25">
      <c r="B780" s="28">
        <v>776</v>
      </c>
      <c r="C780" s="35">
        <v>44241</v>
      </c>
      <c r="D780" s="29" t="s">
        <v>9</v>
      </c>
      <c r="E780" s="29" t="s">
        <v>15</v>
      </c>
      <c r="F780" s="29" t="s">
        <v>11</v>
      </c>
      <c r="G780" s="28">
        <v>1000</v>
      </c>
      <c r="H780" s="28">
        <v>1</v>
      </c>
      <c r="I780" s="30">
        <f>TownTeam1[[#This Row],[Selling price]]*TownTeam1[[#This Row],[Item quantity]]</f>
        <v>1000</v>
      </c>
      <c r="J780" s="30">
        <f>IF(TownTeam1[[#This Row],[Item name]]=" Jeans - Denim",TownTeam1[[#This Row],[Total sales]]*0.85,TownTeam1[[#This Row],[Total sales]])</f>
        <v>1000</v>
      </c>
    </row>
    <row r="781" spans="2:10" x14ac:dyDescent="0.25">
      <c r="B781" s="28">
        <v>777</v>
      </c>
      <c r="C781" s="35">
        <v>44242</v>
      </c>
      <c r="D781" s="29" t="s">
        <v>9</v>
      </c>
      <c r="E781" s="29" t="s">
        <v>16</v>
      </c>
      <c r="F781" s="29" t="s">
        <v>17</v>
      </c>
      <c r="G781" s="28">
        <v>800</v>
      </c>
      <c r="H781" s="28">
        <v>1</v>
      </c>
      <c r="I781" s="30">
        <f>TownTeam1[[#This Row],[Selling price]]*TownTeam1[[#This Row],[Item quantity]]</f>
        <v>800</v>
      </c>
      <c r="J781" s="30">
        <f>IF(TownTeam1[[#This Row],[Item name]]=" Jeans - Denim",TownTeam1[[#This Row],[Total sales]]*0.85,TownTeam1[[#This Row],[Total sales]])</f>
        <v>800</v>
      </c>
    </row>
    <row r="782" spans="2:10" x14ac:dyDescent="0.25">
      <c r="B782" s="28">
        <v>778</v>
      </c>
      <c r="C782" s="35">
        <v>44243</v>
      </c>
      <c r="D782" s="29" t="s">
        <v>9</v>
      </c>
      <c r="E782" s="29" t="s">
        <v>21</v>
      </c>
      <c r="F782" s="29" t="s">
        <v>20</v>
      </c>
      <c r="G782" s="28">
        <v>1200</v>
      </c>
      <c r="H782" s="28">
        <v>1</v>
      </c>
      <c r="I782" s="30">
        <f>TownTeam1[[#This Row],[Selling price]]*TownTeam1[[#This Row],[Item quantity]]</f>
        <v>1200</v>
      </c>
      <c r="J782" s="30">
        <f>IF(TownTeam1[[#This Row],[Item name]]=" Jeans - Denim",TownTeam1[[#This Row],[Total sales]]*0.85,TownTeam1[[#This Row],[Total sales]])</f>
        <v>1200</v>
      </c>
    </row>
    <row r="783" spans="2:10" x14ac:dyDescent="0.25">
      <c r="B783" s="28">
        <v>779</v>
      </c>
      <c r="C783" s="35">
        <v>44244</v>
      </c>
      <c r="D783" s="29" t="s">
        <v>9</v>
      </c>
      <c r="E783" s="29" t="s">
        <v>21</v>
      </c>
      <c r="F783" s="29" t="s">
        <v>20</v>
      </c>
      <c r="G783" s="28">
        <v>1200</v>
      </c>
      <c r="H783" s="28">
        <v>1</v>
      </c>
      <c r="I783" s="30">
        <f>TownTeam1[[#This Row],[Selling price]]*TownTeam1[[#This Row],[Item quantity]]</f>
        <v>1200</v>
      </c>
      <c r="J783" s="30">
        <f>IF(TownTeam1[[#This Row],[Item name]]=" Jeans - Denim",TownTeam1[[#This Row],[Total sales]]*0.85,TownTeam1[[#This Row],[Total sales]])</f>
        <v>1200</v>
      </c>
    </row>
    <row r="784" spans="2:10" x14ac:dyDescent="0.25">
      <c r="B784" s="28">
        <v>780</v>
      </c>
      <c r="C784" s="35">
        <v>44245</v>
      </c>
      <c r="D784" s="29" t="s">
        <v>9</v>
      </c>
      <c r="E784" s="29" t="s">
        <v>16</v>
      </c>
      <c r="F784" s="29" t="s">
        <v>17</v>
      </c>
      <c r="G784" s="28">
        <v>800</v>
      </c>
      <c r="H784" s="28">
        <v>2</v>
      </c>
      <c r="I784" s="30">
        <f>TownTeam1[[#This Row],[Selling price]]*TownTeam1[[#This Row],[Item quantity]]</f>
        <v>1600</v>
      </c>
      <c r="J784" s="30">
        <f>IF(TownTeam1[[#This Row],[Item name]]=" Jeans - Denim",TownTeam1[[#This Row],[Total sales]]*0.85,TownTeam1[[#This Row],[Total sales]])</f>
        <v>1600</v>
      </c>
    </row>
    <row r="785" spans="2:10" x14ac:dyDescent="0.25">
      <c r="B785" s="28">
        <v>781</v>
      </c>
      <c r="C785" s="35">
        <v>44246</v>
      </c>
      <c r="D785" s="29" t="s">
        <v>9</v>
      </c>
      <c r="E785" s="29" t="s">
        <v>12</v>
      </c>
      <c r="F785" s="29" t="s">
        <v>11</v>
      </c>
      <c r="G785" s="28">
        <v>900</v>
      </c>
      <c r="H785" s="28">
        <v>1</v>
      </c>
      <c r="I785" s="30">
        <f>TownTeam1[[#This Row],[Selling price]]*TownTeam1[[#This Row],[Item quantity]]</f>
        <v>900</v>
      </c>
      <c r="J785" s="30">
        <f>IF(TownTeam1[[#This Row],[Item name]]=" Jeans - Denim",TownTeam1[[#This Row],[Total sales]]*0.85,TownTeam1[[#This Row],[Total sales]])</f>
        <v>765</v>
      </c>
    </row>
    <row r="786" spans="2:10" x14ac:dyDescent="0.25">
      <c r="B786" s="28">
        <v>782</v>
      </c>
      <c r="C786" s="35">
        <v>44247</v>
      </c>
      <c r="D786" s="29" t="s">
        <v>9</v>
      </c>
      <c r="E786" s="29" t="s">
        <v>15</v>
      </c>
      <c r="F786" s="29" t="s">
        <v>11</v>
      </c>
      <c r="G786" s="28">
        <v>1000</v>
      </c>
      <c r="H786" s="28">
        <v>1</v>
      </c>
      <c r="I786" s="30">
        <f>TownTeam1[[#This Row],[Selling price]]*TownTeam1[[#This Row],[Item quantity]]</f>
        <v>1000</v>
      </c>
      <c r="J786" s="30">
        <f>IF(TownTeam1[[#This Row],[Item name]]=" Jeans - Denim",TownTeam1[[#This Row],[Total sales]]*0.85,TownTeam1[[#This Row],[Total sales]])</f>
        <v>1000</v>
      </c>
    </row>
    <row r="787" spans="2:10" x14ac:dyDescent="0.25">
      <c r="B787" s="28">
        <v>783</v>
      </c>
      <c r="C787" s="35">
        <v>44248</v>
      </c>
      <c r="D787" s="29" t="s">
        <v>9</v>
      </c>
      <c r="E787" s="29" t="s">
        <v>15</v>
      </c>
      <c r="F787" s="29" t="s">
        <v>11</v>
      </c>
      <c r="G787" s="28">
        <v>1000</v>
      </c>
      <c r="H787" s="28">
        <v>1</v>
      </c>
      <c r="I787" s="30">
        <f>TownTeam1[[#This Row],[Selling price]]*TownTeam1[[#This Row],[Item quantity]]</f>
        <v>1000</v>
      </c>
      <c r="J787" s="30">
        <f>IF(TownTeam1[[#This Row],[Item name]]=" Jeans - Denim",TownTeam1[[#This Row],[Total sales]]*0.85,TownTeam1[[#This Row],[Total sales]])</f>
        <v>1000</v>
      </c>
    </row>
    <row r="788" spans="2:10" x14ac:dyDescent="0.25">
      <c r="B788" s="28">
        <v>784</v>
      </c>
      <c r="C788" s="35">
        <v>44249</v>
      </c>
      <c r="D788" s="29" t="s">
        <v>9</v>
      </c>
      <c r="E788" s="29" t="s">
        <v>18</v>
      </c>
      <c r="F788" s="29" t="s">
        <v>17</v>
      </c>
      <c r="G788" s="28">
        <v>600</v>
      </c>
      <c r="H788" s="28">
        <v>1</v>
      </c>
      <c r="I788" s="30">
        <f>TownTeam1[[#This Row],[Selling price]]*TownTeam1[[#This Row],[Item quantity]]</f>
        <v>600</v>
      </c>
      <c r="J788" s="30">
        <f>IF(TownTeam1[[#This Row],[Item name]]=" Jeans - Denim",TownTeam1[[#This Row],[Total sales]]*0.85,TownTeam1[[#This Row],[Total sales]])</f>
        <v>600</v>
      </c>
    </row>
    <row r="789" spans="2:10" x14ac:dyDescent="0.25">
      <c r="B789" s="28">
        <v>785</v>
      </c>
      <c r="C789" s="35">
        <v>44250</v>
      </c>
      <c r="D789" s="29" t="s">
        <v>9</v>
      </c>
      <c r="E789" s="29" t="s">
        <v>19</v>
      </c>
      <c r="F789" s="29" t="s">
        <v>20</v>
      </c>
      <c r="G789" s="28">
        <v>850</v>
      </c>
      <c r="H789" s="28">
        <v>1</v>
      </c>
      <c r="I789" s="30">
        <f>TownTeam1[[#This Row],[Selling price]]*TownTeam1[[#This Row],[Item quantity]]</f>
        <v>850</v>
      </c>
      <c r="J789" s="30">
        <f>IF(TownTeam1[[#This Row],[Item name]]=" Jeans - Denim",TownTeam1[[#This Row],[Total sales]]*0.85,TownTeam1[[#This Row],[Total sales]])</f>
        <v>850</v>
      </c>
    </row>
    <row r="790" spans="2:10" x14ac:dyDescent="0.25">
      <c r="B790" s="28">
        <v>786</v>
      </c>
      <c r="C790" s="35">
        <v>44251</v>
      </c>
      <c r="D790" s="29" t="s">
        <v>9</v>
      </c>
      <c r="E790" s="29" t="s">
        <v>18</v>
      </c>
      <c r="F790" s="29" t="s">
        <v>17</v>
      </c>
      <c r="G790" s="28">
        <v>600</v>
      </c>
      <c r="H790" s="28">
        <v>1</v>
      </c>
      <c r="I790" s="30">
        <f>TownTeam1[[#This Row],[Selling price]]*TownTeam1[[#This Row],[Item quantity]]</f>
        <v>600</v>
      </c>
      <c r="J790" s="30">
        <f>IF(TownTeam1[[#This Row],[Item name]]=" Jeans - Denim",TownTeam1[[#This Row],[Total sales]]*0.85,TownTeam1[[#This Row],[Total sales]])</f>
        <v>600</v>
      </c>
    </row>
    <row r="791" spans="2:10" x14ac:dyDescent="0.25">
      <c r="B791" s="28">
        <v>787</v>
      </c>
      <c r="C791" s="35">
        <v>44252</v>
      </c>
      <c r="D791" s="29" t="s">
        <v>9</v>
      </c>
      <c r="E791" s="29" t="s">
        <v>19</v>
      </c>
      <c r="F791" s="29" t="s">
        <v>20</v>
      </c>
      <c r="G791" s="28">
        <v>850</v>
      </c>
      <c r="H791" s="28">
        <v>1</v>
      </c>
      <c r="I791" s="30">
        <f>TownTeam1[[#This Row],[Selling price]]*TownTeam1[[#This Row],[Item quantity]]</f>
        <v>850</v>
      </c>
      <c r="J791" s="30">
        <f>IF(TownTeam1[[#This Row],[Item name]]=" Jeans - Denim",TownTeam1[[#This Row],[Total sales]]*0.85,TownTeam1[[#This Row],[Total sales]])</f>
        <v>850</v>
      </c>
    </row>
    <row r="792" spans="2:10" x14ac:dyDescent="0.25">
      <c r="B792" s="28">
        <v>788</v>
      </c>
      <c r="C792" s="35">
        <v>44253</v>
      </c>
      <c r="D792" s="29" t="s">
        <v>9</v>
      </c>
      <c r="E792" s="29" t="s">
        <v>19</v>
      </c>
      <c r="F792" s="29" t="s">
        <v>20</v>
      </c>
      <c r="G792" s="28">
        <v>850</v>
      </c>
      <c r="H792" s="28">
        <v>1</v>
      </c>
      <c r="I792" s="30">
        <f>TownTeam1[[#This Row],[Selling price]]*TownTeam1[[#This Row],[Item quantity]]</f>
        <v>850</v>
      </c>
      <c r="J792" s="30">
        <f>IF(TownTeam1[[#This Row],[Item name]]=" Jeans - Denim",TownTeam1[[#This Row],[Total sales]]*0.85,TownTeam1[[#This Row],[Total sales]])</f>
        <v>850</v>
      </c>
    </row>
    <row r="793" spans="2:10" x14ac:dyDescent="0.25">
      <c r="B793" s="28">
        <v>789</v>
      </c>
      <c r="C793" s="35">
        <v>44254</v>
      </c>
      <c r="D793" s="29" t="s">
        <v>9</v>
      </c>
      <c r="E793" s="29" t="s">
        <v>12</v>
      </c>
      <c r="F793" s="29" t="s">
        <v>11</v>
      </c>
      <c r="G793" s="28">
        <v>900</v>
      </c>
      <c r="H793" s="28">
        <v>1</v>
      </c>
      <c r="I793" s="30">
        <f>TownTeam1[[#This Row],[Selling price]]*TownTeam1[[#This Row],[Item quantity]]</f>
        <v>900</v>
      </c>
      <c r="J793" s="30">
        <f>IF(TownTeam1[[#This Row],[Item name]]=" Jeans - Denim",TownTeam1[[#This Row],[Total sales]]*0.85,TownTeam1[[#This Row],[Total sales]])</f>
        <v>765</v>
      </c>
    </row>
    <row r="794" spans="2:10" x14ac:dyDescent="0.25">
      <c r="B794" s="28">
        <v>790</v>
      </c>
      <c r="C794" s="35">
        <v>44255</v>
      </c>
      <c r="D794" s="29" t="s">
        <v>9</v>
      </c>
      <c r="E794" s="29" t="s">
        <v>21</v>
      </c>
      <c r="F794" s="29" t="s">
        <v>20</v>
      </c>
      <c r="G794" s="28">
        <v>1200</v>
      </c>
      <c r="H794" s="28">
        <v>2</v>
      </c>
      <c r="I794" s="30">
        <f>TownTeam1[[#This Row],[Selling price]]*TownTeam1[[#This Row],[Item quantity]]</f>
        <v>2400</v>
      </c>
      <c r="J794" s="30">
        <f>IF(TownTeam1[[#This Row],[Item name]]=" Jeans - Denim",TownTeam1[[#This Row],[Total sales]]*0.85,TownTeam1[[#This Row],[Total sales]])</f>
        <v>2400</v>
      </c>
    </row>
    <row r="795" spans="2:10" x14ac:dyDescent="0.25">
      <c r="B795" s="28">
        <v>791</v>
      </c>
      <c r="C795" s="35">
        <v>44256</v>
      </c>
      <c r="D795" s="29" t="s">
        <v>9</v>
      </c>
      <c r="E795" s="29" t="s">
        <v>16</v>
      </c>
      <c r="F795" s="29" t="s">
        <v>17</v>
      </c>
      <c r="G795" s="28">
        <v>800</v>
      </c>
      <c r="H795" s="28">
        <v>1</v>
      </c>
      <c r="I795" s="30">
        <f>TownTeam1[[#This Row],[Selling price]]*TownTeam1[[#This Row],[Item quantity]]</f>
        <v>800</v>
      </c>
      <c r="J795" s="30">
        <f>IF(TownTeam1[[#This Row],[Item name]]=" Jeans - Denim",TownTeam1[[#This Row],[Total sales]]*0.85,TownTeam1[[#This Row],[Total sales]])</f>
        <v>800</v>
      </c>
    </row>
    <row r="796" spans="2:10" x14ac:dyDescent="0.25">
      <c r="B796" s="28">
        <v>792</v>
      </c>
      <c r="C796" s="35">
        <v>44257</v>
      </c>
      <c r="D796" s="29" t="s">
        <v>9</v>
      </c>
      <c r="E796" s="29" t="s">
        <v>16</v>
      </c>
      <c r="F796" s="29" t="s">
        <v>17</v>
      </c>
      <c r="G796" s="28">
        <v>800</v>
      </c>
      <c r="H796" s="28">
        <v>1</v>
      </c>
      <c r="I796" s="30">
        <f>TownTeam1[[#This Row],[Selling price]]*TownTeam1[[#This Row],[Item quantity]]</f>
        <v>800</v>
      </c>
      <c r="J796" s="30">
        <f>IF(TownTeam1[[#This Row],[Item name]]=" Jeans - Denim",TownTeam1[[#This Row],[Total sales]]*0.85,TownTeam1[[#This Row],[Total sales]])</f>
        <v>800</v>
      </c>
    </row>
    <row r="797" spans="2:10" x14ac:dyDescent="0.25">
      <c r="B797" s="28">
        <v>793</v>
      </c>
      <c r="C797" s="35">
        <v>44258</v>
      </c>
      <c r="D797" s="29" t="s">
        <v>9</v>
      </c>
      <c r="E797" s="29" t="s">
        <v>14</v>
      </c>
      <c r="F797" s="29" t="s">
        <v>11</v>
      </c>
      <c r="G797" s="28">
        <v>900</v>
      </c>
      <c r="H797" s="28">
        <v>1</v>
      </c>
      <c r="I797" s="30">
        <f>TownTeam1[[#This Row],[Selling price]]*TownTeam1[[#This Row],[Item quantity]]</f>
        <v>900</v>
      </c>
      <c r="J797" s="30">
        <f>IF(TownTeam1[[#This Row],[Item name]]=" Jeans - Denim",TownTeam1[[#This Row],[Total sales]]*0.85,TownTeam1[[#This Row],[Total sales]])</f>
        <v>900</v>
      </c>
    </row>
    <row r="798" spans="2:10" x14ac:dyDescent="0.25">
      <c r="B798" s="28">
        <v>794</v>
      </c>
      <c r="C798" s="35">
        <v>44259</v>
      </c>
      <c r="D798" s="29" t="s">
        <v>9</v>
      </c>
      <c r="E798" s="29" t="s">
        <v>16</v>
      </c>
      <c r="F798" s="29" t="s">
        <v>17</v>
      </c>
      <c r="G798" s="28">
        <v>800</v>
      </c>
      <c r="H798" s="28">
        <v>1</v>
      </c>
      <c r="I798" s="30">
        <f>TownTeam1[[#This Row],[Selling price]]*TownTeam1[[#This Row],[Item quantity]]</f>
        <v>800</v>
      </c>
      <c r="J798" s="30">
        <f>IF(TownTeam1[[#This Row],[Item name]]=" Jeans - Denim",TownTeam1[[#This Row],[Total sales]]*0.85,TownTeam1[[#This Row],[Total sales]])</f>
        <v>800</v>
      </c>
    </row>
    <row r="799" spans="2:10" x14ac:dyDescent="0.25">
      <c r="B799" s="28">
        <v>795</v>
      </c>
      <c r="C799" s="35">
        <v>44260</v>
      </c>
      <c r="D799" s="29" t="s">
        <v>9</v>
      </c>
      <c r="E799" s="29" t="s">
        <v>18</v>
      </c>
      <c r="F799" s="29" t="s">
        <v>17</v>
      </c>
      <c r="G799" s="28">
        <v>600</v>
      </c>
      <c r="H799" s="28">
        <v>1</v>
      </c>
      <c r="I799" s="30">
        <f>TownTeam1[[#This Row],[Selling price]]*TownTeam1[[#This Row],[Item quantity]]</f>
        <v>600</v>
      </c>
      <c r="J799" s="30">
        <f>IF(TownTeam1[[#This Row],[Item name]]=" Jeans - Denim",TownTeam1[[#This Row],[Total sales]]*0.85,TownTeam1[[#This Row],[Total sales]])</f>
        <v>600</v>
      </c>
    </row>
    <row r="800" spans="2:10" x14ac:dyDescent="0.25">
      <c r="B800" s="28">
        <v>796</v>
      </c>
      <c r="C800" s="35">
        <v>44261</v>
      </c>
      <c r="D800" s="29" t="s">
        <v>9</v>
      </c>
      <c r="E800" s="29" t="s">
        <v>12</v>
      </c>
      <c r="F800" s="29" t="s">
        <v>11</v>
      </c>
      <c r="G800" s="28">
        <v>900</v>
      </c>
      <c r="H800" s="28">
        <v>3</v>
      </c>
      <c r="I800" s="30">
        <f>TownTeam1[[#This Row],[Selling price]]*TownTeam1[[#This Row],[Item quantity]]</f>
        <v>2700</v>
      </c>
      <c r="J800" s="30">
        <f>IF(TownTeam1[[#This Row],[Item name]]=" Jeans - Denim",TownTeam1[[#This Row],[Total sales]]*0.85,TownTeam1[[#This Row],[Total sales]])</f>
        <v>2295</v>
      </c>
    </row>
    <row r="801" spans="2:10" x14ac:dyDescent="0.25">
      <c r="B801" s="28">
        <v>797</v>
      </c>
      <c r="C801" s="35">
        <v>44262</v>
      </c>
      <c r="D801" s="29" t="s">
        <v>9</v>
      </c>
      <c r="E801" s="29" t="s">
        <v>18</v>
      </c>
      <c r="F801" s="29" t="s">
        <v>17</v>
      </c>
      <c r="G801" s="28">
        <v>600</v>
      </c>
      <c r="H801" s="28">
        <v>1</v>
      </c>
      <c r="I801" s="30">
        <f>TownTeam1[[#This Row],[Selling price]]*TownTeam1[[#This Row],[Item quantity]]</f>
        <v>600</v>
      </c>
      <c r="J801" s="30">
        <f>IF(TownTeam1[[#This Row],[Item name]]=" Jeans - Denim",TownTeam1[[#This Row],[Total sales]]*0.85,TownTeam1[[#This Row],[Total sales]])</f>
        <v>600</v>
      </c>
    </row>
    <row r="802" spans="2:10" x14ac:dyDescent="0.25">
      <c r="B802" s="28">
        <v>798</v>
      </c>
      <c r="C802" s="35">
        <v>44263</v>
      </c>
      <c r="D802" s="29" t="s">
        <v>9</v>
      </c>
      <c r="E802" s="29" t="s">
        <v>16</v>
      </c>
      <c r="F802" s="29" t="s">
        <v>17</v>
      </c>
      <c r="G802" s="28">
        <v>800</v>
      </c>
      <c r="H802" s="28">
        <v>1</v>
      </c>
      <c r="I802" s="30">
        <f>TownTeam1[[#This Row],[Selling price]]*TownTeam1[[#This Row],[Item quantity]]</f>
        <v>800</v>
      </c>
      <c r="J802" s="30">
        <f>IF(TownTeam1[[#This Row],[Item name]]=" Jeans - Denim",TownTeam1[[#This Row],[Total sales]]*0.85,TownTeam1[[#This Row],[Total sales]])</f>
        <v>800</v>
      </c>
    </row>
    <row r="803" spans="2:10" x14ac:dyDescent="0.25">
      <c r="B803" s="28">
        <v>799</v>
      </c>
      <c r="C803" s="35">
        <v>44264</v>
      </c>
      <c r="D803" s="29" t="s">
        <v>9</v>
      </c>
      <c r="E803" s="29" t="s">
        <v>18</v>
      </c>
      <c r="F803" s="29" t="s">
        <v>17</v>
      </c>
      <c r="G803" s="28">
        <v>600</v>
      </c>
      <c r="H803" s="28">
        <v>1</v>
      </c>
      <c r="I803" s="30">
        <f>TownTeam1[[#This Row],[Selling price]]*TownTeam1[[#This Row],[Item quantity]]</f>
        <v>600</v>
      </c>
      <c r="J803" s="30">
        <f>IF(TownTeam1[[#This Row],[Item name]]=" Jeans - Denim",TownTeam1[[#This Row],[Total sales]]*0.85,TownTeam1[[#This Row],[Total sales]])</f>
        <v>600</v>
      </c>
    </row>
    <row r="804" spans="2:10" x14ac:dyDescent="0.25">
      <c r="B804" s="28">
        <v>800</v>
      </c>
      <c r="C804" s="35">
        <v>44265</v>
      </c>
      <c r="D804" s="29" t="s">
        <v>9</v>
      </c>
      <c r="E804" s="29" t="s">
        <v>10</v>
      </c>
      <c r="F804" s="29" t="s">
        <v>11</v>
      </c>
      <c r="G804" s="28">
        <v>1100</v>
      </c>
      <c r="H804" s="28">
        <v>1</v>
      </c>
      <c r="I804" s="30">
        <f>TownTeam1[[#This Row],[Selling price]]*TownTeam1[[#This Row],[Item quantity]]</f>
        <v>1100</v>
      </c>
      <c r="J804" s="30">
        <f>IF(TownTeam1[[#This Row],[Item name]]=" Jeans - Denim",TownTeam1[[#This Row],[Total sales]]*0.85,TownTeam1[[#This Row],[Total sales]])</f>
        <v>1100</v>
      </c>
    </row>
    <row r="805" spans="2:10" x14ac:dyDescent="0.25">
      <c r="B805" s="28">
        <v>801</v>
      </c>
      <c r="C805" s="35">
        <v>44266</v>
      </c>
      <c r="D805" s="29" t="s">
        <v>9</v>
      </c>
      <c r="E805" s="29" t="s">
        <v>14</v>
      </c>
      <c r="F805" s="29" t="s">
        <v>11</v>
      </c>
      <c r="G805" s="28">
        <v>900</v>
      </c>
      <c r="H805" s="28">
        <v>1</v>
      </c>
      <c r="I805" s="30">
        <f>TownTeam1[[#This Row],[Selling price]]*TownTeam1[[#This Row],[Item quantity]]</f>
        <v>900</v>
      </c>
      <c r="J805" s="30">
        <f>IF(TownTeam1[[#This Row],[Item name]]=" Jeans - Denim",TownTeam1[[#This Row],[Total sales]]*0.85,TownTeam1[[#This Row],[Total sales]])</f>
        <v>900</v>
      </c>
    </row>
    <row r="806" spans="2:10" x14ac:dyDescent="0.25">
      <c r="B806" s="28">
        <v>802</v>
      </c>
      <c r="C806" s="35">
        <v>44267</v>
      </c>
      <c r="D806" s="29" t="s">
        <v>9</v>
      </c>
      <c r="E806" s="29" t="s">
        <v>10</v>
      </c>
      <c r="F806" s="29" t="s">
        <v>11</v>
      </c>
      <c r="G806" s="28">
        <v>1100</v>
      </c>
      <c r="H806" s="28">
        <v>1</v>
      </c>
      <c r="I806" s="30">
        <f>TownTeam1[[#This Row],[Selling price]]*TownTeam1[[#This Row],[Item quantity]]</f>
        <v>1100</v>
      </c>
      <c r="J806" s="30">
        <f>IF(TownTeam1[[#This Row],[Item name]]=" Jeans - Denim",TownTeam1[[#This Row],[Total sales]]*0.85,TownTeam1[[#This Row],[Total sales]])</f>
        <v>1100</v>
      </c>
    </row>
    <row r="807" spans="2:10" x14ac:dyDescent="0.25">
      <c r="B807" s="28">
        <v>803</v>
      </c>
      <c r="C807" s="35">
        <v>44268</v>
      </c>
      <c r="D807" s="29" t="s">
        <v>9</v>
      </c>
      <c r="E807" s="29" t="s">
        <v>10</v>
      </c>
      <c r="F807" s="29" t="s">
        <v>11</v>
      </c>
      <c r="G807" s="28">
        <v>1100</v>
      </c>
      <c r="H807" s="28">
        <v>1</v>
      </c>
      <c r="I807" s="30">
        <f>TownTeam1[[#This Row],[Selling price]]*TownTeam1[[#This Row],[Item quantity]]</f>
        <v>1100</v>
      </c>
      <c r="J807" s="30">
        <f>IF(TownTeam1[[#This Row],[Item name]]=" Jeans - Denim",TownTeam1[[#This Row],[Total sales]]*0.85,TownTeam1[[#This Row],[Total sales]])</f>
        <v>1100</v>
      </c>
    </row>
    <row r="808" spans="2:10" x14ac:dyDescent="0.25">
      <c r="B808" s="28">
        <v>804</v>
      </c>
      <c r="C808" s="35">
        <v>44269</v>
      </c>
      <c r="D808" s="29" t="s">
        <v>9</v>
      </c>
      <c r="E808" s="29" t="s">
        <v>21</v>
      </c>
      <c r="F808" s="29" t="s">
        <v>20</v>
      </c>
      <c r="G808" s="28">
        <v>1200</v>
      </c>
      <c r="H808" s="28">
        <v>1</v>
      </c>
      <c r="I808" s="30">
        <f>TownTeam1[[#This Row],[Selling price]]*TownTeam1[[#This Row],[Item quantity]]</f>
        <v>1200</v>
      </c>
      <c r="J808" s="30">
        <f>IF(TownTeam1[[#This Row],[Item name]]=" Jeans - Denim",TownTeam1[[#This Row],[Total sales]]*0.85,TownTeam1[[#This Row],[Total sales]])</f>
        <v>1200</v>
      </c>
    </row>
    <row r="809" spans="2:10" x14ac:dyDescent="0.25">
      <c r="B809" s="28">
        <v>805</v>
      </c>
      <c r="C809" s="35">
        <v>44270</v>
      </c>
      <c r="D809" s="29" t="s">
        <v>9</v>
      </c>
      <c r="E809" s="29" t="s">
        <v>21</v>
      </c>
      <c r="F809" s="29" t="s">
        <v>20</v>
      </c>
      <c r="G809" s="28">
        <v>1200</v>
      </c>
      <c r="H809" s="28">
        <v>1</v>
      </c>
      <c r="I809" s="30">
        <f>TownTeam1[[#This Row],[Selling price]]*TownTeam1[[#This Row],[Item quantity]]</f>
        <v>1200</v>
      </c>
      <c r="J809" s="30">
        <f>IF(TownTeam1[[#This Row],[Item name]]=" Jeans - Denim",TownTeam1[[#This Row],[Total sales]]*0.85,TownTeam1[[#This Row],[Total sales]])</f>
        <v>1200</v>
      </c>
    </row>
    <row r="810" spans="2:10" x14ac:dyDescent="0.25">
      <c r="B810" s="28">
        <v>806</v>
      </c>
      <c r="C810" s="35">
        <v>44271</v>
      </c>
      <c r="D810" s="29" t="s">
        <v>9</v>
      </c>
      <c r="E810" s="29" t="s">
        <v>10</v>
      </c>
      <c r="F810" s="29" t="s">
        <v>11</v>
      </c>
      <c r="G810" s="28">
        <v>1100</v>
      </c>
      <c r="H810" s="28">
        <v>1</v>
      </c>
      <c r="I810" s="30">
        <f>TownTeam1[[#This Row],[Selling price]]*TownTeam1[[#This Row],[Item quantity]]</f>
        <v>1100</v>
      </c>
      <c r="J810" s="30">
        <f>IF(TownTeam1[[#This Row],[Item name]]=" Jeans - Denim",TownTeam1[[#This Row],[Total sales]]*0.85,TownTeam1[[#This Row],[Total sales]])</f>
        <v>1100</v>
      </c>
    </row>
    <row r="811" spans="2:10" x14ac:dyDescent="0.25">
      <c r="B811" s="28">
        <v>807</v>
      </c>
      <c r="C811" s="35">
        <v>44272</v>
      </c>
      <c r="D811" s="29" t="s">
        <v>9</v>
      </c>
      <c r="E811" s="29" t="s">
        <v>10</v>
      </c>
      <c r="F811" s="29" t="s">
        <v>11</v>
      </c>
      <c r="G811" s="28">
        <v>1100</v>
      </c>
      <c r="H811" s="28">
        <v>1</v>
      </c>
      <c r="I811" s="30">
        <f>TownTeam1[[#This Row],[Selling price]]*TownTeam1[[#This Row],[Item quantity]]</f>
        <v>1100</v>
      </c>
      <c r="J811" s="30">
        <f>IF(TownTeam1[[#This Row],[Item name]]=" Jeans - Denim",TownTeam1[[#This Row],[Total sales]]*0.85,TownTeam1[[#This Row],[Total sales]])</f>
        <v>1100</v>
      </c>
    </row>
    <row r="812" spans="2:10" x14ac:dyDescent="0.25">
      <c r="B812" s="28">
        <v>808</v>
      </c>
      <c r="C812" s="35">
        <v>44273</v>
      </c>
      <c r="D812" s="29" t="s">
        <v>9</v>
      </c>
      <c r="E812" s="29" t="s">
        <v>22</v>
      </c>
      <c r="F812" s="29" t="s">
        <v>23</v>
      </c>
      <c r="G812" s="28">
        <v>900</v>
      </c>
      <c r="H812" s="28">
        <v>1</v>
      </c>
      <c r="I812" s="30">
        <f>TownTeam1[[#This Row],[Selling price]]*TownTeam1[[#This Row],[Item quantity]]</f>
        <v>900</v>
      </c>
      <c r="J812" s="30">
        <f>IF(TownTeam1[[#This Row],[Item name]]=" Jeans - Denim",TownTeam1[[#This Row],[Total sales]]*0.85,TownTeam1[[#This Row],[Total sales]])</f>
        <v>900</v>
      </c>
    </row>
    <row r="813" spans="2:10" x14ac:dyDescent="0.25">
      <c r="B813" s="28">
        <v>809</v>
      </c>
      <c r="C813" s="35">
        <v>44274</v>
      </c>
      <c r="D813" s="29" t="s">
        <v>9</v>
      </c>
      <c r="E813" s="29" t="s">
        <v>14</v>
      </c>
      <c r="F813" s="29" t="s">
        <v>11</v>
      </c>
      <c r="G813" s="28">
        <v>900</v>
      </c>
      <c r="H813" s="28">
        <v>1</v>
      </c>
      <c r="I813" s="30">
        <f>TownTeam1[[#This Row],[Selling price]]*TownTeam1[[#This Row],[Item quantity]]</f>
        <v>900</v>
      </c>
      <c r="J813" s="30">
        <f>IF(TownTeam1[[#This Row],[Item name]]=" Jeans - Denim",TownTeam1[[#This Row],[Total sales]]*0.85,TownTeam1[[#This Row],[Total sales]])</f>
        <v>900</v>
      </c>
    </row>
    <row r="814" spans="2:10" x14ac:dyDescent="0.25">
      <c r="B814" s="28">
        <v>810</v>
      </c>
      <c r="C814" s="35">
        <v>44275</v>
      </c>
      <c r="D814" s="29" t="s">
        <v>9</v>
      </c>
      <c r="E814" s="29" t="s">
        <v>22</v>
      </c>
      <c r="F814" s="29" t="s">
        <v>23</v>
      </c>
      <c r="G814" s="28">
        <v>800</v>
      </c>
      <c r="H814" s="28">
        <v>1</v>
      </c>
      <c r="I814" s="30">
        <f>TownTeam1[[#This Row],[Selling price]]*TownTeam1[[#This Row],[Item quantity]]</f>
        <v>800</v>
      </c>
      <c r="J814" s="30">
        <f>IF(TownTeam1[[#This Row],[Item name]]=" Jeans - Denim",TownTeam1[[#This Row],[Total sales]]*0.85,TownTeam1[[#This Row],[Total sales]])</f>
        <v>800</v>
      </c>
    </row>
    <row r="815" spans="2:10" x14ac:dyDescent="0.25">
      <c r="B815" s="28">
        <v>811</v>
      </c>
      <c r="C815" s="35">
        <v>44276</v>
      </c>
      <c r="D815" s="29" t="s">
        <v>9</v>
      </c>
      <c r="E815" s="29" t="s">
        <v>18</v>
      </c>
      <c r="F815" s="29" t="s">
        <v>17</v>
      </c>
      <c r="G815" s="28">
        <v>600</v>
      </c>
      <c r="H815" s="28">
        <v>1</v>
      </c>
      <c r="I815" s="30">
        <f>TownTeam1[[#This Row],[Selling price]]*TownTeam1[[#This Row],[Item quantity]]</f>
        <v>600</v>
      </c>
      <c r="J815" s="30">
        <f>IF(TownTeam1[[#This Row],[Item name]]=" Jeans - Denim",TownTeam1[[#This Row],[Total sales]]*0.85,TownTeam1[[#This Row],[Total sales]])</f>
        <v>600</v>
      </c>
    </row>
    <row r="816" spans="2:10" x14ac:dyDescent="0.25">
      <c r="B816" s="28">
        <v>812</v>
      </c>
      <c r="C816" s="35">
        <v>44277</v>
      </c>
      <c r="D816" s="29" t="s">
        <v>9</v>
      </c>
      <c r="E816" s="29" t="s">
        <v>22</v>
      </c>
      <c r="F816" s="29" t="s">
        <v>23</v>
      </c>
      <c r="G816" s="28">
        <v>800</v>
      </c>
      <c r="H816" s="28">
        <v>1</v>
      </c>
      <c r="I816" s="30">
        <f>TownTeam1[[#This Row],[Selling price]]*TownTeam1[[#This Row],[Item quantity]]</f>
        <v>800</v>
      </c>
      <c r="J816" s="30">
        <f>IF(TownTeam1[[#This Row],[Item name]]=" Jeans - Denim",TownTeam1[[#This Row],[Total sales]]*0.85,TownTeam1[[#This Row],[Total sales]])</f>
        <v>800</v>
      </c>
    </row>
    <row r="817" spans="2:10" x14ac:dyDescent="0.25">
      <c r="B817" s="28">
        <v>813</v>
      </c>
      <c r="C817" s="35">
        <v>44278</v>
      </c>
      <c r="D817" s="29" t="s">
        <v>9</v>
      </c>
      <c r="E817" s="29" t="s">
        <v>14</v>
      </c>
      <c r="F817" s="29" t="s">
        <v>11</v>
      </c>
      <c r="G817" s="28">
        <v>900</v>
      </c>
      <c r="H817" s="28">
        <v>1</v>
      </c>
      <c r="I817" s="30">
        <f>TownTeam1[[#This Row],[Selling price]]*TownTeam1[[#This Row],[Item quantity]]</f>
        <v>900</v>
      </c>
      <c r="J817" s="30">
        <f>IF(TownTeam1[[#This Row],[Item name]]=" Jeans - Denim",TownTeam1[[#This Row],[Total sales]]*0.85,TownTeam1[[#This Row],[Total sales]])</f>
        <v>900</v>
      </c>
    </row>
    <row r="818" spans="2:10" x14ac:dyDescent="0.25">
      <c r="B818" s="28">
        <v>814</v>
      </c>
      <c r="C818" s="35">
        <v>44279</v>
      </c>
      <c r="D818" s="29" t="s">
        <v>9</v>
      </c>
      <c r="E818" s="29" t="s">
        <v>21</v>
      </c>
      <c r="F818" s="29" t="s">
        <v>20</v>
      </c>
      <c r="G818" s="28">
        <v>1200</v>
      </c>
      <c r="H818" s="28">
        <v>1</v>
      </c>
      <c r="I818" s="30">
        <f>TownTeam1[[#This Row],[Selling price]]*TownTeam1[[#This Row],[Item quantity]]</f>
        <v>1200</v>
      </c>
      <c r="J818" s="30">
        <f>IF(TownTeam1[[#This Row],[Item name]]=" Jeans - Denim",TownTeam1[[#This Row],[Total sales]]*0.85,TownTeam1[[#This Row],[Total sales]])</f>
        <v>1200</v>
      </c>
    </row>
    <row r="819" spans="2:10" x14ac:dyDescent="0.25">
      <c r="B819" s="28">
        <v>815</v>
      </c>
      <c r="C819" s="35">
        <v>44280</v>
      </c>
      <c r="D819" s="29" t="s">
        <v>9</v>
      </c>
      <c r="E819" s="29" t="s">
        <v>22</v>
      </c>
      <c r="F819" s="29" t="s">
        <v>23</v>
      </c>
      <c r="G819" s="28">
        <v>800</v>
      </c>
      <c r="H819" s="28">
        <v>1</v>
      </c>
      <c r="I819" s="30">
        <f>TownTeam1[[#This Row],[Selling price]]*TownTeam1[[#This Row],[Item quantity]]</f>
        <v>800</v>
      </c>
      <c r="J819" s="30">
        <f>IF(TownTeam1[[#This Row],[Item name]]=" Jeans - Denim",TownTeam1[[#This Row],[Total sales]]*0.85,TownTeam1[[#This Row],[Total sales]])</f>
        <v>800</v>
      </c>
    </row>
    <row r="820" spans="2:10" x14ac:dyDescent="0.25">
      <c r="B820" s="28">
        <v>816</v>
      </c>
      <c r="C820" s="35">
        <v>44281</v>
      </c>
      <c r="D820" s="29" t="s">
        <v>9</v>
      </c>
      <c r="E820" s="29" t="s">
        <v>12</v>
      </c>
      <c r="F820" s="29" t="s">
        <v>11</v>
      </c>
      <c r="G820" s="28">
        <v>900</v>
      </c>
      <c r="H820" s="28">
        <v>1</v>
      </c>
      <c r="I820" s="30">
        <f>TownTeam1[[#This Row],[Selling price]]*TownTeam1[[#This Row],[Item quantity]]</f>
        <v>900</v>
      </c>
      <c r="J820" s="30">
        <f>IF(TownTeam1[[#This Row],[Item name]]=" Jeans - Denim",TownTeam1[[#This Row],[Total sales]]*0.85,TownTeam1[[#This Row],[Total sales]])</f>
        <v>765</v>
      </c>
    </row>
    <row r="821" spans="2:10" x14ac:dyDescent="0.25">
      <c r="B821" s="28">
        <v>817</v>
      </c>
      <c r="C821" s="35">
        <v>44282</v>
      </c>
      <c r="D821" s="29" t="s">
        <v>9</v>
      </c>
      <c r="E821" s="29" t="s">
        <v>21</v>
      </c>
      <c r="F821" s="29" t="s">
        <v>20</v>
      </c>
      <c r="G821" s="28">
        <v>1200</v>
      </c>
      <c r="H821" s="28">
        <v>1</v>
      </c>
      <c r="I821" s="30">
        <f>TownTeam1[[#This Row],[Selling price]]*TownTeam1[[#This Row],[Item quantity]]</f>
        <v>1200</v>
      </c>
      <c r="J821" s="30">
        <f>IF(TownTeam1[[#This Row],[Item name]]=" Jeans - Denim",TownTeam1[[#This Row],[Total sales]]*0.85,TownTeam1[[#This Row],[Total sales]])</f>
        <v>1200</v>
      </c>
    </row>
    <row r="822" spans="2:10" x14ac:dyDescent="0.25">
      <c r="B822" s="28">
        <v>818</v>
      </c>
      <c r="C822" s="35">
        <v>44283</v>
      </c>
      <c r="D822" s="29" t="s">
        <v>9</v>
      </c>
      <c r="E822" s="29" t="s">
        <v>10</v>
      </c>
      <c r="F822" s="29" t="s">
        <v>11</v>
      </c>
      <c r="G822" s="28">
        <v>1100</v>
      </c>
      <c r="H822" s="28">
        <v>1</v>
      </c>
      <c r="I822" s="30">
        <f>TownTeam1[[#This Row],[Selling price]]*TownTeam1[[#This Row],[Item quantity]]</f>
        <v>1100</v>
      </c>
      <c r="J822" s="30">
        <f>IF(TownTeam1[[#This Row],[Item name]]=" Jeans - Denim",TownTeam1[[#This Row],[Total sales]]*0.85,TownTeam1[[#This Row],[Total sales]])</f>
        <v>1100</v>
      </c>
    </row>
    <row r="823" spans="2:10" x14ac:dyDescent="0.25">
      <c r="B823" s="28">
        <v>819</v>
      </c>
      <c r="C823" s="35">
        <v>44284</v>
      </c>
      <c r="D823" s="29" t="s">
        <v>9</v>
      </c>
      <c r="E823" s="29" t="s">
        <v>21</v>
      </c>
      <c r="F823" s="29" t="s">
        <v>20</v>
      </c>
      <c r="G823" s="28">
        <v>1200</v>
      </c>
      <c r="H823" s="28">
        <v>1</v>
      </c>
      <c r="I823" s="30">
        <f>TownTeam1[[#This Row],[Selling price]]*TownTeam1[[#This Row],[Item quantity]]</f>
        <v>1200</v>
      </c>
      <c r="J823" s="30">
        <f>IF(TownTeam1[[#This Row],[Item name]]=" Jeans - Denim",TownTeam1[[#This Row],[Total sales]]*0.85,TownTeam1[[#This Row],[Total sales]])</f>
        <v>1200</v>
      </c>
    </row>
    <row r="824" spans="2:10" x14ac:dyDescent="0.25">
      <c r="B824" s="28">
        <v>820</v>
      </c>
      <c r="C824" s="35">
        <v>44285</v>
      </c>
      <c r="D824" s="29" t="s">
        <v>9</v>
      </c>
      <c r="E824" s="29" t="s">
        <v>14</v>
      </c>
      <c r="F824" s="29" t="s">
        <v>11</v>
      </c>
      <c r="G824" s="28">
        <v>900</v>
      </c>
      <c r="H824" s="28">
        <v>1</v>
      </c>
      <c r="I824" s="30">
        <f>TownTeam1[[#This Row],[Selling price]]*TownTeam1[[#This Row],[Item quantity]]</f>
        <v>900</v>
      </c>
      <c r="J824" s="30">
        <f>IF(TownTeam1[[#This Row],[Item name]]=" Jeans - Denim",TownTeam1[[#This Row],[Total sales]]*0.85,TownTeam1[[#This Row],[Total sales]])</f>
        <v>900</v>
      </c>
    </row>
    <row r="825" spans="2:10" x14ac:dyDescent="0.25">
      <c r="B825" s="28">
        <v>821</v>
      </c>
      <c r="C825" s="35">
        <v>44286</v>
      </c>
      <c r="D825" s="29" t="s">
        <v>9</v>
      </c>
      <c r="E825" s="29" t="s">
        <v>10</v>
      </c>
      <c r="F825" s="29" t="s">
        <v>11</v>
      </c>
      <c r="G825" s="28">
        <v>1100</v>
      </c>
      <c r="H825" s="28">
        <v>2</v>
      </c>
      <c r="I825" s="30">
        <f>TownTeam1[[#This Row],[Selling price]]*TownTeam1[[#This Row],[Item quantity]]</f>
        <v>2200</v>
      </c>
      <c r="J825" s="30">
        <f>IF(TownTeam1[[#This Row],[Item name]]=" Jeans - Denim",TownTeam1[[#This Row],[Total sales]]*0.85,TownTeam1[[#This Row],[Total sales]])</f>
        <v>2200</v>
      </c>
    </row>
    <row r="826" spans="2:10" x14ac:dyDescent="0.25">
      <c r="B826" s="28">
        <v>822</v>
      </c>
      <c r="C826" s="35">
        <v>44287</v>
      </c>
      <c r="D826" s="29" t="s">
        <v>9</v>
      </c>
      <c r="E826" s="29" t="s">
        <v>21</v>
      </c>
      <c r="F826" s="29" t="s">
        <v>20</v>
      </c>
      <c r="G826" s="28">
        <v>1200</v>
      </c>
      <c r="H826" s="28">
        <v>1</v>
      </c>
      <c r="I826" s="30">
        <f>TownTeam1[[#This Row],[Selling price]]*TownTeam1[[#This Row],[Item quantity]]</f>
        <v>1200</v>
      </c>
      <c r="J826" s="30">
        <f>IF(TownTeam1[[#This Row],[Item name]]=" Jeans - Denim",TownTeam1[[#This Row],[Total sales]]*0.85,TownTeam1[[#This Row],[Total sales]])</f>
        <v>1200</v>
      </c>
    </row>
    <row r="827" spans="2:10" x14ac:dyDescent="0.25">
      <c r="B827" s="28">
        <v>823</v>
      </c>
      <c r="C827" s="35">
        <v>44288</v>
      </c>
      <c r="D827" s="29" t="s">
        <v>9</v>
      </c>
      <c r="E827" s="29" t="s">
        <v>10</v>
      </c>
      <c r="F827" s="29" t="s">
        <v>11</v>
      </c>
      <c r="G827" s="28">
        <v>1100</v>
      </c>
      <c r="H827" s="28">
        <v>1</v>
      </c>
      <c r="I827" s="30">
        <f>TownTeam1[[#This Row],[Selling price]]*TownTeam1[[#This Row],[Item quantity]]</f>
        <v>1100</v>
      </c>
      <c r="J827" s="30">
        <f>IF(TownTeam1[[#This Row],[Item name]]=" Jeans - Denim",TownTeam1[[#This Row],[Total sales]]*0.85,TownTeam1[[#This Row],[Total sales]])</f>
        <v>1100</v>
      </c>
    </row>
    <row r="828" spans="2:10" x14ac:dyDescent="0.25">
      <c r="B828" s="28">
        <v>824</v>
      </c>
      <c r="C828" s="35">
        <v>44289</v>
      </c>
      <c r="D828" s="29" t="s">
        <v>9</v>
      </c>
      <c r="E828" s="29" t="s">
        <v>12</v>
      </c>
      <c r="F828" s="29" t="s">
        <v>11</v>
      </c>
      <c r="G828" s="28">
        <v>900</v>
      </c>
      <c r="H828" s="28">
        <v>1</v>
      </c>
      <c r="I828" s="30">
        <f>TownTeam1[[#This Row],[Selling price]]*TownTeam1[[#This Row],[Item quantity]]</f>
        <v>900</v>
      </c>
      <c r="J828" s="30">
        <f>IF(TownTeam1[[#This Row],[Item name]]=" Jeans - Denim",TownTeam1[[#This Row],[Total sales]]*0.85,TownTeam1[[#This Row],[Total sales]])</f>
        <v>765</v>
      </c>
    </row>
    <row r="829" spans="2:10" x14ac:dyDescent="0.25">
      <c r="B829" s="28">
        <v>825</v>
      </c>
      <c r="C829" s="35">
        <v>44290</v>
      </c>
      <c r="D829" s="29" t="s">
        <v>9</v>
      </c>
      <c r="E829" s="29" t="s">
        <v>18</v>
      </c>
      <c r="F829" s="29" t="s">
        <v>17</v>
      </c>
      <c r="G829" s="28">
        <v>600</v>
      </c>
      <c r="H829" s="28">
        <v>1</v>
      </c>
      <c r="I829" s="30">
        <f>TownTeam1[[#This Row],[Selling price]]*TownTeam1[[#This Row],[Item quantity]]</f>
        <v>600</v>
      </c>
      <c r="J829" s="30">
        <f>IF(TownTeam1[[#This Row],[Item name]]=" Jeans - Denim",TownTeam1[[#This Row],[Total sales]]*0.85,TownTeam1[[#This Row],[Total sales]])</f>
        <v>600</v>
      </c>
    </row>
    <row r="830" spans="2:10" x14ac:dyDescent="0.25">
      <c r="B830" s="28">
        <v>826</v>
      </c>
      <c r="C830" s="35">
        <v>44291</v>
      </c>
      <c r="D830" s="29" t="s">
        <v>9</v>
      </c>
      <c r="E830" s="29" t="s">
        <v>22</v>
      </c>
      <c r="F830" s="29" t="s">
        <v>23</v>
      </c>
      <c r="G830" s="28">
        <v>900</v>
      </c>
      <c r="H830" s="28">
        <v>1</v>
      </c>
      <c r="I830" s="30">
        <f>TownTeam1[[#This Row],[Selling price]]*TownTeam1[[#This Row],[Item quantity]]</f>
        <v>900</v>
      </c>
      <c r="J830" s="30">
        <f>IF(TownTeam1[[#This Row],[Item name]]=" Jeans - Denim",TownTeam1[[#This Row],[Total sales]]*0.85,TownTeam1[[#This Row],[Total sales]])</f>
        <v>900</v>
      </c>
    </row>
    <row r="831" spans="2:10" x14ac:dyDescent="0.25">
      <c r="B831" s="28">
        <v>827</v>
      </c>
      <c r="C831" s="35">
        <v>44292</v>
      </c>
      <c r="D831" s="29" t="s">
        <v>9</v>
      </c>
      <c r="E831" s="29" t="s">
        <v>16</v>
      </c>
      <c r="F831" s="29" t="s">
        <v>17</v>
      </c>
      <c r="G831" s="28">
        <v>800</v>
      </c>
      <c r="H831" s="28">
        <v>1</v>
      </c>
      <c r="I831" s="30">
        <f>TownTeam1[[#This Row],[Selling price]]*TownTeam1[[#This Row],[Item quantity]]</f>
        <v>800</v>
      </c>
      <c r="J831" s="30">
        <f>IF(TownTeam1[[#This Row],[Item name]]=" Jeans - Denim",TownTeam1[[#This Row],[Total sales]]*0.85,TownTeam1[[#This Row],[Total sales]])</f>
        <v>800</v>
      </c>
    </row>
    <row r="832" spans="2:10" x14ac:dyDescent="0.25">
      <c r="B832" s="28">
        <v>828</v>
      </c>
      <c r="C832" s="35">
        <v>44293</v>
      </c>
      <c r="D832" s="29" t="s">
        <v>9</v>
      </c>
      <c r="E832" s="29" t="s">
        <v>10</v>
      </c>
      <c r="F832" s="29" t="s">
        <v>11</v>
      </c>
      <c r="G832" s="28">
        <v>1100</v>
      </c>
      <c r="H832" s="28">
        <v>1</v>
      </c>
      <c r="I832" s="30">
        <f>TownTeam1[[#This Row],[Selling price]]*TownTeam1[[#This Row],[Item quantity]]</f>
        <v>1100</v>
      </c>
      <c r="J832" s="30">
        <f>IF(TownTeam1[[#This Row],[Item name]]=" Jeans - Denim",TownTeam1[[#This Row],[Total sales]]*0.85,TownTeam1[[#This Row],[Total sales]])</f>
        <v>1100</v>
      </c>
    </row>
    <row r="833" spans="2:10" x14ac:dyDescent="0.25">
      <c r="B833" s="28">
        <v>829</v>
      </c>
      <c r="C833" s="35">
        <v>44294</v>
      </c>
      <c r="D833" s="29" t="s">
        <v>9</v>
      </c>
      <c r="E833" s="29" t="s">
        <v>14</v>
      </c>
      <c r="F833" s="29" t="s">
        <v>11</v>
      </c>
      <c r="G833" s="28">
        <v>900</v>
      </c>
      <c r="H833" s="28">
        <v>1</v>
      </c>
      <c r="I833" s="30">
        <f>TownTeam1[[#This Row],[Selling price]]*TownTeam1[[#This Row],[Item quantity]]</f>
        <v>900</v>
      </c>
      <c r="J833" s="30">
        <f>IF(TownTeam1[[#This Row],[Item name]]=" Jeans - Denim",TownTeam1[[#This Row],[Total sales]]*0.85,TownTeam1[[#This Row],[Total sales]])</f>
        <v>900</v>
      </c>
    </row>
    <row r="834" spans="2:10" x14ac:dyDescent="0.25">
      <c r="B834" s="28">
        <v>830</v>
      </c>
      <c r="C834" s="35">
        <v>44295</v>
      </c>
      <c r="D834" s="29" t="s">
        <v>9</v>
      </c>
      <c r="E834" s="29" t="s">
        <v>15</v>
      </c>
      <c r="F834" s="29" t="s">
        <v>11</v>
      </c>
      <c r="G834" s="28">
        <v>1000</v>
      </c>
      <c r="H834" s="28">
        <v>1</v>
      </c>
      <c r="I834" s="30">
        <f>TownTeam1[[#This Row],[Selling price]]*TownTeam1[[#This Row],[Item quantity]]</f>
        <v>1000</v>
      </c>
      <c r="J834" s="30">
        <f>IF(TownTeam1[[#This Row],[Item name]]=" Jeans - Denim",TownTeam1[[#This Row],[Total sales]]*0.85,TownTeam1[[#This Row],[Total sales]])</f>
        <v>1000</v>
      </c>
    </row>
    <row r="835" spans="2:10" x14ac:dyDescent="0.25">
      <c r="B835" s="28">
        <v>831</v>
      </c>
      <c r="C835" s="35">
        <v>44296</v>
      </c>
      <c r="D835" s="29" t="s">
        <v>9</v>
      </c>
      <c r="E835" s="29" t="s">
        <v>19</v>
      </c>
      <c r="F835" s="29" t="s">
        <v>20</v>
      </c>
      <c r="G835" s="28">
        <v>850</v>
      </c>
      <c r="H835" s="28">
        <v>1</v>
      </c>
      <c r="I835" s="30">
        <f>TownTeam1[[#This Row],[Selling price]]*TownTeam1[[#This Row],[Item quantity]]</f>
        <v>850</v>
      </c>
      <c r="J835" s="30">
        <f>IF(TownTeam1[[#This Row],[Item name]]=" Jeans - Denim",TownTeam1[[#This Row],[Total sales]]*0.85,TownTeam1[[#This Row],[Total sales]])</f>
        <v>850</v>
      </c>
    </row>
    <row r="836" spans="2:10" x14ac:dyDescent="0.25">
      <c r="B836" s="28">
        <v>832</v>
      </c>
      <c r="C836" s="35">
        <v>44297</v>
      </c>
      <c r="D836" s="29" t="s">
        <v>9</v>
      </c>
      <c r="E836" s="29" t="s">
        <v>18</v>
      </c>
      <c r="F836" s="29" t="s">
        <v>17</v>
      </c>
      <c r="G836" s="28">
        <v>600</v>
      </c>
      <c r="H836" s="28">
        <v>1</v>
      </c>
      <c r="I836" s="30">
        <f>TownTeam1[[#This Row],[Selling price]]*TownTeam1[[#This Row],[Item quantity]]</f>
        <v>600</v>
      </c>
      <c r="J836" s="30">
        <f>IF(TownTeam1[[#This Row],[Item name]]=" Jeans - Denim",TownTeam1[[#This Row],[Total sales]]*0.85,TownTeam1[[#This Row],[Total sales]])</f>
        <v>600</v>
      </c>
    </row>
    <row r="837" spans="2:10" x14ac:dyDescent="0.25">
      <c r="B837" s="28">
        <v>833</v>
      </c>
      <c r="C837" s="35">
        <v>44298</v>
      </c>
      <c r="D837" s="29" t="s">
        <v>9</v>
      </c>
      <c r="E837" s="29" t="s">
        <v>14</v>
      </c>
      <c r="F837" s="29" t="s">
        <v>11</v>
      </c>
      <c r="G837" s="28">
        <v>900</v>
      </c>
      <c r="H837" s="28">
        <v>1</v>
      </c>
      <c r="I837" s="30">
        <f>TownTeam1[[#This Row],[Selling price]]*TownTeam1[[#This Row],[Item quantity]]</f>
        <v>900</v>
      </c>
      <c r="J837" s="30">
        <f>IF(TownTeam1[[#This Row],[Item name]]=" Jeans - Denim",TownTeam1[[#This Row],[Total sales]]*0.85,TownTeam1[[#This Row],[Total sales]])</f>
        <v>900</v>
      </c>
    </row>
    <row r="838" spans="2:10" x14ac:dyDescent="0.25">
      <c r="B838" s="28">
        <v>834</v>
      </c>
      <c r="C838" s="35">
        <v>44299</v>
      </c>
      <c r="D838" s="29" t="s">
        <v>9</v>
      </c>
      <c r="E838" s="29" t="s">
        <v>15</v>
      </c>
      <c r="F838" s="29" t="s">
        <v>11</v>
      </c>
      <c r="G838" s="28">
        <v>1000</v>
      </c>
      <c r="H838" s="28">
        <v>1</v>
      </c>
      <c r="I838" s="30">
        <f>TownTeam1[[#This Row],[Selling price]]*TownTeam1[[#This Row],[Item quantity]]</f>
        <v>1000</v>
      </c>
      <c r="J838" s="30">
        <f>IF(TownTeam1[[#This Row],[Item name]]=" Jeans - Denim",TownTeam1[[#This Row],[Total sales]]*0.85,TownTeam1[[#This Row],[Total sales]])</f>
        <v>1000</v>
      </c>
    </row>
    <row r="839" spans="2:10" x14ac:dyDescent="0.25">
      <c r="B839" s="28">
        <v>835</v>
      </c>
      <c r="C839" s="35">
        <v>44300</v>
      </c>
      <c r="D839" s="29" t="s">
        <v>9</v>
      </c>
      <c r="E839" s="29" t="s">
        <v>14</v>
      </c>
      <c r="F839" s="29" t="s">
        <v>11</v>
      </c>
      <c r="G839" s="28">
        <v>900</v>
      </c>
      <c r="H839" s="28">
        <v>1</v>
      </c>
      <c r="I839" s="30">
        <f>TownTeam1[[#This Row],[Selling price]]*TownTeam1[[#This Row],[Item quantity]]</f>
        <v>900</v>
      </c>
      <c r="J839" s="30">
        <f>IF(TownTeam1[[#This Row],[Item name]]=" Jeans - Denim",TownTeam1[[#This Row],[Total sales]]*0.85,TownTeam1[[#This Row],[Total sales]])</f>
        <v>900</v>
      </c>
    </row>
    <row r="840" spans="2:10" x14ac:dyDescent="0.25">
      <c r="B840" s="28">
        <v>836</v>
      </c>
      <c r="C840" s="35">
        <v>44301</v>
      </c>
      <c r="D840" s="29" t="s">
        <v>9</v>
      </c>
      <c r="E840" s="29" t="s">
        <v>12</v>
      </c>
      <c r="F840" s="29" t="s">
        <v>11</v>
      </c>
      <c r="G840" s="28">
        <v>900</v>
      </c>
      <c r="H840" s="28">
        <v>1</v>
      </c>
      <c r="I840" s="30">
        <f>TownTeam1[[#This Row],[Selling price]]*TownTeam1[[#This Row],[Item quantity]]</f>
        <v>900</v>
      </c>
      <c r="J840" s="30">
        <f>IF(TownTeam1[[#This Row],[Item name]]=" Jeans - Denim",TownTeam1[[#This Row],[Total sales]]*0.85,TownTeam1[[#This Row],[Total sales]])</f>
        <v>765</v>
      </c>
    </row>
    <row r="841" spans="2:10" x14ac:dyDescent="0.25">
      <c r="B841" s="28">
        <v>837</v>
      </c>
      <c r="C841" s="35">
        <v>44302</v>
      </c>
      <c r="D841" s="29" t="s">
        <v>9</v>
      </c>
      <c r="E841" s="29" t="s">
        <v>18</v>
      </c>
      <c r="F841" s="29" t="s">
        <v>17</v>
      </c>
      <c r="G841" s="28">
        <v>600</v>
      </c>
      <c r="H841" s="28">
        <v>1</v>
      </c>
      <c r="I841" s="30">
        <f>TownTeam1[[#This Row],[Selling price]]*TownTeam1[[#This Row],[Item quantity]]</f>
        <v>600</v>
      </c>
      <c r="J841" s="30">
        <f>IF(TownTeam1[[#This Row],[Item name]]=" Jeans - Denim",TownTeam1[[#This Row],[Total sales]]*0.85,TownTeam1[[#This Row],[Total sales]])</f>
        <v>600</v>
      </c>
    </row>
    <row r="842" spans="2:10" x14ac:dyDescent="0.25">
      <c r="B842" s="28">
        <v>838</v>
      </c>
      <c r="C842" s="35">
        <v>44303</v>
      </c>
      <c r="D842" s="29" t="s">
        <v>9</v>
      </c>
      <c r="E842" s="29" t="s">
        <v>22</v>
      </c>
      <c r="F842" s="29" t="s">
        <v>23</v>
      </c>
      <c r="G842" s="28">
        <v>900</v>
      </c>
      <c r="H842" s="28">
        <v>1</v>
      </c>
      <c r="I842" s="30">
        <f>TownTeam1[[#This Row],[Selling price]]*TownTeam1[[#This Row],[Item quantity]]</f>
        <v>900</v>
      </c>
      <c r="J842" s="30">
        <f>IF(TownTeam1[[#This Row],[Item name]]=" Jeans - Denim",TownTeam1[[#This Row],[Total sales]]*0.85,TownTeam1[[#This Row],[Total sales]])</f>
        <v>900</v>
      </c>
    </row>
    <row r="843" spans="2:10" x14ac:dyDescent="0.25">
      <c r="B843" s="28">
        <v>839</v>
      </c>
      <c r="C843" s="35">
        <v>44304</v>
      </c>
      <c r="D843" s="29" t="s">
        <v>9</v>
      </c>
      <c r="E843" s="29" t="s">
        <v>22</v>
      </c>
      <c r="F843" s="29" t="s">
        <v>23</v>
      </c>
      <c r="G843" s="28">
        <v>800</v>
      </c>
      <c r="H843" s="28">
        <v>1</v>
      </c>
      <c r="I843" s="30">
        <f>TownTeam1[[#This Row],[Selling price]]*TownTeam1[[#This Row],[Item quantity]]</f>
        <v>800</v>
      </c>
      <c r="J843" s="30">
        <f>IF(TownTeam1[[#This Row],[Item name]]=" Jeans - Denim",TownTeam1[[#This Row],[Total sales]]*0.85,TownTeam1[[#This Row],[Total sales]])</f>
        <v>800</v>
      </c>
    </row>
    <row r="844" spans="2:10" x14ac:dyDescent="0.25">
      <c r="B844" s="28">
        <v>840</v>
      </c>
      <c r="C844" s="35">
        <v>44305</v>
      </c>
      <c r="D844" s="29" t="s">
        <v>9</v>
      </c>
      <c r="E844" s="29" t="s">
        <v>16</v>
      </c>
      <c r="F844" s="29" t="s">
        <v>17</v>
      </c>
      <c r="G844" s="28">
        <v>800</v>
      </c>
      <c r="H844" s="28">
        <v>1</v>
      </c>
      <c r="I844" s="30">
        <f>TownTeam1[[#This Row],[Selling price]]*TownTeam1[[#This Row],[Item quantity]]</f>
        <v>800</v>
      </c>
      <c r="J844" s="30">
        <f>IF(TownTeam1[[#This Row],[Item name]]=" Jeans - Denim",TownTeam1[[#This Row],[Total sales]]*0.85,TownTeam1[[#This Row],[Total sales]])</f>
        <v>800</v>
      </c>
    </row>
    <row r="845" spans="2:10" x14ac:dyDescent="0.25">
      <c r="B845" s="28">
        <v>841</v>
      </c>
      <c r="C845" s="35">
        <v>44306</v>
      </c>
      <c r="D845" s="29" t="s">
        <v>9</v>
      </c>
      <c r="E845" s="29" t="s">
        <v>18</v>
      </c>
      <c r="F845" s="29" t="s">
        <v>17</v>
      </c>
      <c r="G845" s="28">
        <v>600</v>
      </c>
      <c r="H845" s="28">
        <v>1</v>
      </c>
      <c r="I845" s="30">
        <f>TownTeam1[[#This Row],[Selling price]]*TownTeam1[[#This Row],[Item quantity]]</f>
        <v>600</v>
      </c>
      <c r="J845" s="30">
        <f>IF(TownTeam1[[#This Row],[Item name]]=" Jeans - Denim",TownTeam1[[#This Row],[Total sales]]*0.85,TownTeam1[[#This Row],[Total sales]])</f>
        <v>600</v>
      </c>
    </row>
    <row r="846" spans="2:10" x14ac:dyDescent="0.25">
      <c r="B846" s="28">
        <v>842</v>
      </c>
      <c r="C846" s="35">
        <v>44307</v>
      </c>
      <c r="D846" s="29" t="s">
        <v>9</v>
      </c>
      <c r="E846" s="29" t="s">
        <v>22</v>
      </c>
      <c r="F846" s="29" t="s">
        <v>23</v>
      </c>
      <c r="G846" s="28">
        <v>500</v>
      </c>
      <c r="H846" s="28">
        <v>1</v>
      </c>
      <c r="I846" s="30">
        <f>TownTeam1[[#This Row],[Selling price]]*TownTeam1[[#This Row],[Item quantity]]</f>
        <v>500</v>
      </c>
      <c r="J846" s="30">
        <f>IF(TownTeam1[[#This Row],[Item name]]=" Jeans - Denim",TownTeam1[[#This Row],[Total sales]]*0.85,TownTeam1[[#This Row],[Total sales]])</f>
        <v>500</v>
      </c>
    </row>
    <row r="847" spans="2:10" x14ac:dyDescent="0.25">
      <c r="B847" s="28">
        <v>843</v>
      </c>
      <c r="C847" s="35">
        <v>44308</v>
      </c>
      <c r="D847" s="29" t="s">
        <v>9</v>
      </c>
      <c r="E847" s="29" t="s">
        <v>14</v>
      </c>
      <c r="F847" s="29" t="s">
        <v>11</v>
      </c>
      <c r="G847" s="28">
        <v>900</v>
      </c>
      <c r="H847" s="28">
        <v>1</v>
      </c>
      <c r="I847" s="30">
        <f>TownTeam1[[#This Row],[Selling price]]*TownTeam1[[#This Row],[Item quantity]]</f>
        <v>900</v>
      </c>
      <c r="J847" s="30">
        <f>IF(TownTeam1[[#This Row],[Item name]]=" Jeans - Denim",TownTeam1[[#This Row],[Total sales]]*0.85,TownTeam1[[#This Row],[Total sales]])</f>
        <v>900</v>
      </c>
    </row>
    <row r="848" spans="2:10" x14ac:dyDescent="0.25">
      <c r="B848" s="28">
        <v>844</v>
      </c>
      <c r="C848" s="35">
        <v>44309</v>
      </c>
      <c r="D848" s="29" t="s">
        <v>9</v>
      </c>
      <c r="E848" s="29" t="s">
        <v>10</v>
      </c>
      <c r="F848" s="29" t="s">
        <v>11</v>
      </c>
      <c r="G848" s="28">
        <v>1100</v>
      </c>
      <c r="H848" s="28">
        <v>1</v>
      </c>
      <c r="I848" s="30">
        <f>TownTeam1[[#This Row],[Selling price]]*TownTeam1[[#This Row],[Item quantity]]</f>
        <v>1100</v>
      </c>
      <c r="J848" s="30">
        <f>IF(TownTeam1[[#This Row],[Item name]]=" Jeans - Denim",TownTeam1[[#This Row],[Total sales]]*0.85,TownTeam1[[#This Row],[Total sales]])</f>
        <v>1100</v>
      </c>
    </row>
    <row r="849" spans="2:10" x14ac:dyDescent="0.25">
      <c r="B849" s="28">
        <v>845</v>
      </c>
      <c r="C849" s="35">
        <v>44310</v>
      </c>
      <c r="D849" s="29" t="s">
        <v>9</v>
      </c>
      <c r="E849" s="29" t="s">
        <v>22</v>
      </c>
      <c r="F849" s="29" t="s">
        <v>23</v>
      </c>
      <c r="G849" s="28">
        <v>500</v>
      </c>
      <c r="H849" s="28">
        <v>1</v>
      </c>
      <c r="I849" s="30">
        <f>TownTeam1[[#This Row],[Selling price]]*TownTeam1[[#This Row],[Item quantity]]</f>
        <v>500</v>
      </c>
      <c r="J849" s="30">
        <f>IF(TownTeam1[[#This Row],[Item name]]=" Jeans - Denim",TownTeam1[[#This Row],[Total sales]]*0.85,TownTeam1[[#This Row],[Total sales]])</f>
        <v>500</v>
      </c>
    </row>
    <row r="850" spans="2:10" x14ac:dyDescent="0.25">
      <c r="B850" s="28">
        <v>846</v>
      </c>
      <c r="C850" s="35">
        <v>44311</v>
      </c>
      <c r="D850" s="29" t="s">
        <v>9</v>
      </c>
      <c r="E850" s="29" t="s">
        <v>18</v>
      </c>
      <c r="F850" s="29" t="s">
        <v>17</v>
      </c>
      <c r="G850" s="28">
        <v>600</v>
      </c>
      <c r="H850" s="28">
        <v>1</v>
      </c>
      <c r="I850" s="30">
        <f>TownTeam1[[#This Row],[Selling price]]*TownTeam1[[#This Row],[Item quantity]]</f>
        <v>600</v>
      </c>
      <c r="J850" s="30">
        <f>IF(TownTeam1[[#This Row],[Item name]]=" Jeans - Denim",TownTeam1[[#This Row],[Total sales]]*0.85,TownTeam1[[#This Row],[Total sales]])</f>
        <v>600</v>
      </c>
    </row>
    <row r="851" spans="2:10" x14ac:dyDescent="0.25">
      <c r="B851" s="28">
        <v>847</v>
      </c>
      <c r="C851" s="35">
        <v>44312</v>
      </c>
      <c r="D851" s="29" t="s">
        <v>9</v>
      </c>
      <c r="E851" s="29" t="s">
        <v>14</v>
      </c>
      <c r="F851" s="29" t="s">
        <v>11</v>
      </c>
      <c r="G851" s="28">
        <v>900</v>
      </c>
      <c r="H851" s="28">
        <v>1</v>
      </c>
      <c r="I851" s="30">
        <f>TownTeam1[[#This Row],[Selling price]]*TownTeam1[[#This Row],[Item quantity]]</f>
        <v>900</v>
      </c>
      <c r="J851" s="30">
        <f>IF(TownTeam1[[#This Row],[Item name]]=" Jeans - Denim",TownTeam1[[#This Row],[Total sales]]*0.85,TownTeam1[[#This Row],[Total sales]])</f>
        <v>900</v>
      </c>
    </row>
    <row r="852" spans="2:10" x14ac:dyDescent="0.25">
      <c r="B852" s="28">
        <v>848</v>
      </c>
      <c r="C852" s="35">
        <v>44313</v>
      </c>
      <c r="D852" s="29" t="s">
        <v>9</v>
      </c>
      <c r="E852" s="29" t="s">
        <v>22</v>
      </c>
      <c r="F852" s="29" t="s">
        <v>23</v>
      </c>
      <c r="G852" s="28">
        <v>500</v>
      </c>
      <c r="H852" s="28">
        <v>1</v>
      </c>
      <c r="I852" s="30">
        <f>TownTeam1[[#This Row],[Selling price]]*TownTeam1[[#This Row],[Item quantity]]</f>
        <v>500</v>
      </c>
      <c r="J852" s="30">
        <f>IF(TownTeam1[[#This Row],[Item name]]=" Jeans - Denim",TownTeam1[[#This Row],[Total sales]]*0.85,TownTeam1[[#This Row],[Total sales]])</f>
        <v>500</v>
      </c>
    </row>
    <row r="853" spans="2:10" x14ac:dyDescent="0.25">
      <c r="B853" s="28">
        <v>849</v>
      </c>
      <c r="C853" s="35">
        <v>44314</v>
      </c>
      <c r="D853" s="29" t="s">
        <v>9</v>
      </c>
      <c r="E853" s="29" t="s">
        <v>22</v>
      </c>
      <c r="F853" s="29" t="s">
        <v>23</v>
      </c>
      <c r="G853" s="28">
        <v>500</v>
      </c>
      <c r="H853" s="28">
        <v>1</v>
      </c>
      <c r="I853" s="30">
        <f>TownTeam1[[#This Row],[Selling price]]*TownTeam1[[#This Row],[Item quantity]]</f>
        <v>500</v>
      </c>
      <c r="J853" s="30">
        <f>IF(TownTeam1[[#This Row],[Item name]]=" Jeans - Denim",TownTeam1[[#This Row],[Total sales]]*0.85,TownTeam1[[#This Row],[Total sales]])</f>
        <v>500</v>
      </c>
    </row>
    <row r="854" spans="2:10" x14ac:dyDescent="0.25">
      <c r="B854" s="28">
        <v>850</v>
      </c>
      <c r="C854" s="35">
        <v>44315</v>
      </c>
      <c r="D854" s="29" t="s">
        <v>9</v>
      </c>
      <c r="E854" s="29" t="s">
        <v>18</v>
      </c>
      <c r="F854" s="29" t="s">
        <v>17</v>
      </c>
      <c r="G854" s="28">
        <v>600</v>
      </c>
      <c r="H854" s="28">
        <v>1</v>
      </c>
      <c r="I854" s="30">
        <f>TownTeam1[[#This Row],[Selling price]]*TownTeam1[[#This Row],[Item quantity]]</f>
        <v>600</v>
      </c>
      <c r="J854" s="30">
        <f>IF(TownTeam1[[#This Row],[Item name]]=" Jeans - Denim",TownTeam1[[#This Row],[Total sales]]*0.85,TownTeam1[[#This Row],[Total sales]])</f>
        <v>600</v>
      </c>
    </row>
    <row r="855" spans="2:10" x14ac:dyDescent="0.25">
      <c r="B855" s="28">
        <v>851</v>
      </c>
      <c r="C855" s="35">
        <v>44316</v>
      </c>
      <c r="D855" s="29" t="s">
        <v>9</v>
      </c>
      <c r="E855" s="29" t="s">
        <v>18</v>
      </c>
      <c r="F855" s="29" t="s">
        <v>17</v>
      </c>
      <c r="G855" s="28">
        <v>600</v>
      </c>
      <c r="H855" s="28">
        <v>1</v>
      </c>
      <c r="I855" s="30">
        <f>TownTeam1[[#This Row],[Selling price]]*TownTeam1[[#This Row],[Item quantity]]</f>
        <v>600</v>
      </c>
      <c r="J855" s="30">
        <f>IF(TownTeam1[[#This Row],[Item name]]=" Jeans - Denim",TownTeam1[[#This Row],[Total sales]]*0.85,TownTeam1[[#This Row],[Total sales]])</f>
        <v>600</v>
      </c>
    </row>
    <row r="856" spans="2:10" x14ac:dyDescent="0.25">
      <c r="B856" s="28">
        <v>852</v>
      </c>
      <c r="C856" s="35">
        <v>44317</v>
      </c>
      <c r="D856" s="29" t="s">
        <v>9</v>
      </c>
      <c r="E856" s="29" t="s">
        <v>16</v>
      </c>
      <c r="F856" s="29" t="s">
        <v>17</v>
      </c>
      <c r="G856" s="28">
        <v>800</v>
      </c>
      <c r="H856" s="28">
        <v>1</v>
      </c>
      <c r="I856" s="30">
        <f>TownTeam1[[#This Row],[Selling price]]*TownTeam1[[#This Row],[Item quantity]]</f>
        <v>800</v>
      </c>
      <c r="J856" s="30">
        <f>IF(TownTeam1[[#This Row],[Item name]]=" Jeans - Denim",TownTeam1[[#This Row],[Total sales]]*0.85,TownTeam1[[#This Row],[Total sales]])</f>
        <v>800</v>
      </c>
    </row>
    <row r="857" spans="2:10" x14ac:dyDescent="0.25">
      <c r="B857" s="28">
        <v>853</v>
      </c>
      <c r="C857" s="35">
        <v>44318</v>
      </c>
      <c r="D857" s="29" t="s">
        <v>9</v>
      </c>
      <c r="E857" s="29" t="s">
        <v>19</v>
      </c>
      <c r="F857" s="29" t="s">
        <v>20</v>
      </c>
      <c r="G857" s="28">
        <v>850</v>
      </c>
      <c r="H857" s="28">
        <v>1</v>
      </c>
      <c r="I857" s="30">
        <f>TownTeam1[[#This Row],[Selling price]]*TownTeam1[[#This Row],[Item quantity]]</f>
        <v>850</v>
      </c>
      <c r="J857" s="30">
        <f>IF(TownTeam1[[#This Row],[Item name]]=" Jeans - Denim",TownTeam1[[#This Row],[Total sales]]*0.85,TownTeam1[[#This Row],[Total sales]])</f>
        <v>850</v>
      </c>
    </row>
    <row r="858" spans="2:10" x14ac:dyDescent="0.25">
      <c r="B858" s="28">
        <v>854</v>
      </c>
      <c r="C858" s="35">
        <v>44319</v>
      </c>
      <c r="D858" s="29" t="s">
        <v>9</v>
      </c>
      <c r="E858" s="29" t="s">
        <v>22</v>
      </c>
      <c r="F858" s="29" t="s">
        <v>23</v>
      </c>
      <c r="G858" s="28">
        <v>500</v>
      </c>
      <c r="H858" s="28">
        <v>1</v>
      </c>
      <c r="I858" s="30">
        <f>TownTeam1[[#This Row],[Selling price]]*TownTeam1[[#This Row],[Item quantity]]</f>
        <v>500</v>
      </c>
      <c r="J858" s="30">
        <f>IF(TownTeam1[[#This Row],[Item name]]=" Jeans - Denim",TownTeam1[[#This Row],[Total sales]]*0.85,TownTeam1[[#This Row],[Total sales]])</f>
        <v>500</v>
      </c>
    </row>
    <row r="859" spans="2:10" x14ac:dyDescent="0.25">
      <c r="B859" s="28">
        <v>855</v>
      </c>
      <c r="C859" s="35">
        <v>44320</v>
      </c>
      <c r="D859" s="29" t="s">
        <v>9</v>
      </c>
      <c r="E859" s="29" t="s">
        <v>22</v>
      </c>
      <c r="F859" s="29" t="s">
        <v>23</v>
      </c>
      <c r="G859" s="28">
        <v>500</v>
      </c>
      <c r="H859" s="28">
        <v>1</v>
      </c>
      <c r="I859" s="30">
        <f>TownTeam1[[#This Row],[Selling price]]*TownTeam1[[#This Row],[Item quantity]]</f>
        <v>500</v>
      </c>
      <c r="J859" s="30">
        <f>IF(TownTeam1[[#This Row],[Item name]]=" Jeans - Denim",TownTeam1[[#This Row],[Total sales]]*0.85,TownTeam1[[#This Row],[Total sales]])</f>
        <v>500</v>
      </c>
    </row>
    <row r="860" spans="2:10" x14ac:dyDescent="0.25">
      <c r="B860" s="28">
        <v>856</v>
      </c>
      <c r="C860" s="35">
        <v>44321</v>
      </c>
      <c r="D860" s="29" t="s">
        <v>9</v>
      </c>
      <c r="E860" s="29" t="s">
        <v>10</v>
      </c>
      <c r="F860" s="29" t="s">
        <v>11</v>
      </c>
      <c r="G860" s="28">
        <v>1100</v>
      </c>
      <c r="H860" s="28">
        <v>1</v>
      </c>
      <c r="I860" s="30">
        <f>TownTeam1[[#This Row],[Selling price]]*TownTeam1[[#This Row],[Item quantity]]</f>
        <v>1100</v>
      </c>
      <c r="J860" s="30">
        <f>IF(TownTeam1[[#This Row],[Item name]]=" Jeans - Denim",TownTeam1[[#This Row],[Total sales]]*0.85,TownTeam1[[#This Row],[Total sales]])</f>
        <v>1100</v>
      </c>
    </row>
    <row r="861" spans="2:10" x14ac:dyDescent="0.25">
      <c r="B861" s="28">
        <v>857</v>
      </c>
      <c r="C861" s="35">
        <v>44322</v>
      </c>
      <c r="D861" s="29" t="s">
        <v>9</v>
      </c>
      <c r="E861" s="29" t="s">
        <v>22</v>
      </c>
      <c r="F861" s="29" t="s">
        <v>23</v>
      </c>
      <c r="G861" s="28">
        <v>500</v>
      </c>
      <c r="H861" s="28">
        <v>1</v>
      </c>
      <c r="I861" s="30">
        <f>TownTeam1[[#This Row],[Selling price]]*TownTeam1[[#This Row],[Item quantity]]</f>
        <v>500</v>
      </c>
      <c r="J861" s="30">
        <f>IF(TownTeam1[[#This Row],[Item name]]=" Jeans - Denim",TownTeam1[[#This Row],[Total sales]]*0.85,TownTeam1[[#This Row],[Total sales]])</f>
        <v>500</v>
      </c>
    </row>
    <row r="862" spans="2:10" x14ac:dyDescent="0.25">
      <c r="B862" s="28">
        <v>858</v>
      </c>
      <c r="C862" s="35">
        <v>44323</v>
      </c>
      <c r="D862" s="29" t="s">
        <v>9</v>
      </c>
      <c r="E862" s="29" t="s">
        <v>15</v>
      </c>
      <c r="F862" s="29" t="s">
        <v>11</v>
      </c>
      <c r="G862" s="28">
        <v>1000</v>
      </c>
      <c r="H862" s="28">
        <v>1</v>
      </c>
      <c r="I862" s="30">
        <f>TownTeam1[[#This Row],[Selling price]]*TownTeam1[[#This Row],[Item quantity]]</f>
        <v>1000</v>
      </c>
      <c r="J862" s="30">
        <f>IF(TownTeam1[[#This Row],[Item name]]=" Jeans - Denim",TownTeam1[[#This Row],[Total sales]]*0.85,TownTeam1[[#This Row],[Total sales]])</f>
        <v>1000</v>
      </c>
    </row>
    <row r="863" spans="2:10" x14ac:dyDescent="0.25">
      <c r="B863" s="28">
        <v>859</v>
      </c>
      <c r="C863" s="35">
        <v>44324</v>
      </c>
      <c r="D863" s="29" t="s">
        <v>9</v>
      </c>
      <c r="E863" s="29" t="s">
        <v>16</v>
      </c>
      <c r="F863" s="29" t="s">
        <v>17</v>
      </c>
      <c r="G863" s="28">
        <v>800</v>
      </c>
      <c r="H863" s="28">
        <v>1</v>
      </c>
      <c r="I863" s="30">
        <f>TownTeam1[[#This Row],[Selling price]]*TownTeam1[[#This Row],[Item quantity]]</f>
        <v>800</v>
      </c>
      <c r="J863" s="30">
        <f>IF(TownTeam1[[#This Row],[Item name]]=" Jeans - Denim",TownTeam1[[#This Row],[Total sales]]*0.85,TownTeam1[[#This Row],[Total sales]])</f>
        <v>800</v>
      </c>
    </row>
    <row r="864" spans="2:10" x14ac:dyDescent="0.25">
      <c r="B864" s="28">
        <v>860</v>
      </c>
      <c r="C864" s="35">
        <v>44325</v>
      </c>
      <c r="D864" s="29" t="s">
        <v>9</v>
      </c>
      <c r="E864" s="29" t="s">
        <v>24</v>
      </c>
      <c r="F864" s="29" t="s">
        <v>23</v>
      </c>
      <c r="G864" s="28">
        <v>600</v>
      </c>
      <c r="H864" s="28">
        <v>1</v>
      </c>
      <c r="I864" s="30">
        <f>TownTeam1[[#This Row],[Selling price]]*TownTeam1[[#This Row],[Item quantity]]</f>
        <v>600</v>
      </c>
      <c r="J864" s="30">
        <f>IF(TownTeam1[[#This Row],[Item name]]=" Jeans - Denim",TownTeam1[[#This Row],[Total sales]]*0.85,TownTeam1[[#This Row],[Total sales]])</f>
        <v>600</v>
      </c>
    </row>
    <row r="865" spans="2:10" x14ac:dyDescent="0.25">
      <c r="B865" s="28">
        <v>861</v>
      </c>
      <c r="C865" s="35">
        <v>44326</v>
      </c>
      <c r="D865" s="29" t="s">
        <v>9</v>
      </c>
      <c r="E865" s="29" t="s">
        <v>24</v>
      </c>
      <c r="F865" s="29" t="s">
        <v>23</v>
      </c>
      <c r="G865" s="28">
        <v>600</v>
      </c>
      <c r="H865" s="28">
        <v>1</v>
      </c>
      <c r="I865" s="30">
        <f>TownTeam1[[#This Row],[Selling price]]*TownTeam1[[#This Row],[Item quantity]]</f>
        <v>600</v>
      </c>
      <c r="J865" s="30">
        <f>IF(TownTeam1[[#This Row],[Item name]]=" Jeans - Denim",TownTeam1[[#This Row],[Total sales]]*0.85,TownTeam1[[#This Row],[Total sales]])</f>
        <v>600</v>
      </c>
    </row>
    <row r="866" spans="2:10" x14ac:dyDescent="0.25">
      <c r="B866" s="28">
        <v>862</v>
      </c>
      <c r="C866" s="35">
        <v>44327</v>
      </c>
      <c r="D866" s="29" t="s">
        <v>9</v>
      </c>
      <c r="E866" s="29" t="s">
        <v>19</v>
      </c>
      <c r="F866" s="29" t="s">
        <v>20</v>
      </c>
      <c r="G866" s="28">
        <v>850</v>
      </c>
      <c r="H866" s="28">
        <v>1</v>
      </c>
      <c r="I866" s="30">
        <f>TownTeam1[[#This Row],[Selling price]]*TownTeam1[[#This Row],[Item quantity]]</f>
        <v>850</v>
      </c>
      <c r="J866" s="30">
        <f>IF(TownTeam1[[#This Row],[Item name]]=" Jeans - Denim",TownTeam1[[#This Row],[Total sales]]*0.85,TownTeam1[[#This Row],[Total sales]])</f>
        <v>850</v>
      </c>
    </row>
    <row r="867" spans="2:10" x14ac:dyDescent="0.25">
      <c r="B867" s="28">
        <v>863</v>
      </c>
      <c r="C867" s="35">
        <v>44328</v>
      </c>
      <c r="D867" s="29" t="s">
        <v>9</v>
      </c>
      <c r="E867" s="29" t="s">
        <v>24</v>
      </c>
      <c r="F867" s="29" t="s">
        <v>23</v>
      </c>
      <c r="G867" s="28">
        <v>600</v>
      </c>
      <c r="H867" s="28">
        <v>1</v>
      </c>
      <c r="I867" s="30">
        <f>TownTeam1[[#This Row],[Selling price]]*TownTeam1[[#This Row],[Item quantity]]</f>
        <v>600</v>
      </c>
      <c r="J867" s="30">
        <f>IF(TownTeam1[[#This Row],[Item name]]=" Jeans - Denim",TownTeam1[[#This Row],[Total sales]]*0.85,TownTeam1[[#This Row],[Total sales]])</f>
        <v>600</v>
      </c>
    </row>
    <row r="868" spans="2:10" x14ac:dyDescent="0.25">
      <c r="B868" s="28">
        <v>864</v>
      </c>
      <c r="C868" s="35">
        <v>44329</v>
      </c>
      <c r="D868" s="29" t="s">
        <v>9</v>
      </c>
      <c r="E868" s="29" t="s">
        <v>18</v>
      </c>
      <c r="F868" s="29" t="s">
        <v>17</v>
      </c>
      <c r="G868" s="28">
        <v>600</v>
      </c>
      <c r="H868" s="28">
        <v>1</v>
      </c>
      <c r="I868" s="30">
        <f>TownTeam1[[#This Row],[Selling price]]*TownTeam1[[#This Row],[Item quantity]]</f>
        <v>600</v>
      </c>
      <c r="J868" s="30">
        <f>IF(TownTeam1[[#This Row],[Item name]]=" Jeans - Denim",TownTeam1[[#This Row],[Total sales]]*0.85,TownTeam1[[#This Row],[Total sales]])</f>
        <v>600</v>
      </c>
    </row>
    <row r="869" spans="2:10" x14ac:dyDescent="0.25">
      <c r="B869" s="28">
        <v>865</v>
      </c>
      <c r="C869" s="35">
        <v>44330</v>
      </c>
      <c r="D869" s="29" t="s">
        <v>9</v>
      </c>
      <c r="E869" s="29" t="s">
        <v>24</v>
      </c>
      <c r="F869" s="29" t="s">
        <v>23</v>
      </c>
      <c r="G869" s="28">
        <v>600</v>
      </c>
      <c r="H869" s="28">
        <v>1</v>
      </c>
      <c r="I869" s="30">
        <f>TownTeam1[[#This Row],[Selling price]]*TownTeam1[[#This Row],[Item quantity]]</f>
        <v>600</v>
      </c>
      <c r="J869" s="30">
        <f>IF(TownTeam1[[#This Row],[Item name]]=" Jeans - Denim",TownTeam1[[#This Row],[Total sales]]*0.85,TownTeam1[[#This Row],[Total sales]])</f>
        <v>600</v>
      </c>
    </row>
    <row r="870" spans="2:10" x14ac:dyDescent="0.25">
      <c r="B870" s="28">
        <v>866</v>
      </c>
      <c r="C870" s="35">
        <v>44331</v>
      </c>
      <c r="D870" s="29" t="s">
        <v>9</v>
      </c>
      <c r="E870" s="29" t="s">
        <v>10</v>
      </c>
      <c r="F870" s="29" t="s">
        <v>11</v>
      </c>
      <c r="G870" s="28">
        <v>1100</v>
      </c>
      <c r="H870" s="28">
        <v>1</v>
      </c>
      <c r="I870" s="30">
        <f>TownTeam1[[#This Row],[Selling price]]*TownTeam1[[#This Row],[Item quantity]]</f>
        <v>1100</v>
      </c>
      <c r="J870" s="30">
        <f>IF(TownTeam1[[#This Row],[Item name]]=" Jeans - Denim",TownTeam1[[#This Row],[Total sales]]*0.85,TownTeam1[[#This Row],[Total sales]])</f>
        <v>1100</v>
      </c>
    </row>
    <row r="871" spans="2:10" x14ac:dyDescent="0.25">
      <c r="B871" s="28">
        <v>867</v>
      </c>
      <c r="C871" s="35">
        <v>44332</v>
      </c>
      <c r="D871" s="29" t="s">
        <v>9</v>
      </c>
      <c r="E871" s="29" t="s">
        <v>18</v>
      </c>
      <c r="F871" s="29" t="s">
        <v>17</v>
      </c>
      <c r="G871" s="28">
        <v>600</v>
      </c>
      <c r="H871" s="28">
        <v>1</v>
      </c>
      <c r="I871" s="30">
        <f>TownTeam1[[#This Row],[Selling price]]*TownTeam1[[#This Row],[Item quantity]]</f>
        <v>600</v>
      </c>
      <c r="J871" s="30">
        <f>IF(TownTeam1[[#This Row],[Item name]]=" Jeans - Denim",TownTeam1[[#This Row],[Total sales]]*0.85,TownTeam1[[#This Row],[Total sales]])</f>
        <v>600</v>
      </c>
    </row>
    <row r="872" spans="2:10" x14ac:dyDescent="0.25">
      <c r="B872" s="28">
        <v>868</v>
      </c>
      <c r="C872" s="35">
        <v>44333</v>
      </c>
      <c r="D872" s="29" t="s">
        <v>9</v>
      </c>
      <c r="E872" s="29" t="s">
        <v>10</v>
      </c>
      <c r="F872" s="29" t="s">
        <v>11</v>
      </c>
      <c r="G872" s="28">
        <v>1100</v>
      </c>
      <c r="H872" s="28">
        <v>1</v>
      </c>
      <c r="I872" s="30">
        <f>TownTeam1[[#This Row],[Selling price]]*TownTeam1[[#This Row],[Item quantity]]</f>
        <v>1100</v>
      </c>
      <c r="J872" s="30">
        <f>IF(TownTeam1[[#This Row],[Item name]]=" Jeans - Denim",TownTeam1[[#This Row],[Total sales]]*0.85,TownTeam1[[#This Row],[Total sales]])</f>
        <v>1100</v>
      </c>
    </row>
    <row r="873" spans="2:10" x14ac:dyDescent="0.25">
      <c r="B873" s="28">
        <v>869</v>
      </c>
      <c r="C873" s="35">
        <v>44334</v>
      </c>
      <c r="D873" s="29" t="s">
        <v>9</v>
      </c>
      <c r="E873" s="29" t="s">
        <v>10</v>
      </c>
      <c r="F873" s="29" t="s">
        <v>11</v>
      </c>
      <c r="G873" s="28">
        <v>1100</v>
      </c>
      <c r="H873" s="28">
        <v>1</v>
      </c>
      <c r="I873" s="30">
        <f>TownTeam1[[#This Row],[Selling price]]*TownTeam1[[#This Row],[Item quantity]]</f>
        <v>1100</v>
      </c>
      <c r="J873" s="30">
        <f>IF(TownTeam1[[#This Row],[Item name]]=" Jeans - Denim",TownTeam1[[#This Row],[Total sales]]*0.85,TownTeam1[[#This Row],[Total sales]])</f>
        <v>1100</v>
      </c>
    </row>
    <row r="874" spans="2:10" x14ac:dyDescent="0.25">
      <c r="B874" s="28">
        <v>870</v>
      </c>
      <c r="C874" s="35">
        <v>44335</v>
      </c>
      <c r="D874" s="29" t="s">
        <v>9</v>
      </c>
      <c r="E874" s="29" t="s">
        <v>10</v>
      </c>
      <c r="F874" s="29" t="s">
        <v>11</v>
      </c>
      <c r="G874" s="28">
        <v>1100</v>
      </c>
      <c r="H874" s="28">
        <v>1</v>
      </c>
      <c r="I874" s="30">
        <f>TownTeam1[[#This Row],[Selling price]]*TownTeam1[[#This Row],[Item quantity]]</f>
        <v>1100</v>
      </c>
      <c r="J874" s="30">
        <f>IF(TownTeam1[[#This Row],[Item name]]=" Jeans - Denim",TownTeam1[[#This Row],[Total sales]]*0.85,TownTeam1[[#This Row],[Total sales]])</f>
        <v>1100</v>
      </c>
    </row>
    <row r="875" spans="2:10" x14ac:dyDescent="0.25">
      <c r="B875" s="28">
        <v>871</v>
      </c>
      <c r="C875" s="35">
        <v>44336</v>
      </c>
      <c r="D875" s="29" t="s">
        <v>9</v>
      </c>
      <c r="E875" s="29" t="s">
        <v>19</v>
      </c>
      <c r="F875" s="29" t="s">
        <v>20</v>
      </c>
      <c r="G875" s="28">
        <v>850</v>
      </c>
      <c r="H875" s="28">
        <v>1</v>
      </c>
      <c r="I875" s="30">
        <f>TownTeam1[[#This Row],[Selling price]]*TownTeam1[[#This Row],[Item quantity]]</f>
        <v>850</v>
      </c>
      <c r="J875" s="30">
        <f>IF(TownTeam1[[#This Row],[Item name]]=" Jeans - Denim",TownTeam1[[#This Row],[Total sales]]*0.85,TownTeam1[[#This Row],[Total sales]])</f>
        <v>850</v>
      </c>
    </row>
    <row r="876" spans="2:10" x14ac:dyDescent="0.25">
      <c r="B876" s="28">
        <v>872</v>
      </c>
      <c r="C876" s="35">
        <v>44337</v>
      </c>
      <c r="D876" s="29" t="s">
        <v>9</v>
      </c>
      <c r="E876" s="29" t="s">
        <v>18</v>
      </c>
      <c r="F876" s="29" t="s">
        <v>17</v>
      </c>
      <c r="G876" s="28">
        <v>600</v>
      </c>
      <c r="H876" s="28">
        <v>1</v>
      </c>
      <c r="I876" s="30">
        <f>TownTeam1[[#This Row],[Selling price]]*TownTeam1[[#This Row],[Item quantity]]</f>
        <v>600</v>
      </c>
      <c r="J876" s="30">
        <f>IF(TownTeam1[[#This Row],[Item name]]=" Jeans - Denim",TownTeam1[[#This Row],[Total sales]]*0.85,TownTeam1[[#This Row],[Total sales]])</f>
        <v>600</v>
      </c>
    </row>
    <row r="877" spans="2:10" x14ac:dyDescent="0.25">
      <c r="B877" s="28">
        <v>873</v>
      </c>
      <c r="C877" s="35">
        <v>44338</v>
      </c>
      <c r="D877" s="29" t="s">
        <v>9</v>
      </c>
      <c r="E877" s="29" t="s">
        <v>18</v>
      </c>
      <c r="F877" s="29" t="s">
        <v>17</v>
      </c>
      <c r="G877" s="28">
        <v>600</v>
      </c>
      <c r="H877" s="28">
        <v>1</v>
      </c>
      <c r="I877" s="30">
        <f>TownTeam1[[#This Row],[Selling price]]*TownTeam1[[#This Row],[Item quantity]]</f>
        <v>600</v>
      </c>
      <c r="J877" s="30">
        <f>IF(TownTeam1[[#This Row],[Item name]]=" Jeans - Denim",TownTeam1[[#This Row],[Total sales]]*0.85,TownTeam1[[#This Row],[Total sales]])</f>
        <v>600</v>
      </c>
    </row>
    <row r="878" spans="2:10" x14ac:dyDescent="0.25">
      <c r="B878" s="28">
        <v>874</v>
      </c>
      <c r="C878" s="35">
        <v>44339</v>
      </c>
      <c r="D878" s="29" t="s">
        <v>9</v>
      </c>
      <c r="E878" s="29" t="s">
        <v>16</v>
      </c>
      <c r="F878" s="29" t="s">
        <v>17</v>
      </c>
      <c r="G878" s="28">
        <v>800</v>
      </c>
      <c r="H878" s="28">
        <v>1</v>
      </c>
      <c r="I878" s="30">
        <f>TownTeam1[[#This Row],[Selling price]]*TownTeam1[[#This Row],[Item quantity]]</f>
        <v>800</v>
      </c>
      <c r="J878" s="30">
        <f>IF(TownTeam1[[#This Row],[Item name]]=" Jeans - Denim",TownTeam1[[#This Row],[Total sales]]*0.85,TownTeam1[[#This Row],[Total sales]])</f>
        <v>800</v>
      </c>
    </row>
    <row r="879" spans="2:10" x14ac:dyDescent="0.25">
      <c r="B879" s="28">
        <v>875</v>
      </c>
      <c r="C879" s="35">
        <v>44340</v>
      </c>
      <c r="D879" s="29" t="s">
        <v>9</v>
      </c>
      <c r="E879" s="29" t="s">
        <v>21</v>
      </c>
      <c r="F879" s="29" t="s">
        <v>20</v>
      </c>
      <c r="G879" s="28">
        <v>1200</v>
      </c>
      <c r="H879" s="28">
        <v>1</v>
      </c>
      <c r="I879" s="30">
        <f>TownTeam1[[#This Row],[Selling price]]*TownTeam1[[#This Row],[Item quantity]]</f>
        <v>1200</v>
      </c>
      <c r="J879" s="30">
        <f>IF(TownTeam1[[#This Row],[Item name]]=" Jeans - Denim",TownTeam1[[#This Row],[Total sales]]*0.85,TownTeam1[[#This Row],[Total sales]])</f>
        <v>1200</v>
      </c>
    </row>
    <row r="880" spans="2:10" x14ac:dyDescent="0.25">
      <c r="B880" s="28">
        <v>876</v>
      </c>
      <c r="C880" s="35">
        <v>44341</v>
      </c>
      <c r="D880" s="29" t="s">
        <v>9</v>
      </c>
      <c r="E880" s="29" t="s">
        <v>15</v>
      </c>
      <c r="F880" s="29" t="s">
        <v>11</v>
      </c>
      <c r="G880" s="28">
        <v>1000</v>
      </c>
      <c r="H880" s="28">
        <v>1</v>
      </c>
      <c r="I880" s="30">
        <f>TownTeam1[[#This Row],[Selling price]]*TownTeam1[[#This Row],[Item quantity]]</f>
        <v>1000</v>
      </c>
      <c r="J880" s="30">
        <f>IF(TownTeam1[[#This Row],[Item name]]=" Jeans - Denim",TownTeam1[[#This Row],[Total sales]]*0.85,TownTeam1[[#This Row],[Total sales]])</f>
        <v>1000</v>
      </c>
    </row>
    <row r="881" spans="2:10" x14ac:dyDescent="0.25">
      <c r="B881" s="28">
        <v>877</v>
      </c>
      <c r="C881" s="35">
        <v>44342</v>
      </c>
      <c r="D881" s="29" t="s">
        <v>9</v>
      </c>
      <c r="E881" s="29" t="s">
        <v>24</v>
      </c>
      <c r="F881" s="29" t="s">
        <v>23</v>
      </c>
      <c r="G881" s="28">
        <v>600</v>
      </c>
      <c r="H881" s="28">
        <v>1</v>
      </c>
      <c r="I881" s="30">
        <f>TownTeam1[[#This Row],[Selling price]]*TownTeam1[[#This Row],[Item quantity]]</f>
        <v>600</v>
      </c>
      <c r="J881" s="30">
        <f>IF(TownTeam1[[#This Row],[Item name]]=" Jeans - Denim",TownTeam1[[#This Row],[Total sales]]*0.85,TownTeam1[[#This Row],[Total sales]])</f>
        <v>600</v>
      </c>
    </row>
    <row r="882" spans="2:10" x14ac:dyDescent="0.25">
      <c r="B882" s="28">
        <v>878</v>
      </c>
      <c r="C882" s="35">
        <v>44343</v>
      </c>
      <c r="D882" s="29" t="s">
        <v>9</v>
      </c>
      <c r="E882" s="29" t="s">
        <v>14</v>
      </c>
      <c r="F882" s="29" t="s">
        <v>11</v>
      </c>
      <c r="G882" s="28">
        <v>900</v>
      </c>
      <c r="H882" s="28">
        <v>1</v>
      </c>
      <c r="I882" s="30">
        <f>TownTeam1[[#This Row],[Selling price]]*TownTeam1[[#This Row],[Item quantity]]</f>
        <v>900</v>
      </c>
      <c r="J882" s="30">
        <f>IF(TownTeam1[[#This Row],[Item name]]=" Jeans - Denim",TownTeam1[[#This Row],[Total sales]]*0.85,TownTeam1[[#This Row],[Total sales]])</f>
        <v>900</v>
      </c>
    </row>
    <row r="883" spans="2:10" x14ac:dyDescent="0.25">
      <c r="B883" s="28">
        <v>879</v>
      </c>
      <c r="C883" s="35">
        <v>44344</v>
      </c>
      <c r="D883" s="29" t="s">
        <v>9</v>
      </c>
      <c r="E883" s="29" t="s">
        <v>18</v>
      </c>
      <c r="F883" s="29" t="s">
        <v>17</v>
      </c>
      <c r="G883" s="28">
        <v>600</v>
      </c>
      <c r="H883" s="28">
        <v>1</v>
      </c>
      <c r="I883" s="30">
        <f>TownTeam1[[#This Row],[Selling price]]*TownTeam1[[#This Row],[Item quantity]]</f>
        <v>600</v>
      </c>
      <c r="J883" s="30">
        <f>IF(TownTeam1[[#This Row],[Item name]]=" Jeans - Denim",TownTeam1[[#This Row],[Total sales]]*0.85,TownTeam1[[#This Row],[Total sales]])</f>
        <v>600</v>
      </c>
    </row>
    <row r="884" spans="2:10" x14ac:dyDescent="0.25">
      <c r="B884" s="28">
        <v>880</v>
      </c>
      <c r="C884" s="35">
        <v>44345</v>
      </c>
      <c r="D884" s="29" t="s">
        <v>9</v>
      </c>
      <c r="E884" s="29" t="s">
        <v>12</v>
      </c>
      <c r="F884" s="29" t="s">
        <v>11</v>
      </c>
      <c r="G884" s="28">
        <v>900</v>
      </c>
      <c r="H884" s="28">
        <v>1</v>
      </c>
      <c r="I884" s="30">
        <f>TownTeam1[[#This Row],[Selling price]]*TownTeam1[[#This Row],[Item quantity]]</f>
        <v>900</v>
      </c>
      <c r="J884" s="30">
        <f>IF(TownTeam1[[#This Row],[Item name]]=" Jeans - Denim",TownTeam1[[#This Row],[Total sales]]*0.85,TownTeam1[[#This Row],[Total sales]])</f>
        <v>765</v>
      </c>
    </row>
    <row r="885" spans="2:10" x14ac:dyDescent="0.25">
      <c r="B885" s="28">
        <v>881</v>
      </c>
      <c r="C885" s="35">
        <v>44346</v>
      </c>
      <c r="D885" s="29" t="s">
        <v>9</v>
      </c>
      <c r="E885" s="29" t="s">
        <v>24</v>
      </c>
      <c r="F885" s="29" t="s">
        <v>23</v>
      </c>
      <c r="G885" s="28">
        <v>600</v>
      </c>
      <c r="H885" s="28">
        <v>1</v>
      </c>
      <c r="I885" s="30">
        <f>TownTeam1[[#This Row],[Selling price]]*TownTeam1[[#This Row],[Item quantity]]</f>
        <v>600</v>
      </c>
      <c r="J885" s="30">
        <f>IF(TownTeam1[[#This Row],[Item name]]=" Jeans - Denim",TownTeam1[[#This Row],[Total sales]]*0.85,TownTeam1[[#This Row],[Total sales]])</f>
        <v>600</v>
      </c>
    </row>
    <row r="886" spans="2:10" x14ac:dyDescent="0.25">
      <c r="B886" s="28">
        <v>882</v>
      </c>
      <c r="C886" s="35">
        <v>44347</v>
      </c>
      <c r="D886" s="29" t="s">
        <v>9</v>
      </c>
      <c r="E886" s="29" t="s">
        <v>19</v>
      </c>
      <c r="F886" s="29" t="s">
        <v>20</v>
      </c>
      <c r="G886" s="28">
        <v>850</v>
      </c>
      <c r="H886" s="28">
        <v>1</v>
      </c>
      <c r="I886" s="30">
        <f>TownTeam1[[#This Row],[Selling price]]*TownTeam1[[#This Row],[Item quantity]]</f>
        <v>850</v>
      </c>
      <c r="J886" s="30">
        <f>IF(TownTeam1[[#This Row],[Item name]]=" Jeans - Denim",TownTeam1[[#This Row],[Total sales]]*0.85,TownTeam1[[#This Row],[Total sales]])</f>
        <v>850</v>
      </c>
    </row>
    <row r="887" spans="2:10" x14ac:dyDescent="0.25">
      <c r="B887" s="28">
        <v>883</v>
      </c>
      <c r="C887" s="35">
        <v>44348</v>
      </c>
      <c r="D887" s="29" t="s">
        <v>9</v>
      </c>
      <c r="E887" s="29" t="s">
        <v>14</v>
      </c>
      <c r="F887" s="29" t="s">
        <v>11</v>
      </c>
      <c r="G887" s="28">
        <v>900</v>
      </c>
      <c r="H887" s="28">
        <v>1</v>
      </c>
      <c r="I887" s="30">
        <f>TownTeam1[[#This Row],[Selling price]]*TownTeam1[[#This Row],[Item quantity]]</f>
        <v>900</v>
      </c>
      <c r="J887" s="30">
        <f>IF(TownTeam1[[#This Row],[Item name]]=" Jeans - Denim",TownTeam1[[#This Row],[Total sales]]*0.85,TownTeam1[[#This Row],[Total sales]])</f>
        <v>900</v>
      </c>
    </row>
    <row r="888" spans="2:10" x14ac:dyDescent="0.25">
      <c r="B888" s="28">
        <v>884</v>
      </c>
      <c r="C888" s="35">
        <v>44349</v>
      </c>
      <c r="D888" s="29" t="s">
        <v>9</v>
      </c>
      <c r="E888" s="29" t="s">
        <v>10</v>
      </c>
      <c r="F888" s="29" t="s">
        <v>11</v>
      </c>
      <c r="G888" s="28">
        <v>1100</v>
      </c>
      <c r="H888" s="28">
        <v>1</v>
      </c>
      <c r="I888" s="30">
        <f>TownTeam1[[#This Row],[Selling price]]*TownTeam1[[#This Row],[Item quantity]]</f>
        <v>1100</v>
      </c>
      <c r="J888" s="30">
        <f>IF(TownTeam1[[#This Row],[Item name]]=" Jeans - Denim",TownTeam1[[#This Row],[Total sales]]*0.85,TownTeam1[[#This Row],[Total sales]])</f>
        <v>1100</v>
      </c>
    </row>
    <row r="889" spans="2:10" x14ac:dyDescent="0.25">
      <c r="B889" s="28">
        <v>885</v>
      </c>
      <c r="C889" s="35">
        <v>44350</v>
      </c>
      <c r="D889" s="29" t="s">
        <v>9</v>
      </c>
      <c r="E889" s="29" t="s">
        <v>14</v>
      </c>
      <c r="F889" s="29" t="s">
        <v>11</v>
      </c>
      <c r="G889" s="28">
        <v>900</v>
      </c>
      <c r="H889" s="28">
        <v>1</v>
      </c>
      <c r="I889" s="30">
        <f>TownTeam1[[#This Row],[Selling price]]*TownTeam1[[#This Row],[Item quantity]]</f>
        <v>900</v>
      </c>
      <c r="J889" s="30">
        <f>IF(TownTeam1[[#This Row],[Item name]]=" Jeans - Denim",TownTeam1[[#This Row],[Total sales]]*0.85,TownTeam1[[#This Row],[Total sales]])</f>
        <v>900</v>
      </c>
    </row>
    <row r="890" spans="2:10" x14ac:dyDescent="0.25">
      <c r="B890" s="28">
        <v>886</v>
      </c>
      <c r="C890" s="35">
        <v>44351</v>
      </c>
      <c r="D890" s="29" t="s">
        <v>9</v>
      </c>
      <c r="E890" s="29" t="s">
        <v>15</v>
      </c>
      <c r="F890" s="29" t="s">
        <v>11</v>
      </c>
      <c r="G890" s="28">
        <v>1000</v>
      </c>
      <c r="H890" s="28">
        <v>1</v>
      </c>
      <c r="I890" s="30">
        <f>TownTeam1[[#This Row],[Selling price]]*TownTeam1[[#This Row],[Item quantity]]</f>
        <v>1000</v>
      </c>
      <c r="J890" s="30">
        <f>IF(TownTeam1[[#This Row],[Item name]]=" Jeans - Denim",TownTeam1[[#This Row],[Total sales]]*0.85,TownTeam1[[#This Row],[Total sales]])</f>
        <v>1000</v>
      </c>
    </row>
    <row r="891" spans="2:10" x14ac:dyDescent="0.25">
      <c r="B891" s="28">
        <v>887</v>
      </c>
      <c r="C891" s="35">
        <v>44352</v>
      </c>
      <c r="D891" s="29" t="s">
        <v>9</v>
      </c>
      <c r="E891" s="29" t="s">
        <v>10</v>
      </c>
      <c r="F891" s="29" t="s">
        <v>11</v>
      </c>
      <c r="G891" s="28">
        <v>1100</v>
      </c>
      <c r="H891" s="28">
        <v>1</v>
      </c>
      <c r="I891" s="30">
        <f>TownTeam1[[#This Row],[Selling price]]*TownTeam1[[#This Row],[Item quantity]]</f>
        <v>1100</v>
      </c>
      <c r="J891" s="30">
        <f>IF(TownTeam1[[#This Row],[Item name]]=" Jeans - Denim",TownTeam1[[#This Row],[Total sales]]*0.85,TownTeam1[[#This Row],[Total sales]])</f>
        <v>1100</v>
      </c>
    </row>
    <row r="892" spans="2:10" x14ac:dyDescent="0.25">
      <c r="B892" s="28">
        <v>888</v>
      </c>
      <c r="C892" s="35">
        <v>44353</v>
      </c>
      <c r="D892" s="29" t="s">
        <v>9</v>
      </c>
      <c r="E892" s="29" t="s">
        <v>15</v>
      </c>
      <c r="F892" s="29" t="s">
        <v>11</v>
      </c>
      <c r="G892" s="28">
        <v>1000</v>
      </c>
      <c r="H892" s="28">
        <v>1</v>
      </c>
      <c r="I892" s="30">
        <f>TownTeam1[[#This Row],[Selling price]]*TownTeam1[[#This Row],[Item quantity]]</f>
        <v>1000</v>
      </c>
      <c r="J892" s="30">
        <f>IF(TownTeam1[[#This Row],[Item name]]=" Jeans - Denim",TownTeam1[[#This Row],[Total sales]]*0.85,TownTeam1[[#This Row],[Total sales]])</f>
        <v>1000</v>
      </c>
    </row>
    <row r="893" spans="2:10" x14ac:dyDescent="0.25">
      <c r="B893" s="28">
        <v>889</v>
      </c>
      <c r="C893" s="35">
        <v>44354</v>
      </c>
      <c r="D893" s="29" t="s">
        <v>9</v>
      </c>
      <c r="E893" s="29" t="s">
        <v>10</v>
      </c>
      <c r="F893" s="29" t="s">
        <v>11</v>
      </c>
      <c r="G893" s="28">
        <v>1100</v>
      </c>
      <c r="H893" s="28">
        <v>1</v>
      </c>
      <c r="I893" s="30">
        <f>TownTeam1[[#This Row],[Selling price]]*TownTeam1[[#This Row],[Item quantity]]</f>
        <v>1100</v>
      </c>
      <c r="J893" s="30">
        <f>IF(TownTeam1[[#This Row],[Item name]]=" Jeans - Denim",TownTeam1[[#This Row],[Total sales]]*0.85,TownTeam1[[#This Row],[Total sales]])</f>
        <v>1100</v>
      </c>
    </row>
    <row r="894" spans="2:10" x14ac:dyDescent="0.25">
      <c r="B894" s="28">
        <v>890</v>
      </c>
      <c r="C894" s="35">
        <v>44355</v>
      </c>
      <c r="D894" s="29" t="s">
        <v>9</v>
      </c>
      <c r="E894" s="29" t="s">
        <v>14</v>
      </c>
      <c r="F894" s="29" t="s">
        <v>11</v>
      </c>
      <c r="G894" s="28">
        <v>900</v>
      </c>
      <c r="H894" s="28">
        <v>1</v>
      </c>
      <c r="I894" s="30">
        <f>TownTeam1[[#This Row],[Selling price]]*TownTeam1[[#This Row],[Item quantity]]</f>
        <v>900</v>
      </c>
      <c r="J894" s="30">
        <f>IF(TownTeam1[[#This Row],[Item name]]=" Jeans - Denim",TownTeam1[[#This Row],[Total sales]]*0.85,TownTeam1[[#This Row],[Total sales]])</f>
        <v>900</v>
      </c>
    </row>
    <row r="895" spans="2:10" x14ac:dyDescent="0.25">
      <c r="B895" s="28">
        <v>891</v>
      </c>
      <c r="C895" s="35">
        <v>44356</v>
      </c>
      <c r="D895" s="29" t="s">
        <v>9</v>
      </c>
      <c r="E895" s="29" t="s">
        <v>12</v>
      </c>
      <c r="F895" s="29" t="s">
        <v>11</v>
      </c>
      <c r="G895" s="28">
        <v>900</v>
      </c>
      <c r="H895" s="28">
        <v>1</v>
      </c>
      <c r="I895" s="30">
        <f>TownTeam1[[#This Row],[Selling price]]*TownTeam1[[#This Row],[Item quantity]]</f>
        <v>900</v>
      </c>
      <c r="J895" s="30">
        <f>IF(TownTeam1[[#This Row],[Item name]]=" Jeans - Denim",TownTeam1[[#This Row],[Total sales]]*0.85,TownTeam1[[#This Row],[Total sales]])</f>
        <v>765</v>
      </c>
    </row>
    <row r="896" spans="2:10" x14ac:dyDescent="0.25">
      <c r="B896" s="28">
        <v>892</v>
      </c>
      <c r="C896" s="35">
        <v>44357</v>
      </c>
      <c r="D896" s="29" t="s">
        <v>9</v>
      </c>
      <c r="E896" s="29" t="s">
        <v>10</v>
      </c>
      <c r="F896" s="29" t="s">
        <v>11</v>
      </c>
      <c r="G896" s="28">
        <v>1100</v>
      </c>
      <c r="H896" s="28">
        <v>1</v>
      </c>
      <c r="I896" s="30">
        <f>TownTeam1[[#This Row],[Selling price]]*TownTeam1[[#This Row],[Item quantity]]</f>
        <v>1100</v>
      </c>
      <c r="J896" s="30">
        <f>IF(TownTeam1[[#This Row],[Item name]]=" Jeans - Denim",TownTeam1[[#This Row],[Total sales]]*0.85,TownTeam1[[#This Row],[Total sales]])</f>
        <v>1100</v>
      </c>
    </row>
    <row r="897" spans="2:10" x14ac:dyDescent="0.25">
      <c r="B897" s="28">
        <v>893</v>
      </c>
      <c r="C897" s="35">
        <v>44358</v>
      </c>
      <c r="D897" s="29" t="s">
        <v>9</v>
      </c>
      <c r="E897" s="29" t="s">
        <v>10</v>
      </c>
      <c r="F897" s="29" t="s">
        <v>11</v>
      </c>
      <c r="G897" s="28">
        <v>1100</v>
      </c>
      <c r="H897" s="28">
        <v>1</v>
      </c>
      <c r="I897" s="30">
        <f>TownTeam1[[#This Row],[Selling price]]*TownTeam1[[#This Row],[Item quantity]]</f>
        <v>1100</v>
      </c>
      <c r="J897" s="30">
        <f>IF(TownTeam1[[#This Row],[Item name]]=" Jeans - Denim",TownTeam1[[#This Row],[Total sales]]*0.85,TownTeam1[[#This Row],[Total sales]])</f>
        <v>1100</v>
      </c>
    </row>
    <row r="898" spans="2:10" x14ac:dyDescent="0.25">
      <c r="B898" s="28">
        <v>894</v>
      </c>
      <c r="C898" s="35">
        <v>44359</v>
      </c>
      <c r="D898" s="29" t="s">
        <v>9</v>
      </c>
      <c r="E898" s="29" t="s">
        <v>15</v>
      </c>
      <c r="F898" s="29" t="s">
        <v>11</v>
      </c>
      <c r="G898" s="28">
        <v>1000</v>
      </c>
      <c r="H898" s="28">
        <v>1</v>
      </c>
      <c r="I898" s="30">
        <f>TownTeam1[[#This Row],[Selling price]]*TownTeam1[[#This Row],[Item quantity]]</f>
        <v>1000</v>
      </c>
      <c r="J898" s="30">
        <f>IF(TownTeam1[[#This Row],[Item name]]=" Jeans - Denim",TownTeam1[[#This Row],[Total sales]]*0.85,TownTeam1[[#This Row],[Total sales]])</f>
        <v>1000</v>
      </c>
    </row>
    <row r="899" spans="2:10" x14ac:dyDescent="0.25">
      <c r="B899" s="28">
        <v>895</v>
      </c>
      <c r="C899" s="35">
        <v>44360</v>
      </c>
      <c r="D899" s="29" t="s">
        <v>9</v>
      </c>
      <c r="E899" s="29" t="s">
        <v>12</v>
      </c>
      <c r="F899" s="29" t="s">
        <v>11</v>
      </c>
      <c r="G899" s="28">
        <v>900</v>
      </c>
      <c r="H899" s="28">
        <v>1</v>
      </c>
      <c r="I899" s="30">
        <f>TownTeam1[[#This Row],[Selling price]]*TownTeam1[[#This Row],[Item quantity]]</f>
        <v>900</v>
      </c>
      <c r="J899" s="30">
        <f>IF(TownTeam1[[#This Row],[Item name]]=" Jeans - Denim",TownTeam1[[#This Row],[Total sales]]*0.85,TownTeam1[[#This Row],[Total sales]])</f>
        <v>765</v>
      </c>
    </row>
    <row r="900" spans="2:10" x14ac:dyDescent="0.25">
      <c r="B900" s="28">
        <v>896</v>
      </c>
      <c r="C900" s="35">
        <v>44361</v>
      </c>
      <c r="D900" s="29" t="s">
        <v>9</v>
      </c>
      <c r="E900" s="29" t="s">
        <v>18</v>
      </c>
      <c r="F900" s="29" t="s">
        <v>17</v>
      </c>
      <c r="G900" s="28">
        <v>600</v>
      </c>
      <c r="H900" s="28">
        <v>1</v>
      </c>
      <c r="I900" s="30">
        <f>TownTeam1[[#This Row],[Selling price]]*TownTeam1[[#This Row],[Item quantity]]</f>
        <v>600</v>
      </c>
      <c r="J900" s="30">
        <f>IF(TownTeam1[[#This Row],[Item name]]=" Jeans - Denim",TownTeam1[[#This Row],[Total sales]]*0.85,TownTeam1[[#This Row],[Total sales]])</f>
        <v>600</v>
      </c>
    </row>
    <row r="901" spans="2:10" x14ac:dyDescent="0.25">
      <c r="B901" s="28">
        <v>897</v>
      </c>
      <c r="C901" s="35">
        <v>44362</v>
      </c>
      <c r="D901" s="29" t="s">
        <v>9</v>
      </c>
      <c r="E901" s="29" t="s">
        <v>12</v>
      </c>
      <c r="F901" s="29" t="s">
        <v>11</v>
      </c>
      <c r="G901" s="28">
        <v>900</v>
      </c>
      <c r="H901" s="28">
        <v>1</v>
      </c>
      <c r="I901" s="30">
        <f>TownTeam1[[#This Row],[Selling price]]*TownTeam1[[#This Row],[Item quantity]]</f>
        <v>900</v>
      </c>
      <c r="J901" s="30">
        <f>IF(TownTeam1[[#This Row],[Item name]]=" Jeans - Denim",TownTeam1[[#This Row],[Total sales]]*0.85,TownTeam1[[#This Row],[Total sales]])</f>
        <v>765</v>
      </c>
    </row>
    <row r="902" spans="2:10" x14ac:dyDescent="0.25">
      <c r="B902" s="28">
        <v>898</v>
      </c>
      <c r="C902" s="35">
        <v>44363</v>
      </c>
      <c r="D902" s="29" t="s">
        <v>9</v>
      </c>
      <c r="E902" s="29" t="s">
        <v>18</v>
      </c>
      <c r="F902" s="29" t="s">
        <v>17</v>
      </c>
      <c r="G902" s="28">
        <v>600</v>
      </c>
      <c r="H902" s="28">
        <v>1</v>
      </c>
      <c r="I902" s="30">
        <f>TownTeam1[[#This Row],[Selling price]]*TownTeam1[[#This Row],[Item quantity]]</f>
        <v>600</v>
      </c>
      <c r="J902" s="30">
        <f>IF(TownTeam1[[#This Row],[Item name]]=" Jeans - Denim",TownTeam1[[#This Row],[Total sales]]*0.85,TownTeam1[[#This Row],[Total sales]])</f>
        <v>600</v>
      </c>
    </row>
    <row r="903" spans="2:10" x14ac:dyDescent="0.25">
      <c r="B903" s="28">
        <v>899</v>
      </c>
      <c r="C903" s="35">
        <v>44364</v>
      </c>
      <c r="D903" s="29" t="s">
        <v>9</v>
      </c>
      <c r="E903" s="29" t="s">
        <v>14</v>
      </c>
      <c r="F903" s="29" t="s">
        <v>11</v>
      </c>
      <c r="G903" s="28">
        <v>900</v>
      </c>
      <c r="H903" s="28">
        <v>1</v>
      </c>
      <c r="I903" s="30">
        <f>TownTeam1[[#This Row],[Selling price]]*TownTeam1[[#This Row],[Item quantity]]</f>
        <v>900</v>
      </c>
      <c r="J903" s="30">
        <f>IF(TownTeam1[[#This Row],[Item name]]=" Jeans - Denim",TownTeam1[[#This Row],[Total sales]]*0.85,TownTeam1[[#This Row],[Total sales]])</f>
        <v>900</v>
      </c>
    </row>
    <row r="904" spans="2:10" x14ac:dyDescent="0.25">
      <c r="B904" s="28">
        <v>900</v>
      </c>
      <c r="C904" s="35">
        <v>44365</v>
      </c>
      <c r="D904" s="29" t="s">
        <v>9</v>
      </c>
      <c r="E904" s="29" t="s">
        <v>10</v>
      </c>
      <c r="F904" s="29" t="s">
        <v>11</v>
      </c>
      <c r="G904" s="28">
        <v>1100</v>
      </c>
      <c r="H904" s="28">
        <v>2</v>
      </c>
      <c r="I904" s="30">
        <f>TownTeam1[[#This Row],[Selling price]]*TownTeam1[[#This Row],[Item quantity]]</f>
        <v>2200</v>
      </c>
      <c r="J904" s="30">
        <f>IF(TownTeam1[[#This Row],[Item name]]=" Jeans - Denim",TownTeam1[[#This Row],[Total sales]]*0.85,TownTeam1[[#This Row],[Total sales]])</f>
        <v>2200</v>
      </c>
    </row>
    <row r="905" spans="2:10" x14ac:dyDescent="0.25">
      <c r="B905" s="28">
        <v>901</v>
      </c>
      <c r="C905" s="35">
        <v>44366</v>
      </c>
      <c r="D905" s="29" t="s">
        <v>9</v>
      </c>
      <c r="E905" s="29" t="s">
        <v>18</v>
      </c>
      <c r="F905" s="29" t="s">
        <v>17</v>
      </c>
      <c r="G905" s="28">
        <v>600</v>
      </c>
      <c r="H905" s="28">
        <v>1</v>
      </c>
      <c r="I905" s="30">
        <f>TownTeam1[[#This Row],[Selling price]]*TownTeam1[[#This Row],[Item quantity]]</f>
        <v>600</v>
      </c>
      <c r="J905" s="30">
        <f>IF(TownTeam1[[#This Row],[Item name]]=" Jeans - Denim",TownTeam1[[#This Row],[Total sales]]*0.85,TownTeam1[[#This Row],[Total sales]])</f>
        <v>600</v>
      </c>
    </row>
    <row r="906" spans="2:10" x14ac:dyDescent="0.25">
      <c r="B906" s="28">
        <v>902</v>
      </c>
      <c r="C906" s="35">
        <v>44367</v>
      </c>
      <c r="D906" s="29" t="s">
        <v>9</v>
      </c>
      <c r="E906" s="29" t="s">
        <v>18</v>
      </c>
      <c r="F906" s="29" t="s">
        <v>17</v>
      </c>
      <c r="G906" s="28">
        <v>600</v>
      </c>
      <c r="H906" s="28">
        <v>1</v>
      </c>
      <c r="I906" s="30">
        <f>TownTeam1[[#This Row],[Selling price]]*TownTeam1[[#This Row],[Item quantity]]</f>
        <v>600</v>
      </c>
      <c r="J906" s="30">
        <f>IF(TownTeam1[[#This Row],[Item name]]=" Jeans - Denim",TownTeam1[[#This Row],[Total sales]]*0.85,TownTeam1[[#This Row],[Total sales]])</f>
        <v>600</v>
      </c>
    </row>
    <row r="907" spans="2:10" x14ac:dyDescent="0.25">
      <c r="B907" s="28">
        <v>903</v>
      </c>
      <c r="C907" s="35">
        <v>44368</v>
      </c>
      <c r="D907" s="29" t="s">
        <v>9</v>
      </c>
      <c r="E907" s="29" t="s">
        <v>14</v>
      </c>
      <c r="F907" s="29" t="s">
        <v>11</v>
      </c>
      <c r="G907" s="28">
        <v>900</v>
      </c>
      <c r="H907" s="28">
        <v>1</v>
      </c>
      <c r="I907" s="30">
        <f>TownTeam1[[#This Row],[Selling price]]*TownTeam1[[#This Row],[Item quantity]]</f>
        <v>900</v>
      </c>
      <c r="J907" s="30">
        <f>IF(TownTeam1[[#This Row],[Item name]]=" Jeans - Denim",TownTeam1[[#This Row],[Total sales]]*0.85,TownTeam1[[#This Row],[Total sales]])</f>
        <v>900</v>
      </c>
    </row>
    <row r="908" spans="2:10" x14ac:dyDescent="0.25">
      <c r="B908" s="28">
        <v>904</v>
      </c>
      <c r="C908" s="35">
        <v>44369</v>
      </c>
      <c r="D908" s="29" t="s">
        <v>9</v>
      </c>
      <c r="E908" s="29" t="s">
        <v>10</v>
      </c>
      <c r="F908" s="29" t="s">
        <v>11</v>
      </c>
      <c r="G908" s="28">
        <v>1100</v>
      </c>
      <c r="H908" s="28">
        <v>1</v>
      </c>
      <c r="I908" s="30">
        <f>TownTeam1[[#This Row],[Selling price]]*TownTeam1[[#This Row],[Item quantity]]</f>
        <v>1100</v>
      </c>
      <c r="J908" s="30">
        <f>IF(TownTeam1[[#This Row],[Item name]]=" Jeans - Denim",TownTeam1[[#This Row],[Total sales]]*0.85,TownTeam1[[#This Row],[Total sales]])</f>
        <v>1100</v>
      </c>
    </row>
    <row r="909" spans="2:10" x14ac:dyDescent="0.25">
      <c r="B909" s="28">
        <v>905</v>
      </c>
      <c r="C909" s="35">
        <v>44370</v>
      </c>
      <c r="D909" s="29" t="s">
        <v>9</v>
      </c>
      <c r="E909" s="29" t="s">
        <v>18</v>
      </c>
      <c r="F909" s="29" t="s">
        <v>17</v>
      </c>
      <c r="G909" s="28">
        <v>600</v>
      </c>
      <c r="H909" s="28">
        <v>1</v>
      </c>
      <c r="I909" s="30">
        <f>TownTeam1[[#This Row],[Selling price]]*TownTeam1[[#This Row],[Item quantity]]</f>
        <v>600</v>
      </c>
      <c r="J909" s="30">
        <f>IF(TownTeam1[[#This Row],[Item name]]=" Jeans - Denim",TownTeam1[[#This Row],[Total sales]]*0.85,TownTeam1[[#This Row],[Total sales]])</f>
        <v>600</v>
      </c>
    </row>
    <row r="910" spans="2:10" x14ac:dyDescent="0.25">
      <c r="B910" s="28">
        <v>906</v>
      </c>
      <c r="C910" s="35">
        <v>44371</v>
      </c>
      <c r="D910" s="29" t="s">
        <v>9</v>
      </c>
      <c r="E910" s="29" t="s">
        <v>24</v>
      </c>
      <c r="F910" s="29" t="s">
        <v>23</v>
      </c>
      <c r="G910" s="28">
        <v>600</v>
      </c>
      <c r="H910" s="28">
        <v>1</v>
      </c>
      <c r="I910" s="30">
        <f>TownTeam1[[#This Row],[Selling price]]*TownTeam1[[#This Row],[Item quantity]]</f>
        <v>600</v>
      </c>
      <c r="J910" s="30">
        <f>IF(TownTeam1[[#This Row],[Item name]]=" Jeans - Denim",TownTeam1[[#This Row],[Total sales]]*0.85,TownTeam1[[#This Row],[Total sales]])</f>
        <v>600</v>
      </c>
    </row>
    <row r="911" spans="2:10" x14ac:dyDescent="0.25">
      <c r="B911" s="28">
        <v>907</v>
      </c>
      <c r="C911" s="35">
        <v>44372</v>
      </c>
      <c r="D911" s="29" t="s">
        <v>9</v>
      </c>
      <c r="E911" s="29" t="s">
        <v>18</v>
      </c>
      <c r="F911" s="29" t="s">
        <v>17</v>
      </c>
      <c r="G911" s="28">
        <v>600</v>
      </c>
      <c r="H911" s="28">
        <v>1</v>
      </c>
      <c r="I911" s="30">
        <f>TownTeam1[[#This Row],[Selling price]]*TownTeam1[[#This Row],[Item quantity]]</f>
        <v>600</v>
      </c>
      <c r="J911" s="30">
        <f>IF(TownTeam1[[#This Row],[Item name]]=" Jeans - Denim",TownTeam1[[#This Row],[Total sales]]*0.85,TownTeam1[[#This Row],[Total sales]])</f>
        <v>600</v>
      </c>
    </row>
    <row r="912" spans="2:10" x14ac:dyDescent="0.25">
      <c r="B912" s="28">
        <v>908</v>
      </c>
      <c r="C912" s="35">
        <v>44373</v>
      </c>
      <c r="D912" s="29" t="s">
        <v>9</v>
      </c>
      <c r="E912" s="29" t="s">
        <v>24</v>
      </c>
      <c r="F912" s="29" t="s">
        <v>23</v>
      </c>
      <c r="G912" s="28">
        <v>600</v>
      </c>
      <c r="H912" s="28">
        <v>1</v>
      </c>
      <c r="I912" s="30">
        <f>TownTeam1[[#This Row],[Selling price]]*TownTeam1[[#This Row],[Item quantity]]</f>
        <v>600</v>
      </c>
      <c r="J912" s="30">
        <f>IF(TownTeam1[[#This Row],[Item name]]=" Jeans - Denim",TownTeam1[[#This Row],[Total sales]]*0.85,TownTeam1[[#This Row],[Total sales]])</f>
        <v>600</v>
      </c>
    </row>
    <row r="913" spans="2:10" x14ac:dyDescent="0.25">
      <c r="B913" s="28">
        <v>909</v>
      </c>
      <c r="C913" s="35">
        <v>44374</v>
      </c>
      <c r="D913" s="29" t="s">
        <v>9</v>
      </c>
      <c r="E913" s="29" t="s">
        <v>24</v>
      </c>
      <c r="F913" s="29" t="s">
        <v>23</v>
      </c>
      <c r="G913" s="28">
        <v>600</v>
      </c>
      <c r="H913" s="28">
        <v>2</v>
      </c>
      <c r="I913" s="30">
        <f>TownTeam1[[#This Row],[Selling price]]*TownTeam1[[#This Row],[Item quantity]]</f>
        <v>1200</v>
      </c>
      <c r="J913" s="30">
        <f>IF(TownTeam1[[#This Row],[Item name]]=" Jeans - Denim",TownTeam1[[#This Row],[Total sales]]*0.85,TownTeam1[[#This Row],[Total sales]])</f>
        <v>1200</v>
      </c>
    </row>
    <row r="914" spans="2:10" x14ac:dyDescent="0.25">
      <c r="B914" s="28">
        <v>910</v>
      </c>
      <c r="C914" s="35">
        <v>44375</v>
      </c>
      <c r="D914" s="29" t="s">
        <v>9</v>
      </c>
      <c r="E914" s="29" t="s">
        <v>18</v>
      </c>
      <c r="F914" s="29" t="s">
        <v>17</v>
      </c>
      <c r="G914" s="28">
        <v>600</v>
      </c>
      <c r="H914" s="28">
        <v>1</v>
      </c>
      <c r="I914" s="30">
        <f>TownTeam1[[#This Row],[Selling price]]*TownTeam1[[#This Row],[Item quantity]]</f>
        <v>600</v>
      </c>
      <c r="J914" s="30">
        <f>IF(TownTeam1[[#This Row],[Item name]]=" Jeans - Denim",TownTeam1[[#This Row],[Total sales]]*0.85,TownTeam1[[#This Row],[Total sales]])</f>
        <v>600</v>
      </c>
    </row>
    <row r="915" spans="2:10" x14ac:dyDescent="0.25">
      <c r="B915" s="28">
        <v>911</v>
      </c>
      <c r="C915" s="35">
        <v>44376</v>
      </c>
      <c r="D915" s="29" t="s">
        <v>9</v>
      </c>
      <c r="E915" s="29" t="s">
        <v>10</v>
      </c>
      <c r="F915" s="29" t="s">
        <v>11</v>
      </c>
      <c r="G915" s="28">
        <v>1100</v>
      </c>
      <c r="H915" s="28">
        <v>3</v>
      </c>
      <c r="I915" s="30">
        <f>TownTeam1[[#This Row],[Selling price]]*TownTeam1[[#This Row],[Item quantity]]</f>
        <v>3300</v>
      </c>
      <c r="J915" s="30">
        <f>IF(TownTeam1[[#This Row],[Item name]]=" Jeans - Denim",TownTeam1[[#This Row],[Total sales]]*0.85,TownTeam1[[#This Row],[Total sales]])</f>
        <v>3300</v>
      </c>
    </row>
    <row r="916" spans="2:10" x14ac:dyDescent="0.25">
      <c r="B916" s="28">
        <v>912</v>
      </c>
      <c r="C916" s="35">
        <v>44377</v>
      </c>
      <c r="D916" s="29" t="s">
        <v>9</v>
      </c>
      <c r="E916" s="29" t="s">
        <v>10</v>
      </c>
      <c r="F916" s="29" t="s">
        <v>11</v>
      </c>
      <c r="G916" s="28">
        <v>1100</v>
      </c>
      <c r="H916" s="28">
        <v>1</v>
      </c>
      <c r="I916" s="30">
        <f>TownTeam1[[#This Row],[Selling price]]*TownTeam1[[#This Row],[Item quantity]]</f>
        <v>1100</v>
      </c>
      <c r="J916" s="30">
        <f>IF(TownTeam1[[#This Row],[Item name]]=" Jeans - Denim",TownTeam1[[#This Row],[Total sales]]*0.85,TownTeam1[[#This Row],[Total sales]])</f>
        <v>1100</v>
      </c>
    </row>
    <row r="917" spans="2:10" x14ac:dyDescent="0.25">
      <c r="B917" s="28">
        <v>913</v>
      </c>
      <c r="C917" s="35">
        <v>44378</v>
      </c>
      <c r="D917" s="29" t="s">
        <v>9</v>
      </c>
      <c r="E917" s="29" t="s">
        <v>19</v>
      </c>
      <c r="F917" s="29" t="s">
        <v>20</v>
      </c>
      <c r="G917" s="28">
        <v>850</v>
      </c>
      <c r="H917" s="28">
        <v>1</v>
      </c>
      <c r="I917" s="30">
        <f>TownTeam1[[#This Row],[Selling price]]*TownTeam1[[#This Row],[Item quantity]]</f>
        <v>850</v>
      </c>
      <c r="J917" s="30">
        <f>IF(TownTeam1[[#This Row],[Item name]]=" Jeans - Denim",TownTeam1[[#This Row],[Total sales]]*0.85,TownTeam1[[#This Row],[Total sales]])</f>
        <v>850</v>
      </c>
    </row>
    <row r="918" spans="2:10" x14ac:dyDescent="0.25">
      <c r="B918" s="28">
        <v>914</v>
      </c>
      <c r="C918" s="35">
        <v>44379</v>
      </c>
      <c r="D918" s="29" t="s">
        <v>9</v>
      </c>
      <c r="E918" s="29" t="s">
        <v>21</v>
      </c>
      <c r="F918" s="29" t="s">
        <v>20</v>
      </c>
      <c r="G918" s="28">
        <v>1200</v>
      </c>
      <c r="H918" s="28">
        <v>1</v>
      </c>
      <c r="I918" s="30">
        <f>TownTeam1[[#This Row],[Selling price]]*TownTeam1[[#This Row],[Item quantity]]</f>
        <v>1200</v>
      </c>
      <c r="J918" s="30">
        <f>IF(TownTeam1[[#This Row],[Item name]]=" Jeans - Denim",TownTeam1[[#This Row],[Total sales]]*0.85,TownTeam1[[#This Row],[Total sales]])</f>
        <v>1200</v>
      </c>
    </row>
    <row r="919" spans="2:10" x14ac:dyDescent="0.25">
      <c r="B919" s="28">
        <v>915</v>
      </c>
      <c r="C919" s="35">
        <v>44380</v>
      </c>
      <c r="D919" s="29" t="s">
        <v>9</v>
      </c>
      <c r="E919" s="29" t="s">
        <v>16</v>
      </c>
      <c r="F919" s="29" t="s">
        <v>17</v>
      </c>
      <c r="G919" s="28">
        <v>800</v>
      </c>
      <c r="H919" s="28">
        <v>1</v>
      </c>
      <c r="I919" s="30">
        <f>TownTeam1[[#This Row],[Selling price]]*TownTeam1[[#This Row],[Item quantity]]</f>
        <v>800</v>
      </c>
      <c r="J919" s="30">
        <f>IF(TownTeam1[[#This Row],[Item name]]=" Jeans - Denim",TownTeam1[[#This Row],[Total sales]]*0.85,TownTeam1[[#This Row],[Total sales]])</f>
        <v>800</v>
      </c>
    </row>
    <row r="920" spans="2:10" x14ac:dyDescent="0.25">
      <c r="B920" s="28">
        <v>916</v>
      </c>
      <c r="C920" s="35">
        <v>44381</v>
      </c>
      <c r="D920" s="29" t="s">
        <v>9</v>
      </c>
      <c r="E920" s="29" t="s">
        <v>14</v>
      </c>
      <c r="F920" s="29" t="s">
        <v>11</v>
      </c>
      <c r="G920" s="28">
        <v>900</v>
      </c>
      <c r="H920" s="28">
        <v>1</v>
      </c>
      <c r="I920" s="30">
        <f>TownTeam1[[#This Row],[Selling price]]*TownTeam1[[#This Row],[Item quantity]]</f>
        <v>900</v>
      </c>
      <c r="J920" s="30">
        <f>IF(TownTeam1[[#This Row],[Item name]]=" Jeans - Denim",TownTeam1[[#This Row],[Total sales]]*0.85,TownTeam1[[#This Row],[Total sales]])</f>
        <v>900</v>
      </c>
    </row>
    <row r="921" spans="2:10" x14ac:dyDescent="0.25">
      <c r="B921" s="28">
        <v>917</v>
      </c>
      <c r="C921" s="35">
        <v>44382</v>
      </c>
      <c r="D921" s="29" t="s">
        <v>9</v>
      </c>
      <c r="E921" s="29" t="s">
        <v>10</v>
      </c>
      <c r="F921" s="29" t="s">
        <v>11</v>
      </c>
      <c r="G921" s="28">
        <v>1100</v>
      </c>
      <c r="H921" s="28">
        <v>1</v>
      </c>
      <c r="I921" s="30">
        <f>TownTeam1[[#This Row],[Selling price]]*TownTeam1[[#This Row],[Item quantity]]</f>
        <v>1100</v>
      </c>
      <c r="J921" s="30">
        <f>IF(TownTeam1[[#This Row],[Item name]]=" Jeans - Denim",TownTeam1[[#This Row],[Total sales]]*0.85,TownTeam1[[#This Row],[Total sales]])</f>
        <v>1100</v>
      </c>
    </row>
    <row r="922" spans="2:10" x14ac:dyDescent="0.25">
      <c r="B922" s="28">
        <v>918</v>
      </c>
      <c r="C922" s="35">
        <v>44383</v>
      </c>
      <c r="D922" s="29" t="s">
        <v>9</v>
      </c>
      <c r="E922" s="29" t="s">
        <v>12</v>
      </c>
      <c r="F922" s="29" t="s">
        <v>11</v>
      </c>
      <c r="G922" s="28">
        <v>900</v>
      </c>
      <c r="H922" s="28">
        <v>1</v>
      </c>
      <c r="I922" s="30">
        <f>TownTeam1[[#This Row],[Selling price]]*TownTeam1[[#This Row],[Item quantity]]</f>
        <v>900</v>
      </c>
      <c r="J922" s="30">
        <f>IF(TownTeam1[[#This Row],[Item name]]=" Jeans - Denim",TownTeam1[[#This Row],[Total sales]]*0.85,TownTeam1[[#This Row],[Total sales]])</f>
        <v>765</v>
      </c>
    </row>
    <row r="923" spans="2:10" x14ac:dyDescent="0.25">
      <c r="B923" s="28">
        <v>919</v>
      </c>
      <c r="C923" s="35">
        <v>44384</v>
      </c>
      <c r="D923" s="29" t="s">
        <v>9</v>
      </c>
      <c r="E923" s="29" t="s">
        <v>10</v>
      </c>
      <c r="F923" s="29" t="s">
        <v>11</v>
      </c>
      <c r="G923" s="28">
        <v>1100</v>
      </c>
      <c r="H923" s="28">
        <v>1</v>
      </c>
      <c r="I923" s="30">
        <f>TownTeam1[[#This Row],[Selling price]]*TownTeam1[[#This Row],[Item quantity]]</f>
        <v>1100</v>
      </c>
      <c r="J923" s="30">
        <f>IF(TownTeam1[[#This Row],[Item name]]=" Jeans - Denim",TownTeam1[[#This Row],[Total sales]]*0.85,TownTeam1[[#This Row],[Total sales]])</f>
        <v>1100</v>
      </c>
    </row>
    <row r="924" spans="2:10" x14ac:dyDescent="0.25">
      <c r="B924" s="28">
        <v>920</v>
      </c>
      <c r="C924" s="35">
        <v>44385</v>
      </c>
      <c r="D924" s="29" t="s">
        <v>9</v>
      </c>
      <c r="E924" s="29" t="s">
        <v>22</v>
      </c>
      <c r="F924" s="29" t="s">
        <v>23</v>
      </c>
      <c r="G924" s="28">
        <v>900</v>
      </c>
      <c r="H924" s="28">
        <v>1</v>
      </c>
      <c r="I924" s="30">
        <f>TownTeam1[[#This Row],[Selling price]]*TownTeam1[[#This Row],[Item quantity]]</f>
        <v>900</v>
      </c>
      <c r="J924" s="30">
        <f>IF(TownTeam1[[#This Row],[Item name]]=" Jeans - Denim",TownTeam1[[#This Row],[Total sales]]*0.85,TownTeam1[[#This Row],[Total sales]])</f>
        <v>900</v>
      </c>
    </row>
    <row r="925" spans="2:10" x14ac:dyDescent="0.25">
      <c r="B925" s="28">
        <v>921</v>
      </c>
      <c r="C925" s="35">
        <v>44386</v>
      </c>
      <c r="D925" s="29" t="s">
        <v>9</v>
      </c>
      <c r="E925" s="29" t="s">
        <v>22</v>
      </c>
      <c r="F925" s="29" t="s">
        <v>23</v>
      </c>
      <c r="G925" s="28">
        <v>500</v>
      </c>
      <c r="H925" s="28">
        <v>1</v>
      </c>
      <c r="I925" s="30">
        <f>TownTeam1[[#This Row],[Selling price]]*TownTeam1[[#This Row],[Item quantity]]</f>
        <v>500</v>
      </c>
      <c r="J925" s="30">
        <f>IF(TownTeam1[[#This Row],[Item name]]=" Jeans - Denim",TownTeam1[[#This Row],[Total sales]]*0.85,TownTeam1[[#This Row],[Total sales]])</f>
        <v>500</v>
      </c>
    </row>
    <row r="926" spans="2:10" x14ac:dyDescent="0.25">
      <c r="B926" s="28">
        <v>922</v>
      </c>
      <c r="C926" s="35">
        <v>44387</v>
      </c>
      <c r="D926" s="29" t="s">
        <v>9</v>
      </c>
      <c r="E926" s="29" t="s">
        <v>15</v>
      </c>
      <c r="F926" s="29" t="s">
        <v>11</v>
      </c>
      <c r="G926" s="28">
        <v>1000</v>
      </c>
      <c r="H926" s="28">
        <v>1</v>
      </c>
      <c r="I926" s="30">
        <f>TownTeam1[[#This Row],[Selling price]]*TownTeam1[[#This Row],[Item quantity]]</f>
        <v>1000</v>
      </c>
      <c r="J926" s="30">
        <f>IF(TownTeam1[[#This Row],[Item name]]=" Jeans - Denim",TownTeam1[[#This Row],[Total sales]]*0.85,TownTeam1[[#This Row],[Total sales]])</f>
        <v>1000</v>
      </c>
    </row>
    <row r="927" spans="2:10" x14ac:dyDescent="0.25">
      <c r="B927" s="28">
        <v>923</v>
      </c>
      <c r="C927" s="35">
        <v>44388</v>
      </c>
      <c r="D927" s="29" t="s">
        <v>9</v>
      </c>
      <c r="E927" s="29" t="s">
        <v>24</v>
      </c>
      <c r="F927" s="29" t="s">
        <v>23</v>
      </c>
      <c r="G927" s="28">
        <v>600</v>
      </c>
      <c r="H927" s="28">
        <v>1</v>
      </c>
      <c r="I927" s="30">
        <f>TownTeam1[[#This Row],[Selling price]]*TownTeam1[[#This Row],[Item quantity]]</f>
        <v>600</v>
      </c>
      <c r="J927" s="30">
        <f>IF(TownTeam1[[#This Row],[Item name]]=" Jeans - Denim",TownTeam1[[#This Row],[Total sales]]*0.85,TownTeam1[[#This Row],[Total sales]])</f>
        <v>600</v>
      </c>
    </row>
    <row r="928" spans="2:10" x14ac:dyDescent="0.25">
      <c r="B928" s="28">
        <v>924</v>
      </c>
      <c r="C928" s="35">
        <v>44389</v>
      </c>
      <c r="D928" s="29" t="s">
        <v>9</v>
      </c>
      <c r="E928" s="29" t="s">
        <v>12</v>
      </c>
      <c r="F928" s="29" t="s">
        <v>11</v>
      </c>
      <c r="G928" s="28">
        <v>900</v>
      </c>
      <c r="H928" s="28">
        <v>2</v>
      </c>
      <c r="I928" s="30">
        <f>TownTeam1[[#This Row],[Selling price]]*TownTeam1[[#This Row],[Item quantity]]</f>
        <v>1800</v>
      </c>
      <c r="J928" s="30">
        <f>IF(TownTeam1[[#This Row],[Item name]]=" Jeans - Denim",TownTeam1[[#This Row],[Total sales]]*0.85,TownTeam1[[#This Row],[Total sales]])</f>
        <v>1530</v>
      </c>
    </row>
    <row r="929" spans="2:10" x14ac:dyDescent="0.25">
      <c r="B929" s="28">
        <v>925</v>
      </c>
      <c r="C929" s="35">
        <v>44390</v>
      </c>
      <c r="D929" s="29" t="s">
        <v>9</v>
      </c>
      <c r="E929" s="29" t="s">
        <v>19</v>
      </c>
      <c r="F929" s="29" t="s">
        <v>20</v>
      </c>
      <c r="G929" s="28">
        <v>850</v>
      </c>
      <c r="H929" s="28">
        <v>1</v>
      </c>
      <c r="I929" s="30">
        <f>TownTeam1[[#This Row],[Selling price]]*TownTeam1[[#This Row],[Item quantity]]</f>
        <v>850</v>
      </c>
      <c r="J929" s="30">
        <f>IF(TownTeam1[[#This Row],[Item name]]=" Jeans - Denim",TownTeam1[[#This Row],[Total sales]]*0.85,TownTeam1[[#This Row],[Total sales]])</f>
        <v>850</v>
      </c>
    </row>
    <row r="930" spans="2:10" x14ac:dyDescent="0.25">
      <c r="B930" s="28">
        <v>926</v>
      </c>
      <c r="C930" s="35">
        <v>44391</v>
      </c>
      <c r="D930" s="29" t="s">
        <v>9</v>
      </c>
      <c r="E930" s="29" t="s">
        <v>16</v>
      </c>
      <c r="F930" s="29" t="s">
        <v>17</v>
      </c>
      <c r="G930" s="28">
        <v>800</v>
      </c>
      <c r="H930" s="28">
        <v>1</v>
      </c>
      <c r="I930" s="30">
        <f>TownTeam1[[#This Row],[Selling price]]*TownTeam1[[#This Row],[Item quantity]]</f>
        <v>800</v>
      </c>
      <c r="J930" s="30">
        <f>IF(TownTeam1[[#This Row],[Item name]]=" Jeans - Denim",TownTeam1[[#This Row],[Total sales]]*0.85,TownTeam1[[#This Row],[Total sales]])</f>
        <v>800</v>
      </c>
    </row>
    <row r="931" spans="2:10" x14ac:dyDescent="0.25">
      <c r="B931" s="28">
        <v>927</v>
      </c>
      <c r="C931" s="35">
        <v>44392</v>
      </c>
      <c r="D931" s="29" t="s">
        <v>9</v>
      </c>
      <c r="E931" s="29" t="s">
        <v>12</v>
      </c>
      <c r="F931" s="29" t="s">
        <v>11</v>
      </c>
      <c r="G931" s="28">
        <v>900</v>
      </c>
      <c r="H931" s="28">
        <v>1</v>
      </c>
      <c r="I931" s="30">
        <f>TownTeam1[[#This Row],[Selling price]]*TownTeam1[[#This Row],[Item quantity]]</f>
        <v>900</v>
      </c>
      <c r="J931" s="30">
        <f>IF(TownTeam1[[#This Row],[Item name]]=" Jeans - Denim",TownTeam1[[#This Row],[Total sales]]*0.85,TownTeam1[[#This Row],[Total sales]])</f>
        <v>765</v>
      </c>
    </row>
    <row r="932" spans="2:10" x14ac:dyDescent="0.25">
      <c r="B932" s="28">
        <v>928</v>
      </c>
      <c r="C932" s="35">
        <v>44393</v>
      </c>
      <c r="D932" s="29" t="s">
        <v>9</v>
      </c>
      <c r="E932" s="29" t="s">
        <v>12</v>
      </c>
      <c r="F932" s="29" t="s">
        <v>11</v>
      </c>
      <c r="G932" s="28">
        <v>900</v>
      </c>
      <c r="H932" s="28">
        <v>1</v>
      </c>
      <c r="I932" s="30">
        <f>TownTeam1[[#This Row],[Selling price]]*TownTeam1[[#This Row],[Item quantity]]</f>
        <v>900</v>
      </c>
      <c r="J932" s="30">
        <f>IF(TownTeam1[[#This Row],[Item name]]=" Jeans - Denim",TownTeam1[[#This Row],[Total sales]]*0.85,TownTeam1[[#This Row],[Total sales]])</f>
        <v>765</v>
      </c>
    </row>
    <row r="933" spans="2:10" x14ac:dyDescent="0.25">
      <c r="B933" s="28">
        <v>929</v>
      </c>
      <c r="C933" s="35">
        <v>44394</v>
      </c>
      <c r="D933" s="29" t="s">
        <v>9</v>
      </c>
      <c r="E933" s="29" t="s">
        <v>10</v>
      </c>
      <c r="F933" s="29" t="s">
        <v>11</v>
      </c>
      <c r="G933" s="28">
        <v>1100</v>
      </c>
      <c r="H933" s="28">
        <v>1</v>
      </c>
      <c r="I933" s="30">
        <f>TownTeam1[[#This Row],[Selling price]]*TownTeam1[[#This Row],[Item quantity]]</f>
        <v>1100</v>
      </c>
      <c r="J933" s="30">
        <f>IF(TownTeam1[[#This Row],[Item name]]=" Jeans - Denim",TownTeam1[[#This Row],[Total sales]]*0.85,TownTeam1[[#This Row],[Total sales]])</f>
        <v>1100</v>
      </c>
    </row>
    <row r="934" spans="2:10" x14ac:dyDescent="0.25">
      <c r="B934" s="28">
        <v>930</v>
      </c>
      <c r="C934" s="35">
        <v>44395</v>
      </c>
      <c r="D934" s="29" t="s">
        <v>9</v>
      </c>
      <c r="E934" s="29" t="s">
        <v>14</v>
      </c>
      <c r="F934" s="29" t="s">
        <v>11</v>
      </c>
      <c r="G934" s="28">
        <v>900</v>
      </c>
      <c r="H934" s="28">
        <v>1</v>
      </c>
      <c r="I934" s="30">
        <f>TownTeam1[[#This Row],[Selling price]]*TownTeam1[[#This Row],[Item quantity]]</f>
        <v>900</v>
      </c>
      <c r="J934" s="30">
        <f>IF(TownTeam1[[#This Row],[Item name]]=" Jeans - Denim",TownTeam1[[#This Row],[Total sales]]*0.85,TownTeam1[[#This Row],[Total sales]])</f>
        <v>900</v>
      </c>
    </row>
    <row r="935" spans="2:10" x14ac:dyDescent="0.25">
      <c r="B935" s="28">
        <v>931</v>
      </c>
      <c r="C935" s="35">
        <v>44396</v>
      </c>
      <c r="D935" s="29" t="s">
        <v>9</v>
      </c>
      <c r="E935" s="29" t="s">
        <v>18</v>
      </c>
      <c r="F935" s="29" t="s">
        <v>17</v>
      </c>
      <c r="G935" s="28">
        <v>600</v>
      </c>
      <c r="H935" s="28">
        <v>1</v>
      </c>
      <c r="I935" s="30">
        <f>TownTeam1[[#This Row],[Selling price]]*TownTeam1[[#This Row],[Item quantity]]</f>
        <v>600</v>
      </c>
      <c r="J935" s="30">
        <f>IF(TownTeam1[[#This Row],[Item name]]=" Jeans - Denim",TownTeam1[[#This Row],[Total sales]]*0.85,TownTeam1[[#This Row],[Total sales]])</f>
        <v>600</v>
      </c>
    </row>
    <row r="936" spans="2:10" x14ac:dyDescent="0.25">
      <c r="B936" s="28">
        <v>932</v>
      </c>
      <c r="C936" s="35">
        <v>44397</v>
      </c>
      <c r="D936" s="29" t="s">
        <v>9</v>
      </c>
      <c r="E936" s="29" t="s">
        <v>18</v>
      </c>
      <c r="F936" s="29" t="s">
        <v>17</v>
      </c>
      <c r="G936" s="28">
        <v>600</v>
      </c>
      <c r="H936" s="28">
        <v>1</v>
      </c>
      <c r="I936" s="30">
        <f>TownTeam1[[#This Row],[Selling price]]*TownTeam1[[#This Row],[Item quantity]]</f>
        <v>600</v>
      </c>
      <c r="J936" s="30">
        <f>IF(TownTeam1[[#This Row],[Item name]]=" Jeans - Denim",TownTeam1[[#This Row],[Total sales]]*0.85,TownTeam1[[#This Row],[Total sales]])</f>
        <v>600</v>
      </c>
    </row>
    <row r="937" spans="2:10" x14ac:dyDescent="0.25">
      <c r="B937" s="28">
        <v>933</v>
      </c>
      <c r="C937" s="35">
        <v>44398</v>
      </c>
      <c r="D937" s="29" t="s">
        <v>9</v>
      </c>
      <c r="E937" s="29" t="s">
        <v>14</v>
      </c>
      <c r="F937" s="29" t="s">
        <v>11</v>
      </c>
      <c r="G937" s="28">
        <v>900</v>
      </c>
      <c r="H937" s="28">
        <v>1</v>
      </c>
      <c r="I937" s="30">
        <f>TownTeam1[[#This Row],[Selling price]]*TownTeam1[[#This Row],[Item quantity]]</f>
        <v>900</v>
      </c>
      <c r="J937" s="30">
        <f>IF(TownTeam1[[#This Row],[Item name]]=" Jeans - Denim",TownTeam1[[#This Row],[Total sales]]*0.85,TownTeam1[[#This Row],[Total sales]])</f>
        <v>900</v>
      </c>
    </row>
    <row r="938" spans="2:10" x14ac:dyDescent="0.25">
      <c r="B938" s="28">
        <v>934</v>
      </c>
      <c r="C938" s="35">
        <v>44399</v>
      </c>
      <c r="D938" s="29" t="s">
        <v>9</v>
      </c>
      <c r="E938" s="29" t="s">
        <v>19</v>
      </c>
      <c r="F938" s="29" t="s">
        <v>20</v>
      </c>
      <c r="G938" s="28">
        <v>850</v>
      </c>
      <c r="H938" s="28">
        <v>1</v>
      </c>
      <c r="I938" s="30">
        <f>TownTeam1[[#This Row],[Selling price]]*TownTeam1[[#This Row],[Item quantity]]</f>
        <v>850</v>
      </c>
      <c r="J938" s="30">
        <f>IF(TownTeam1[[#This Row],[Item name]]=" Jeans - Denim",TownTeam1[[#This Row],[Total sales]]*0.85,TownTeam1[[#This Row],[Total sales]])</f>
        <v>850</v>
      </c>
    </row>
    <row r="939" spans="2:10" x14ac:dyDescent="0.25">
      <c r="B939" s="28">
        <v>935</v>
      </c>
      <c r="C939" s="35">
        <v>44400</v>
      </c>
      <c r="D939" s="29" t="s">
        <v>9</v>
      </c>
      <c r="E939" s="29" t="s">
        <v>14</v>
      </c>
      <c r="F939" s="29" t="s">
        <v>11</v>
      </c>
      <c r="G939" s="28">
        <v>900</v>
      </c>
      <c r="H939" s="28">
        <v>1</v>
      </c>
      <c r="I939" s="30">
        <f>TownTeam1[[#This Row],[Selling price]]*TownTeam1[[#This Row],[Item quantity]]</f>
        <v>900</v>
      </c>
      <c r="J939" s="30">
        <f>IF(TownTeam1[[#This Row],[Item name]]=" Jeans - Denim",TownTeam1[[#This Row],[Total sales]]*0.85,TownTeam1[[#This Row],[Total sales]])</f>
        <v>900</v>
      </c>
    </row>
    <row r="940" spans="2:10" x14ac:dyDescent="0.25">
      <c r="B940" s="28">
        <v>936</v>
      </c>
      <c r="C940" s="35">
        <v>44401</v>
      </c>
      <c r="D940" s="29" t="s">
        <v>9</v>
      </c>
      <c r="E940" s="29" t="s">
        <v>18</v>
      </c>
      <c r="F940" s="29" t="s">
        <v>17</v>
      </c>
      <c r="G940" s="28">
        <v>600</v>
      </c>
      <c r="H940" s="28">
        <v>1</v>
      </c>
      <c r="I940" s="30">
        <f>TownTeam1[[#This Row],[Selling price]]*TownTeam1[[#This Row],[Item quantity]]</f>
        <v>600</v>
      </c>
      <c r="J940" s="30">
        <f>IF(TownTeam1[[#This Row],[Item name]]=" Jeans - Denim",TownTeam1[[#This Row],[Total sales]]*0.85,TownTeam1[[#This Row],[Total sales]])</f>
        <v>600</v>
      </c>
    </row>
    <row r="941" spans="2:10" x14ac:dyDescent="0.25">
      <c r="B941" s="28">
        <v>937</v>
      </c>
      <c r="C941" s="35">
        <v>44402</v>
      </c>
      <c r="D941" s="29" t="s">
        <v>9</v>
      </c>
      <c r="E941" s="29" t="s">
        <v>18</v>
      </c>
      <c r="F941" s="29" t="s">
        <v>17</v>
      </c>
      <c r="G941" s="28">
        <v>600</v>
      </c>
      <c r="H941" s="28">
        <v>1</v>
      </c>
      <c r="I941" s="30">
        <f>TownTeam1[[#This Row],[Selling price]]*TownTeam1[[#This Row],[Item quantity]]</f>
        <v>600</v>
      </c>
      <c r="J941" s="30">
        <f>IF(TownTeam1[[#This Row],[Item name]]=" Jeans - Denim",TownTeam1[[#This Row],[Total sales]]*0.85,TownTeam1[[#This Row],[Total sales]])</f>
        <v>600</v>
      </c>
    </row>
    <row r="942" spans="2:10" x14ac:dyDescent="0.25">
      <c r="B942" s="28">
        <v>938</v>
      </c>
      <c r="C942" s="35">
        <v>44403</v>
      </c>
      <c r="D942" s="29" t="s">
        <v>9</v>
      </c>
      <c r="E942" s="29" t="s">
        <v>10</v>
      </c>
      <c r="F942" s="29" t="s">
        <v>11</v>
      </c>
      <c r="G942" s="28">
        <v>1100</v>
      </c>
      <c r="H942" s="28">
        <v>1</v>
      </c>
      <c r="I942" s="30">
        <f>TownTeam1[[#This Row],[Selling price]]*TownTeam1[[#This Row],[Item quantity]]</f>
        <v>1100</v>
      </c>
      <c r="J942" s="30">
        <f>IF(TownTeam1[[#This Row],[Item name]]=" Jeans - Denim",TownTeam1[[#This Row],[Total sales]]*0.85,TownTeam1[[#This Row],[Total sales]])</f>
        <v>1100</v>
      </c>
    </row>
    <row r="943" spans="2:10" x14ac:dyDescent="0.25">
      <c r="B943" s="28">
        <v>939</v>
      </c>
      <c r="C943" s="35">
        <v>44404</v>
      </c>
      <c r="D943" s="29" t="s">
        <v>9</v>
      </c>
      <c r="E943" s="29" t="s">
        <v>12</v>
      </c>
      <c r="F943" s="29" t="s">
        <v>11</v>
      </c>
      <c r="G943" s="28">
        <v>900</v>
      </c>
      <c r="H943" s="28">
        <v>1</v>
      </c>
      <c r="I943" s="30">
        <f>TownTeam1[[#This Row],[Selling price]]*TownTeam1[[#This Row],[Item quantity]]</f>
        <v>900</v>
      </c>
      <c r="J943" s="30">
        <f>IF(TownTeam1[[#This Row],[Item name]]=" Jeans - Denim",TownTeam1[[#This Row],[Total sales]]*0.85,TownTeam1[[#This Row],[Total sales]])</f>
        <v>765</v>
      </c>
    </row>
    <row r="944" spans="2:10" x14ac:dyDescent="0.25">
      <c r="B944" s="28">
        <v>940</v>
      </c>
      <c r="C944" s="35">
        <v>44405</v>
      </c>
      <c r="D944" s="29" t="s">
        <v>9</v>
      </c>
      <c r="E944" s="29" t="s">
        <v>10</v>
      </c>
      <c r="F944" s="29" t="s">
        <v>11</v>
      </c>
      <c r="G944" s="28">
        <v>1100</v>
      </c>
      <c r="H944" s="28">
        <v>1</v>
      </c>
      <c r="I944" s="30">
        <f>TownTeam1[[#This Row],[Selling price]]*TownTeam1[[#This Row],[Item quantity]]</f>
        <v>1100</v>
      </c>
      <c r="J944" s="30">
        <f>IF(TownTeam1[[#This Row],[Item name]]=" Jeans - Denim",TownTeam1[[#This Row],[Total sales]]*0.85,TownTeam1[[#This Row],[Total sales]])</f>
        <v>1100</v>
      </c>
    </row>
    <row r="945" spans="2:10" x14ac:dyDescent="0.25">
      <c r="B945" s="28">
        <v>941</v>
      </c>
      <c r="C945" s="35">
        <v>44406</v>
      </c>
      <c r="D945" s="29" t="s">
        <v>9</v>
      </c>
      <c r="E945" s="29" t="s">
        <v>18</v>
      </c>
      <c r="F945" s="29" t="s">
        <v>17</v>
      </c>
      <c r="G945" s="28">
        <v>600</v>
      </c>
      <c r="H945" s="28">
        <v>1</v>
      </c>
      <c r="I945" s="30">
        <f>TownTeam1[[#This Row],[Selling price]]*TownTeam1[[#This Row],[Item quantity]]</f>
        <v>600</v>
      </c>
      <c r="J945" s="30">
        <f>IF(TownTeam1[[#This Row],[Item name]]=" Jeans - Denim",TownTeam1[[#This Row],[Total sales]]*0.85,TownTeam1[[#This Row],[Total sales]])</f>
        <v>600</v>
      </c>
    </row>
    <row r="946" spans="2:10" x14ac:dyDescent="0.25">
      <c r="B946" s="28">
        <v>942</v>
      </c>
      <c r="C946" s="35">
        <v>44407</v>
      </c>
      <c r="D946" s="29" t="s">
        <v>9</v>
      </c>
      <c r="E946" s="29" t="s">
        <v>21</v>
      </c>
      <c r="F946" s="29" t="s">
        <v>20</v>
      </c>
      <c r="G946" s="28">
        <v>1200</v>
      </c>
      <c r="H946" s="28">
        <v>1</v>
      </c>
      <c r="I946" s="30">
        <f>TownTeam1[[#This Row],[Selling price]]*TownTeam1[[#This Row],[Item quantity]]</f>
        <v>1200</v>
      </c>
      <c r="J946" s="30">
        <f>IF(TownTeam1[[#This Row],[Item name]]=" Jeans - Denim",TownTeam1[[#This Row],[Total sales]]*0.85,TownTeam1[[#This Row],[Total sales]])</f>
        <v>1200</v>
      </c>
    </row>
    <row r="947" spans="2:10" x14ac:dyDescent="0.25">
      <c r="B947" s="28">
        <v>943</v>
      </c>
      <c r="C947" s="35">
        <v>44408</v>
      </c>
      <c r="D947" s="29" t="s">
        <v>9</v>
      </c>
      <c r="E947" s="29" t="s">
        <v>24</v>
      </c>
      <c r="F947" s="29" t="s">
        <v>23</v>
      </c>
      <c r="G947" s="28">
        <v>600</v>
      </c>
      <c r="H947" s="28">
        <v>1</v>
      </c>
      <c r="I947" s="30">
        <f>TownTeam1[[#This Row],[Selling price]]*TownTeam1[[#This Row],[Item quantity]]</f>
        <v>600</v>
      </c>
      <c r="J947" s="30">
        <f>IF(TownTeam1[[#This Row],[Item name]]=" Jeans - Denim",TownTeam1[[#This Row],[Total sales]]*0.85,TownTeam1[[#This Row],[Total sales]])</f>
        <v>600</v>
      </c>
    </row>
    <row r="948" spans="2:10" x14ac:dyDescent="0.25">
      <c r="B948" s="28">
        <v>944</v>
      </c>
      <c r="C948" s="35">
        <v>44409</v>
      </c>
      <c r="D948" s="29" t="s">
        <v>9</v>
      </c>
      <c r="E948" s="29" t="s">
        <v>10</v>
      </c>
      <c r="F948" s="29" t="s">
        <v>11</v>
      </c>
      <c r="G948" s="28">
        <v>1100</v>
      </c>
      <c r="H948" s="28">
        <v>1</v>
      </c>
      <c r="I948" s="30">
        <f>TownTeam1[[#This Row],[Selling price]]*TownTeam1[[#This Row],[Item quantity]]</f>
        <v>1100</v>
      </c>
      <c r="J948" s="30">
        <f>IF(TownTeam1[[#This Row],[Item name]]=" Jeans - Denim",TownTeam1[[#This Row],[Total sales]]*0.85,TownTeam1[[#This Row],[Total sales]])</f>
        <v>1100</v>
      </c>
    </row>
    <row r="949" spans="2:10" x14ac:dyDescent="0.25">
      <c r="B949" s="28">
        <v>945</v>
      </c>
      <c r="C949" s="35">
        <v>44410</v>
      </c>
      <c r="D949" s="29" t="s">
        <v>9</v>
      </c>
      <c r="E949" s="29" t="s">
        <v>22</v>
      </c>
      <c r="F949" s="29" t="s">
        <v>23</v>
      </c>
      <c r="G949" s="28">
        <v>500</v>
      </c>
      <c r="H949" s="28">
        <v>1</v>
      </c>
      <c r="I949" s="30">
        <f>TownTeam1[[#This Row],[Selling price]]*TownTeam1[[#This Row],[Item quantity]]</f>
        <v>500</v>
      </c>
      <c r="J949" s="30">
        <f>IF(TownTeam1[[#This Row],[Item name]]=" Jeans - Denim",TownTeam1[[#This Row],[Total sales]]*0.85,TownTeam1[[#This Row],[Total sales]])</f>
        <v>500</v>
      </c>
    </row>
    <row r="950" spans="2:10" x14ac:dyDescent="0.25">
      <c r="B950" s="28">
        <v>946</v>
      </c>
      <c r="C950" s="35">
        <v>44411</v>
      </c>
      <c r="D950" s="29" t="s">
        <v>9</v>
      </c>
      <c r="E950" s="29" t="s">
        <v>12</v>
      </c>
      <c r="F950" s="29" t="s">
        <v>11</v>
      </c>
      <c r="G950" s="28">
        <v>900</v>
      </c>
      <c r="H950" s="28">
        <v>1</v>
      </c>
      <c r="I950" s="30">
        <f>TownTeam1[[#This Row],[Selling price]]*TownTeam1[[#This Row],[Item quantity]]</f>
        <v>900</v>
      </c>
      <c r="J950" s="30">
        <f>IF(TownTeam1[[#This Row],[Item name]]=" Jeans - Denim",TownTeam1[[#This Row],[Total sales]]*0.85,TownTeam1[[#This Row],[Total sales]])</f>
        <v>765</v>
      </c>
    </row>
    <row r="951" spans="2:10" x14ac:dyDescent="0.25">
      <c r="B951" s="28">
        <v>947</v>
      </c>
      <c r="C951" s="35">
        <v>44412</v>
      </c>
      <c r="D951" s="29" t="s">
        <v>9</v>
      </c>
      <c r="E951" s="29" t="s">
        <v>19</v>
      </c>
      <c r="F951" s="29" t="s">
        <v>20</v>
      </c>
      <c r="G951" s="28">
        <v>850</v>
      </c>
      <c r="H951" s="28">
        <v>1</v>
      </c>
      <c r="I951" s="30">
        <f>TownTeam1[[#This Row],[Selling price]]*TownTeam1[[#This Row],[Item quantity]]</f>
        <v>850</v>
      </c>
      <c r="J951" s="30">
        <f>IF(TownTeam1[[#This Row],[Item name]]=" Jeans - Denim",TownTeam1[[#This Row],[Total sales]]*0.85,TownTeam1[[#This Row],[Total sales]])</f>
        <v>850</v>
      </c>
    </row>
    <row r="952" spans="2:10" x14ac:dyDescent="0.25">
      <c r="B952" s="28">
        <v>948</v>
      </c>
      <c r="C952" s="35">
        <v>44413</v>
      </c>
      <c r="D952" s="29" t="s">
        <v>9</v>
      </c>
      <c r="E952" s="29" t="s">
        <v>18</v>
      </c>
      <c r="F952" s="29" t="s">
        <v>17</v>
      </c>
      <c r="G952" s="28">
        <v>600</v>
      </c>
      <c r="H952" s="28">
        <v>1</v>
      </c>
      <c r="I952" s="30">
        <f>TownTeam1[[#This Row],[Selling price]]*TownTeam1[[#This Row],[Item quantity]]</f>
        <v>600</v>
      </c>
      <c r="J952" s="30">
        <f>IF(TownTeam1[[#This Row],[Item name]]=" Jeans - Denim",TownTeam1[[#This Row],[Total sales]]*0.85,TownTeam1[[#This Row],[Total sales]])</f>
        <v>600</v>
      </c>
    </row>
    <row r="953" spans="2:10" x14ac:dyDescent="0.25">
      <c r="B953" s="28">
        <v>949</v>
      </c>
      <c r="C953" s="35">
        <v>44414</v>
      </c>
      <c r="D953" s="29" t="s">
        <v>9</v>
      </c>
      <c r="E953" s="29" t="s">
        <v>10</v>
      </c>
      <c r="F953" s="29" t="s">
        <v>11</v>
      </c>
      <c r="G953" s="28">
        <v>1100</v>
      </c>
      <c r="H953" s="28">
        <v>1</v>
      </c>
      <c r="I953" s="30">
        <f>TownTeam1[[#This Row],[Selling price]]*TownTeam1[[#This Row],[Item quantity]]</f>
        <v>1100</v>
      </c>
      <c r="J953" s="30">
        <f>IF(TownTeam1[[#This Row],[Item name]]=" Jeans - Denim",TownTeam1[[#This Row],[Total sales]]*0.85,TownTeam1[[#This Row],[Total sales]])</f>
        <v>1100</v>
      </c>
    </row>
    <row r="954" spans="2:10" x14ac:dyDescent="0.25">
      <c r="B954" s="28">
        <v>950</v>
      </c>
      <c r="C954" s="35">
        <v>44415</v>
      </c>
      <c r="D954" s="29" t="s">
        <v>9</v>
      </c>
      <c r="E954" s="29" t="s">
        <v>22</v>
      </c>
      <c r="F954" s="29" t="s">
        <v>23</v>
      </c>
      <c r="G954" s="28">
        <v>500</v>
      </c>
      <c r="H954" s="28">
        <v>1</v>
      </c>
      <c r="I954" s="30">
        <f>TownTeam1[[#This Row],[Selling price]]*TownTeam1[[#This Row],[Item quantity]]</f>
        <v>500</v>
      </c>
      <c r="J954" s="30">
        <f>IF(TownTeam1[[#This Row],[Item name]]=" Jeans - Denim",TownTeam1[[#This Row],[Total sales]]*0.85,TownTeam1[[#This Row],[Total sales]])</f>
        <v>500</v>
      </c>
    </row>
    <row r="955" spans="2:10" x14ac:dyDescent="0.25">
      <c r="B955" s="28">
        <v>951</v>
      </c>
      <c r="C955" s="35">
        <v>44416</v>
      </c>
      <c r="D955" s="29" t="s">
        <v>9</v>
      </c>
      <c r="E955" s="29" t="s">
        <v>18</v>
      </c>
      <c r="F955" s="29" t="s">
        <v>17</v>
      </c>
      <c r="G955" s="28">
        <v>600</v>
      </c>
      <c r="H955" s="28">
        <v>1</v>
      </c>
      <c r="I955" s="30">
        <f>TownTeam1[[#This Row],[Selling price]]*TownTeam1[[#This Row],[Item quantity]]</f>
        <v>600</v>
      </c>
      <c r="J955" s="30">
        <f>IF(TownTeam1[[#This Row],[Item name]]=" Jeans - Denim",TownTeam1[[#This Row],[Total sales]]*0.85,TownTeam1[[#This Row],[Total sales]])</f>
        <v>600</v>
      </c>
    </row>
    <row r="956" spans="2:10" x14ac:dyDescent="0.25">
      <c r="B956" s="28">
        <v>952</v>
      </c>
      <c r="C956" s="35">
        <v>44417</v>
      </c>
      <c r="D956" s="29" t="s">
        <v>9</v>
      </c>
      <c r="E956" s="29" t="s">
        <v>15</v>
      </c>
      <c r="F956" s="29" t="s">
        <v>11</v>
      </c>
      <c r="G956" s="28">
        <v>1000</v>
      </c>
      <c r="H956" s="28">
        <v>1</v>
      </c>
      <c r="I956" s="30">
        <f>TownTeam1[[#This Row],[Selling price]]*TownTeam1[[#This Row],[Item quantity]]</f>
        <v>1000</v>
      </c>
      <c r="J956" s="30">
        <f>IF(TownTeam1[[#This Row],[Item name]]=" Jeans - Denim",TownTeam1[[#This Row],[Total sales]]*0.85,TownTeam1[[#This Row],[Total sales]])</f>
        <v>1000</v>
      </c>
    </row>
    <row r="957" spans="2:10" x14ac:dyDescent="0.25">
      <c r="B957" s="28">
        <v>953</v>
      </c>
      <c r="C957" s="35">
        <v>44418</v>
      </c>
      <c r="D957" s="29" t="s">
        <v>9</v>
      </c>
      <c r="E957" s="29" t="s">
        <v>18</v>
      </c>
      <c r="F957" s="29" t="s">
        <v>17</v>
      </c>
      <c r="G957" s="28">
        <v>600</v>
      </c>
      <c r="H957" s="28">
        <v>1</v>
      </c>
      <c r="I957" s="30">
        <f>TownTeam1[[#This Row],[Selling price]]*TownTeam1[[#This Row],[Item quantity]]</f>
        <v>600</v>
      </c>
      <c r="J957" s="30">
        <f>IF(TownTeam1[[#This Row],[Item name]]=" Jeans - Denim",TownTeam1[[#This Row],[Total sales]]*0.85,TownTeam1[[#This Row],[Total sales]])</f>
        <v>600</v>
      </c>
    </row>
    <row r="958" spans="2:10" x14ac:dyDescent="0.25">
      <c r="B958" s="28">
        <v>954</v>
      </c>
      <c r="C958" s="35">
        <v>44419</v>
      </c>
      <c r="D958" s="29" t="s">
        <v>9</v>
      </c>
      <c r="E958" s="29" t="s">
        <v>10</v>
      </c>
      <c r="F958" s="29" t="s">
        <v>11</v>
      </c>
      <c r="G958" s="28">
        <v>1100</v>
      </c>
      <c r="H958" s="28">
        <v>1</v>
      </c>
      <c r="I958" s="30">
        <f>TownTeam1[[#This Row],[Selling price]]*TownTeam1[[#This Row],[Item quantity]]</f>
        <v>1100</v>
      </c>
      <c r="J958" s="30">
        <f>IF(TownTeam1[[#This Row],[Item name]]=" Jeans - Denim",TownTeam1[[#This Row],[Total sales]]*0.85,TownTeam1[[#This Row],[Total sales]])</f>
        <v>1100</v>
      </c>
    </row>
    <row r="959" spans="2:10" x14ac:dyDescent="0.25">
      <c r="B959" s="28">
        <v>955</v>
      </c>
      <c r="C959" s="35">
        <v>44420</v>
      </c>
      <c r="D959" s="29" t="s">
        <v>9</v>
      </c>
      <c r="E959" s="29" t="s">
        <v>22</v>
      </c>
      <c r="F959" s="29" t="s">
        <v>23</v>
      </c>
      <c r="G959" s="28">
        <v>500</v>
      </c>
      <c r="H959" s="28">
        <v>1</v>
      </c>
      <c r="I959" s="30">
        <f>TownTeam1[[#This Row],[Selling price]]*TownTeam1[[#This Row],[Item quantity]]</f>
        <v>500</v>
      </c>
      <c r="J959" s="30">
        <f>IF(TownTeam1[[#This Row],[Item name]]=" Jeans - Denim",TownTeam1[[#This Row],[Total sales]]*0.85,TownTeam1[[#This Row],[Total sales]])</f>
        <v>500</v>
      </c>
    </row>
    <row r="960" spans="2:10" x14ac:dyDescent="0.25">
      <c r="B960" s="28">
        <v>956</v>
      </c>
      <c r="C960" s="35">
        <v>44421</v>
      </c>
      <c r="D960" s="29" t="s">
        <v>9</v>
      </c>
      <c r="E960" s="29" t="s">
        <v>10</v>
      </c>
      <c r="F960" s="29" t="s">
        <v>11</v>
      </c>
      <c r="G960" s="28">
        <v>1100</v>
      </c>
      <c r="H960" s="28">
        <v>2</v>
      </c>
      <c r="I960" s="30">
        <f>TownTeam1[[#This Row],[Selling price]]*TownTeam1[[#This Row],[Item quantity]]</f>
        <v>2200</v>
      </c>
      <c r="J960" s="30">
        <f>IF(TownTeam1[[#This Row],[Item name]]=" Jeans - Denim",TownTeam1[[#This Row],[Total sales]]*0.85,TownTeam1[[#This Row],[Total sales]])</f>
        <v>2200</v>
      </c>
    </row>
    <row r="961" spans="2:10" x14ac:dyDescent="0.25">
      <c r="B961" s="28">
        <v>957</v>
      </c>
      <c r="C961" s="35">
        <v>44422</v>
      </c>
      <c r="D961" s="29" t="s">
        <v>9</v>
      </c>
      <c r="E961" s="29" t="s">
        <v>18</v>
      </c>
      <c r="F961" s="29" t="s">
        <v>17</v>
      </c>
      <c r="G961" s="28">
        <v>600</v>
      </c>
      <c r="H961" s="28">
        <v>1</v>
      </c>
      <c r="I961" s="30">
        <f>TownTeam1[[#This Row],[Selling price]]*TownTeam1[[#This Row],[Item quantity]]</f>
        <v>600</v>
      </c>
      <c r="J961" s="30">
        <f>IF(TownTeam1[[#This Row],[Item name]]=" Jeans - Denim",TownTeam1[[#This Row],[Total sales]]*0.85,TownTeam1[[#This Row],[Total sales]])</f>
        <v>600</v>
      </c>
    </row>
    <row r="962" spans="2:10" x14ac:dyDescent="0.25">
      <c r="B962" s="28">
        <v>958</v>
      </c>
      <c r="C962" s="35">
        <v>44423</v>
      </c>
      <c r="D962" s="29" t="s">
        <v>9</v>
      </c>
      <c r="E962" s="29" t="s">
        <v>16</v>
      </c>
      <c r="F962" s="29" t="s">
        <v>17</v>
      </c>
      <c r="G962" s="28">
        <v>800</v>
      </c>
      <c r="H962" s="28">
        <v>1</v>
      </c>
      <c r="I962" s="30">
        <f>TownTeam1[[#This Row],[Selling price]]*TownTeam1[[#This Row],[Item quantity]]</f>
        <v>800</v>
      </c>
      <c r="J962" s="30">
        <f>IF(TownTeam1[[#This Row],[Item name]]=" Jeans - Denim",TownTeam1[[#This Row],[Total sales]]*0.85,TownTeam1[[#This Row],[Total sales]])</f>
        <v>800</v>
      </c>
    </row>
    <row r="963" spans="2:10" x14ac:dyDescent="0.25">
      <c r="B963" s="28">
        <v>959</v>
      </c>
      <c r="C963" s="35">
        <v>44424</v>
      </c>
      <c r="D963" s="29" t="s">
        <v>9</v>
      </c>
      <c r="E963" s="29" t="s">
        <v>14</v>
      </c>
      <c r="F963" s="29" t="s">
        <v>11</v>
      </c>
      <c r="G963" s="28">
        <v>900</v>
      </c>
      <c r="H963" s="28">
        <v>1</v>
      </c>
      <c r="I963" s="30">
        <f>TownTeam1[[#This Row],[Selling price]]*TownTeam1[[#This Row],[Item quantity]]</f>
        <v>900</v>
      </c>
      <c r="J963" s="30">
        <f>IF(TownTeam1[[#This Row],[Item name]]=" Jeans - Denim",TownTeam1[[#This Row],[Total sales]]*0.85,TownTeam1[[#This Row],[Total sales]])</f>
        <v>900</v>
      </c>
    </row>
    <row r="964" spans="2:10" x14ac:dyDescent="0.25">
      <c r="B964" s="28">
        <v>960</v>
      </c>
      <c r="C964" s="35">
        <v>44425</v>
      </c>
      <c r="D964" s="29" t="s">
        <v>9</v>
      </c>
      <c r="E964" s="29" t="s">
        <v>24</v>
      </c>
      <c r="F964" s="29" t="s">
        <v>23</v>
      </c>
      <c r="G964" s="28">
        <v>600</v>
      </c>
      <c r="H964" s="28">
        <v>1</v>
      </c>
      <c r="I964" s="30">
        <f>TownTeam1[[#This Row],[Selling price]]*TownTeam1[[#This Row],[Item quantity]]</f>
        <v>600</v>
      </c>
      <c r="J964" s="30">
        <f>IF(TownTeam1[[#This Row],[Item name]]=" Jeans - Denim",TownTeam1[[#This Row],[Total sales]]*0.85,TownTeam1[[#This Row],[Total sales]])</f>
        <v>600</v>
      </c>
    </row>
    <row r="965" spans="2:10" x14ac:dyDescent="0.25">
      <c r="B965" s="28">
        <v>961</v>
      </c>
      <c r="C965" s="35">
        <v>44426</v>
      </c>
      <c r="D965" s="29" t="s">
        <v>9</v>
      </c>
      <c r="E965" s="29" t="s">
        <v>10</v>
      </c>
      <c r="F965" s="29" t="s">
        <v>11</v>
      </c>
      <c r="G965" s="28">
        <v>1100</v>
      </c>
      <c r="H965" s="28">
        <v>2</v>
      </c>
      <c r="I965" s="30">
        <f>TownTeam1[[#This Row],[Selling price]]*TownTeam1[[#This Row],[Item quantity]]</f>
        <v>2200</v>
      </c>
      <c r="J965" s="30">
        <f>IF(TownTeam1[[#This Row],[Item name]]=" Jeans - Denim",TownTeam1[[#This Row],[Total sales]]*0.85,TownTeam1[[#This Row],[Total sales]])</f>
        <v>2200</v>
      </c>
    </row>
    <row r="966" spans="2:10" x14ac:dyDescent="0.25">
      <c r="B966" s="28">
        <v>962</v>
      </c>
      <c r="C966" s="35">
        <v>44427</v>
      </c>
      <c r="D966" s="29" t="s">
        <v>9</v>
      </c>
      <c r="E966" s="29" t="s">
        <v>24</v>
      </c>
      <c r="F966" s="29" t="s">
        <v>23</v>
      </c>
      <c r="G966" s="28">
        <v>600</v>
      </c>
      <c r="H966" s="28">
        <v>1</v>
      </c>
      <c r="I966" s="30">
        <f>TownTeam1[[#This Row],[Selling price]]*TownTeam1[[#This Row],[Item quantity]]</f>
        <v>600</v>
      </c>
      <c r="J966" s="30">
        <f>IF(TownTeam1[[#This Row],[Item name]]=" Jeans - Denim",TownTeam1[[#This Row],[Total sales]]*0.85,TownTeam1[[#This Row],[Total sales]])</f>
        <v>600</v>
      </c>
    </row>
    <row r="967" spans="2:10" x14ac:dyDescent="0.25">
      <c r="B967" s="28">
        <v>963</v>
      </c>
      <c r="C967" s="35">
        <v>44428</v>
      </c>
      <c r="D967" s="29" t="s">
        <v>9</v>
      </c>
      <c r="E967" s="29" t="s">
        <v>14</v>
      </c>
      <c r="F967" s="29" t="s">
        <v>11</v>
      </c>
      <c r="G967" s="28">
        <v>900</v>
      </c>
      <c r="H967" s="28">
        <v>1</v>
      </c>
      <c r="I967" s="30">
        <f>TownTeam1[[#This Row],[Selling price]]*TownTeam1[[#This Row],[Item quantity]]</f>
        <v>900</v>
      </c>
      <c r="J967" s="30">
        <f>IF(TownTeam1[[#This Row],[Item name]]=" Jeans - Denim",TownTeam1[[#This Row],[Total sales]]*0.85,TownTeam1[[#This Row],[Total sales]])</f>
        <v>900</v>
      </c>
    </row>
    <row r="968" spans="2:10" x14ac:dyDescent="0.25">
      <c r="B968" s="28">
        <v>964</v>
      </c>
      <c r="C968" s="35">
        <v>44429</v>
      </c>
      <c r="D968" s="29" t="s">
        <v>9</v>
      </c>
      <c r="E968" s="29" t="s">
        <v>18</v>
      </c>
      <c r="F968" s="29" t="s">
        <v>17</v>
      </c>
      <c r="G968" s="28">
        <v>600</v>
      </c>
      <c r="H968" s="28">
        <v>1</v>
      </c>
      <c r="I968" s="30">
        <f>TownTeam1[[#This Row],[Selling price]]*TownTeam1[[#This Row],[Item quantity]]</f>
        <v>600</v>
      </c>
      <c r="J968" s="30">
        <f>IF(TownTeam1[[#This Row],[Item name]]=" Jeans - Denim",TownTeam1[[#This Row],[Total sales]]*0.85,TownTeam1[[#This Row],[Total sales]])</f>
        <v>600</v>
      </c>
    </row>
    <row r="969" spans="2:10" x14ac:dyDescent="0.25">
      <c r="B969" s="28">
        <v>965</v>
      </c>
      <c r="C969" s="35">
        <v>44430</v>
      </c>
      <c r="D969" s="29" t="s">
        <v>9</v>
      </c>
      <c r="E969" s="29" t="s">
        <v>12</v>
      </c>
      <c r="F969" s="29" t="s">
        <v>11</v>
      </c>
      <c r="G969" s="28">
        <v>900</v>
      </c>
      <c r="H969" s="28">
        <v>1</v>
      </c>
      <c r="I969" s="30">
        <f>TownTeam1[[#This Row],[Selling price]]*TownTeam1[[#This Row],[Item quantity]]</f>
        <v>900</v>
      </c>
      <c r="J969" s="30">
        <f>IF(TownTeam1[[#This Row],[Item name]]=" Jeans - Denim",TownTeam1[[#This Row],[Total sales]]*0.85,TownTeam1[[#This Row],[Total sales]])</f>
        <v>765</v>
      </c>
    </row>
    <row r="970" spans="2:10" x14ac:dyDescent="0.25">
      <c r="B970" s="28">
        <v>966</v>
      </c>
      <c r="C970" s="35">
        <v>44431</v>
      </c>
      <c r="D970" s="29" t="s">
        <v>9</v>
      </c>
      <c r="E970" s="29" t="s">
        <v>24</v>
      </c>
      <c r="F970" s="29" t="s">
        <v>23</v>
      </c>
      <c r="G970" s="28">
        <v>600</v>
      </c>
      <c r="H970" s="28">
        <v>1</v>
      </c>
      <c r="I970" s="30">
        <f>TownTeam1[[#This Row],[Selling price]]*TownTeam1[[#This Row],[Item quantity]]</f>
        <v>600</v>
      </c>
      <c r="J970" s="30">
        <f>IF(TownTeam1[[#This Row],[Item name]]=" Jeans - Denim",TownTeam1[[#This Row],[Total sales]]*0.85,TownTeam1[[#This Row],[Total sales]])</f>
        <v>600</v>
      </c>
    </row>
    <row r="971" spans="2:10" x14ac:dyDescent="0.25">
      <c r="B971" s="28">
        <v>967</v>
      </c>
      <c r="C971" s="35">
        <v>44432</v>
      </c>
      <c r="D971" s="29" t="s">
        <v>9</v>
      </c>
      <c r="E971" s="29" t="s">
        <v>19</v>
      </c>
      <c r="F971" s="29" t="s">
        <v>20</v>
      </c>
      <c r="G971" s="28">
        <v>850</v>
      </c>
      <c r="H971" s="28">
        <v>1</v>
      </c>
      <c r="I971" s="30">
        <f>TownTeam1[[#This Row],[Selling price]]*TownTeam1[[#This Row],[Item quantity]]</f>
        <v>850</v>
      </c>
      <c r="J971" s="30">
        <f>IF(TownTeam1[[#This Row],[Item name]]=" Jeans - Denim",TownTeam1[[#This Row],[Total sales]]*0.85,TownTeam1[[#This Row],[Total sales]])</f>
        <v>850</v>
      </c>
    </row>
    <row r="972" spans="2:10" x14ac:dyDescent="0.25">
      <c r="B972" s="28">
        <v>968</v>
      </c>
      <c r="C972" s="35">
        <v>44433</v>
      </c>
      <c r="D972" s="29" t="s">
        <v>9</v>
      </c>
      <c r="E972" s="29" t="s">
        <v>14</v>
      </c>
      <c r="F972" s="29" t="s">
        <v>11</v>
      </c>
      <c r="G972" s="28">
        <v>900</v>
      </c>
      <c r="H972" s="28">
        <v>1</v>
      </c>
      <c r="I972" s="30">
        <f>TownTeam1[[#This Row],[Selling price]]*TownTeam1[[#This Row],[Item quantity]]</f>
        <v>900</v>
      </c>
      <c r="J972" s="30">
        <f>IF(TownTeam1[[#This Row],[Item name]]=" Jeans - Denim",TownTeam1[[#This Row],[Total sales]]*0.85,TownTeam1[[#This Row],[Total sales]])</f>
        <v>900</v>
      </c>
    </row>
    <row r="973" spans="2:10" x14ac:dyDescent="0.25">
      <c r="B973" s="28">
        <v>969</v>
      </c>
      <c r="C973" s="35">
        <v>44434</v>
      </c>
      <c r="D973" s="29" t="s">
        <v>9</v>
      </c>
      <c r="E973" s="29" t="s">
        <v>10</v>
      </c>
      <c r="F973" s="29" t="s">
        <v>11</v>
      </c>
      <c r="G973" s="28">
        <v>1100</v>
      </c>
      <c r="H973" s="28">
        <v>1</v>
      </c>
      <c r="I973" s="30">
        <f>TownTeam1[[#This Row],[Selling price]]*TownTeam1[[#This Row],[Item quantity]]</f>
        <v>1100</v>
      </c>
      <c r="J973" s="30">
        <f>IF(TownTeam1[[#This Row],[Item name]]=" Jeans - Denim",TownTeam1[[#This Row],[Total sales]]*0.85,TownTeam1[[#This Row],[Total sales]])</f>
        <v>1100</v>
      </c>
    </row>
    <row r="974" spans="2:10" x14ac:dyDescent="0.25">
      <c r="B974" s="28">
        <v>970</v>
      </c>
      <c r="C974" s="35">
        <v>44435</v>
      </c>
      <c r="D974" s="29" t="s">
        <v>9</v>
      </c>
      <c r="E974" s="29" t="s">
        <v>14</v>
      </c>
      <c r="F974" s="29" t="s">
        <v>11</v>
      </c>
      <c r="G974" s="28">
        <v>900</v>
      </c>
      <c r="H974" s="28">
        <v>1</v>
      </c>
      <c r="I974" s="30">
        <f>TownTeam1[[#This Row],[Selling price]]*TownTeam1[[#This Row],[Item quantity]]</f>
        <v>900</v>
      </c>
      <c r="J974" s="30">
        <f>IF(TownTeam1[[#This Row],[Item name]]=" Jeans - Denim",TownTeam1[[#This Row],[Total sales]]*0.85,TownTeam1[[#This Row],[Total sales]])</f>
        <v>900</v>
      </c>
    </row>
    <row r="975" spans="2:10" x14ac:dyDescent="0.25">
      <c r="B975" s="28">
        <v>971</v>
      </c>
      <c r="C975" s="35">
        <v>44436</v>
      </c>
      <c r="D975" s="29" t="s">
        <v>9</v>
      </c>
      <c r="E975" s="29" t="s">
        <v>15</v>
      </c>
      <c r="F975" s="29" t="s">
        <v>11</v>
      </c>
      <c r="G975" s="28">
        <v>1000</v>
      </c>
      <c r="H975" s="28">
        <v>1</v>
      </c>
      <c r="I975" s="30">
        <f>TownTeam1[[#This Row],[Selling price]]*TownTeam1[[#This Row],[Item quantity]]</f>
        <v>1000</v>
      </c>
      <c r="J975" s="30">
        <f>IF(TownTeam1[[#This Row],[Item name]]=" Jeans - Denim",TownTeam1[[#This Row],[Total sales]]*0.85,TownTeam1[[#This Row],[Total sales]])</f>
        <v>1000</v>
      </c>
    </row>
    <row r="976" spans="2:10" x14ac:dyDescent="0.25">
      <c r="B976" s="28">
        <v>972</v>
      </c>
      <c r="C976" s="35">
        <v>44437</v>
      </c>
      <c r="D976" s="29" t="s">
        <v>9</v>
      </c>
      <c r="E976" s="29" t="s">
        <v>10</v>
      </c>
      <c r="F976" s="29" t="s">
        <v>11</v>
      </c>
      <c r="G976" s="28">
        <v>1100</v>
      </c>
      <c r="H976" s="28">
        <v>1</v>
      </c>
      <c r="I976" s="30">
        <f>TownTeam1[[#This Row],[Selling price]]*TownTeam1[[#This Row],[Item quantity]]</f>
        <v>1100</v>
      </c>
      <c r="J976" s="30">
        <f>IF(TownTeam1[[#This Row],[Item name]]=" Jeans - Denim",TownTeam1[[#This Row],[Total sales]]*0.85,TownTeam1[[#This Row],[Total sales]])</f>
        <v>1100</v>
      </c>
    </row>
    <row r="977" spans="2:10" x14ac:dyDescent="0.25">
      <c r="B977" s="28">
        <v>973</v>
      </c>
      <c r="C977" s="35">
        <v>44438</v>
      </c>
      <c r="D977" s="29" t="s">
        <v>9</v>
      </c>
      <c r="E977" s="29" t="s">
        <v>15</v>
      </c>
      <c r="F977" s="29" t="s">
        <v>11</v>
      </c>
      <c r="G977" s="28">
        <v>1000</v>
      </c>
      <c r="H977" s="28">
        <v>1</v>
      </c>
      <c r="I977" s="30">
        <f>TownTeam1[[#This Row],[Selling price]]*TownTeam1[[#This Row],[Item quantity]]</f>
        <v>1000</v>
      </c>
      <c r="J977" s="30">
        <f>IF(TownTeam1[[#This Row],[Item name]]=" Jeans - Denim",TownTeam1[[#This Row],[Total sales]]*0.85,TownTeam1[[#This Row],[Total sales]])</f>
        <v>1000</v>
      </c>
    </row>
    <row r="978" spans="2:10" x14ac:dyDescent="0.25">
      <c r="B978" s="28">
        <v>974</v>
      </c>
      <c r="C978" s="35">
        <v>44439</v>
      </c>
      <c r="D978" s="29" t="s">
        <v>9</v>
      </c>
      <c r="E978" s="29" t="s">
        <v>10</v>
      </c>
      <c r="F978" s="29" t="s">
        <v>11</v>
      </c>
      <c r="G978" s="28">
        <v>1100</v>
      </c>
      <c r="H978" s="28">
        <v>1</v>
      </c>
      <c r="I978" s="30">
        <f>TownTeam1[[#This Row],[Selling price]]*TownTeam1[[#This Row],[Item quantity]]</f>
        <v>1100</v>
      </c>
      <c r="J978" s="30">
        <f>IF(TownTeam1[[#This Row],[Item name]]=" Jeans - Denim",TownTeam1[[#This Row],[Total sales]]*0.85,TownTeam1[[#This Row],[Total sales]])</f>
        <v>1100</v>
      </c>
    </row>
    <row r="979" spans="2:10" x14ac:dyDescent="0.25">
      <c r="B979" s="28">
        <v>975</v>
      </c>
      <c r="C979" s="35">
        <v>44440</v>
      </c>
      <c r="D979" s="29" t="s">
        <v>9</v>
      </c>
      <c r="E979" s="29" t="s">
        <v>14</v>
      </c>
      <c r="F979" s="29" t="s">
        <v>11</v>
      </c>
      <c r="G979" s="28">
        <v>900</v>
      </c>
      <c r="H979" s="28">
        <v>1</v>
      </c>
      <c r="I979" s="30">
        <f>TownTeam1[[#This Row],[Selling price]]*TownTeam1[[#This Row],[Item quantity]]</f>
        <v>900</v>
      </c>
      <c r="J979" s="30">
        <f>IF(TownTeam1[[#This Row],[Item name]]=" Jeans - Denim",TownTeam1[[#This Row],[Total sales]]*0.85,TownTeam1[[#This Row],[Total sales]])</f>
        <v>900</v>
      </c>
    </row>
    <row r="980" spans="2:10" x14ac:dyDescent="0.25">
      <c r="B980" s="28">
        <v>976</v>
      </c>
      <c r="C980" s="35">
        <v>44441</v>
      </c>
      <c r="D980" s="29" t="s">
        <v>9</v>
      </c>
      <c r="E980" s="29" t="s">
        <v>12</v>
      </c>
      <c r="F980" s="29" t="s">
        <v>11</v>
      </c>
      <c r="G980" s="28">
        <v>900</v>
      </c>
      <c r="H980" s="28">
        <v>1</v>
      </c>
      <c r="I980" s="30">
        <f>TownTeam1[[#This Row],[Selling price]]*TownTeam1[[#This Row],[Item quantity]]</f>
        <v>900</v>
      </c>
      <c r="J980" s="30">
        <f>IF(TownTeam1[[#This Row],[Item name]]=" Jeans - Denim",TownTeam1[[#This Row],[Total sales]]*0.85,TownTeam1[[#This Row],[Total sales]])</f>
        <v>765</v>
      </c>
    </row>
    <row r="981" spans="2:10" x14ac:dyDescent="0.25">
      <c r="B981" s="28">
        <v>977</v>
      </c>
      <c r="C981" s="35">
        <v>44442</v>
      </c>
      <c r="D981" s="29" t="s">
        <v>9</v>
      </c>
      <c r="E981" s="29" t="s">
        <v>10</v>
      </c>
      <c r="F981" s="29" t="s">
        <v>11</v>
      </c>
      <c r="G981" s="28">
        <v>1100</v>
      </c>
      <c r="H981" s="28">
        <v>1</v>
      </c>
      <c r="I981" s="30">
        <f>TownTeam1[[#This Row],[Selling price]]*TownTeam1[[#This Row],[Item quantity]]</f>
        <v>1100</v>
      </c>
      <c r="J981" s="30">
        <f>IF(TownTeam1[[#This Row],[Item name]]=" Jeans - Denim",TownTeam1[[#This Row],[Total sales]]*0.85,TownTeam1[[#This Row],[Total sales]])</f>
        <v>1100</v>
      </c>
    </row>
    <row r="982" spans="2:10" x14ac:dyDescent="0.25">
      <c r="B982" s="28">
        <v>978</v>
      </c>
      <c r="C982" s="35">
        <v>44443</v>
      </c>
      <c r="D982" s="29" t="s">
        <v>9</v>
      </c>
      <c r="E982" s="29" t="s">
        <v>10</v>
      </c>
      <c r="F982" s="29" t="s">
        <v>11</v>
      </c>
      <c r="G982" s="28">
        <v>1100</v>
      </c>
      <c r="H982" s="28">
        <v>1</v>
      </c>
      <c r="I982" s="30">
        <f>TownTeam1[[#This Row],[Selling price]]*TownTeam1[[#This Row],[Item quantity]]</f>
        <v>1100</v>
      </c>
      <c r="J982" s="30">
        <f>IF(TownTeam1[[#This Row],[Item name]]=" Jeans - Denim",TownTeam1[[#This Row],[Total sales]]*0.85,TownTeam1[[#This Row],[Total sales]])</f>
        <v>1100</v>
      </c>
    </row>
    <row r="983" spans="2:10" x14ac:dyDescent="0.25">
      <c r="B983" s="28">
        <v>979</v>
      </c>
      <c r="C983" s="35">
        <v>44444</v>
      </c>
      <c r="D983" s="29" t="s">
        <v>9</v>
      </c>
      <c r="E983" s="29" t="s">
        <v>15</v>
      </c>
      <c r="F983" s="29" t="s">
        <v>11</v>
      </c>
      <c r="G983" s="28">
        <v>1000</v>
      </c>
      <c r="H983" s="28">
        <v>1</v>
      </c>
      <c r="I983" s="30">
        <f>TownTeam1[[#This Row],[Selling price]]*TownTeam1[[#This Row],[Item quantity]]</f>
        <v>1000</v>
      </c>
      <c r="J983" s="30">
        <f>IF(TownTeam1[[#This Row],[Item name]]=" Jeans - Denim",TownTeam1[[#This Row],[Total sales]]*0.85,TownTeam1[[#This Row],[Total sales]])</f>
        <v>1000</v>
      </c>
    </row>
    <row r="984" spans="2:10" x14ac:dyDescent="0.25">
      <c r="B984" s="28">
        <v>980</v>
      </c>
      <c r="C984" s="35">
        <v>44445</v>
      </c>
      <c r="D984" s="29" t="s">
        <v>9</v>
      </c>
      <c r="E984" s="29" t="s">
        <v>12</v>
      </c>
      <c r="F984" s="29" t="s">
        <v>11</v>
      </c>
      <c r="G984" s="28">
        <v>900</v>
      </c>
      <c r="H984" s="28">
        <v>1</v>
      </c>
      <c r="I984" s="30">
        <f>TownTeam1[[#This Row],[Selling price]]*TownTeam1[[#This Row],[Item quantity]]</f>
        <v>900</v>
      </c>
      <c r="J984" s="30">
        <f>IF(TownTeam1[[#This Row],[Item name]]=" Jeans - Denim",TownTeam1[[#This Row],[Total sales]]*0.85,TownTeam1[[#This Row],[Total sales]])</f>
        <v>765</v>
      </c>
    </row>
    <row r="985" spans="2:10" x14ac:dyDescent="0.25">
      <c r="B985" s="28">
        <v>981</v>
      </c>
      <c r="C985" s="35">
        <v>44446</v>
      </c>
      <c r="D985" s="29" t="s">
        <v>9</v>
      </c>
      <c r="E985" s="29" t="s">
        <v>18</v>
      </c>
      <c r="F985" s="29" t="s">
        <v>17</v>
      </c>
      <c r="G985" s="28">
        <v>600</v>
      </c>
      <c r="H985" s="28">
        <v>1</v>
      </c>
      <c r="I985" s="30">
        <f>TownTeam1[[#This Row],[Selling price]]*TownTeam1[[#This Row],[Item quantity]]</f>
        <v>600</v>
      </c>
      <c r="J985" s="30">
        <f>IF(TownTeam1[[#This Row],[Item name]]=" Jeans - Denim",TownTeam1[[#This Row],[Total sales]]*0.85,TownTeam1[[#This Row],[Total sales]])</f>
        <v>600</v>
      </c>
    </row>
    <row r="986" spans="2:10" x14ac:dyDescent="0.25">
      <c r="B986" s="28">
        <v>982</v>
      </c>
      <c r="C986" s="35">
        <v>44447</v>
      </c>
      <c r="D986" s="29" t="s">
        <v>9</v>
      </c>
      <c r="E986" s="29" t="s">
        <v>12</v>
      </c>
      <c r="F986" s="29" t="s">
        <v>11</v>
      </c>
      <c r="G986" s="28">
        <v>900</v>
      </c>
      <c r="H986" s="28">
        <v>1</v>
      </c>
      <c r="I986" s="30">
        <f>TownTeam1[[#This Row],[Selling price]]*TownTeam1[[#This Row],[Item quantity]]</f>
        <v>900</v>
      </c>
      <c r="J986" s="30">
        <f>IF(TownTeam1[[#This Row],[Item name]]=" Jeans - Denim",TownTeam1[[#This Row],[Total sales]]*0.85,TownTeam1[[#This Row],[Total sales]])</f>
        <v>765</v>
      </c>
    </row>
    <row r="987" spans="2:10" x14ac:dyDescent="0.25">
      <c r="B987" s="28">
        <v>983</v>
      </c>
      <c r="C987" s="35">
        <v>44448</v>
      </c>
      <c r="D987" s="29" t="s">
        <v>9</v>
      </c>
      <c r="E987" s="29" t="s">
        <v>18</v>
      </c>
      <c r="F987" s="29" t="s">
        <v>17</v>
      </c>
      <c r="G987" s="28">
        <v>600</v>
      </c>
      <c r="H987" s="28">
        <v>1</v>
      </c>
      <c r="I987" s="30">
        <f>TownTeam1[[#This Row],[Selling price]]*TownTeam1[[#This Row],[Item quantity]]</f>
        <v>600</v>
      </c>
      <c r="J987" s="30">
        <f>IF(TownTeam1[[#This Row],[Item name]]=" Jeans - Denim",TownTeam1[[#This Row],[Total sales]]*0.85,TownTeam1[[#This Row],[Total sales]])</f>
        <v>600</v>
      </c>
    </row>
    <row r="988" spans="2:10" x14ac:dyDescent="0.25">
      <c r="B988" s="28">
        <v>984</v>
      </c>
      <c r="C988" s="35">
        <v>44449</v>
      </c>
      <c r="D988" s="29" t="s">
        <v>9</v>
      </c>
      <c r="E988" s="29" t="s">
        <v>14</v>
      </c>
      <c r="F988" s="29" t="s">
        <v>11</v>
      </c>
      <c r="G988" s="28">
        <v>900</v>
      </c>
      <c r="H988" s="28">
        <v>1</v>
      </c>
      <c r="I988" s="30">
        <f>TownTeam1[[#This Row],[Selling price]]*TownTeam1[[#This Row],[Item quantity]]</f>
        <v>900</v>
      </c>
      <c r="J988" s="30">
        <f>IF(TownTeam1[[#This Row],[Item name]]=" Jeans - Denim",TownTeam1[[#This Row],[Total sales]]*0.85,TownTeam1[[#This Row],[Total sales]])</f>
        <v>900</v>
      </c>
    </row>
    <row r="989" spans="2:10" x14ac:dyDescent="0.25">
      <c r="B989" s="28">
        <v>985</v>
      </c>
      <c r="C989" s="35">
        <v>44450</v>
      </c>
      <c r="D989" s="29" t="s">
        <v>9</v>
      </c>
      <c r="E989" s="29" t="s">
        <v>10</v>
      </c>
      <c r="F989" s="29" t="s">
        <v>11</v>
      </c>
      <c r="G989" s="28">
        <v>1100</v>
      </c>
      <c r="H989" s="28">
        <v>2</v>
      </c>
      <c r="I989" s="30">
        <f>TownTeam1[[#This Row],[Selling price]]*TownTeam1[[#This Row],[Item quantity]]</f>
        <v>2200</v>
      </c>
      <c r="J989" s="30">
        <f>IF(TownTeam1[[#This Row],[Item name]]=" Jeans - Denim",TownTeam1[[#This Row],[Total sales]]*0.85,TownTeam1[[#This Row],[Total sales]])</f>
        <v>2200</v>
      </c>
    </row>
    <row r="990" spans="2:10" x14ac:dyDescent="0.25">
      <c r="B990" s="28">
        <v>986</v>
      </c>
      <c r="C990" s="35">
        <v>44451</v>
      </c>
      <c r="D990" s="29" t="s">
        <v>9</v>
      </c>
      <c r="E990" s="29" t="s">
        <v>18</v>
      </c>
      <c r="F990" s="29" t="s">
        <v>17</v>
      </c>
      <c r="G990" s="28">
        <v>600</v>
      </c>
      <c r="H990" s="28">
        <v>1</v>
      </c>
      <c r="I990" s="30">
        <f>TownTeam1[[#This Row],[Selling price]]*TownTeam1[[#This Row],[Item quantity]]</f>
        <v>600</v>
      </c>
      <c r="J990" s="30">
        <f>IF(TownTeam1[[#This Row],[Item name]]=" Jeans - Denim",TownTeam1[[#This Row],[Total sales]]*0.85,TownTeam1[[#This Row],[Total sales]])</f>
        <v>600</v>
      </c>
    </row>
    <row r="991" spans="2:10" x14ac:dyDescent="0.25">
      <c r="B991" s="28">
        <v>987</v>
      </c>
      <c r="C991" s="35">
        <v>44452</v>
      </c>
      <c r="D991" s="29" t="s">
        <v>9</v>
      </c>
      <c r="E991" s="29" t="s">
        <v>18</v>
      </c>
      <c r="F991" s="29" t="s">
        <v>17</v>
      </c>
      <c r="G991" s="28">
        <v>600</v>
      </c>
      <c r="H991" s="28">
        <v>1</v>
      </c>
      <c r="I991" s="30">
        <f>TownTeam1[[#This Row],[Selling price]]*TownTeam1[[#This Row],[Item quantity]]</f>
        <v>600</v>
      </c>
      <c r="J991" s="30">
        <f>IF(TownTeam1[[#This Row],[Item name]]=" Jeans - Denim",TownTeam1[[#This Row],[Total sales]]*0.85,TownTeam1[[#This Row],[Total sales]])</f>
        <v>600</v>
      </c>
    </row>
    <row r="992" spans="2:10" x14ac:dyDescent="0.25">
      <c r="B992" s="28">
        <v>988</v>
      </c>
      <c r="C992" s="35">
        <v>44453</v>
      </c>
      <c r="D992" s="29" t="s">
        <v>9</v>
      </c>
      <c r="E992" s="29" t="s">
        <v>14</v>
      </c>
      <c r="F992" s="29" t="s">
        <v>11</v>
      </c>
      <c r="G992" s="28">
        <v>900</v>
      </c>
      <c r="H992" s="28">
        <v>1</v>
      </c>
      <c r="I992" s="30">
        <f>TownTeam1[[#This Row],[Selling price]]*TownTeam1[[#This Row],[Item quantity]]</f>
        <v>900</v>
      </c>
      <c r="J992" s="30">
        <f>IF(TownTeam1[[#This Row],[Item name]]=" Jeans - Denim",TownTeam1[[#This Row],[Total sales]]*0.85,TownTeam1[[#This Row],[Total sales]])</f>
        <v>900</v>
      </c>
    </row>
    <row r="993" spans="2:10" x14ac:dyDescent="0.25">
      <c r="B993" s="28">
        <v>989</v>
      </c>
      <c r="C993" s="35">
        <v>44454</v>
      </c>
      <c r="D993" s="29" t="s">
        <v>9</v>
      </c>
      <c r="E993" s="29" t="s">
        <v>10</v>
      </c>
      <c r="F993" s="29" t="s">
        <v>11</v>
      </c>
      <c r="G993" s="28">
        <v>1100</v>
      </c>
      <c r="H993" s="28">
        <v>1</v>
      </c>
      <c r="I993" s="30">
        <f>TownTeam1[[#This Row],[Selling price]]*TownTeam1[[#This Row],[Item quantity]]</f>
        <v>1100</v>
      </c>
      <c r="J993" s="30">
        <f>IF(TownTeam1[[#This Row],[Item name]]=" Jeans - Denim",TownTeam1[[#This Row],[Total sales]]*0.85,TownTeam1[[#This Row],[Total sales]])</f>
        <v>1100</v>
      </c>
    </row>
    <row r="994" spans="2:10" x14ac:dyDescent="0.25">
      <c r="B994" s="28">
        <v>990</v>
      </c>
      <c r="C994" s="35">
        <v>44455</v>
      </c>
      <c r="D994" s="29" t="s">
        <v>9</v>
      </c>
      <c r="E994" s="29" t="s">
        <v>18</v>
      </c>
      <c r="F994" s="29" t="s">
        <v>17</v>
      </c>
      <c r="G994" s="28">
        <v>600</v>
      </c>
      <c r="H994" s="28">
        <v>1</v>
      </c>
      <c r="I994" s="30">
        <f>TownTeam1[[#This Row],[Selling price]]*TownTeam1[[#This Row],[Item quantity]]</f>
        <v>600</v>
      </c>
      <c r="J994" s="30">
        <f>IF(TownTeam1[[#This Row],[Item name]]=" Jeans - Denim",TownTeam1[[#This Row],[Total sales]]*0.85,TownTeam1[[#This Row],[Total sales]])</f>
        <v>600</v>
      </c>
    </row>
    <row r="995" spans="2:10" x14ac:dyDescent="0.25">
      <c r="B995" s="28">
        <v>991</v>
      </c>
      <c r="C995" s="35">
        <v>44456</v>
      </c>
      <c r="D995" s="29" t="s">
        <v>9</v>
      </c>
      <c r="E995" s="29" t="s">
        <v>24</v>
      </c>
      <c r="F995" s="29" t="s">
        <v>23</v>
      </c>
      <c r="G995" s="28">
        <v>600</v>
      </c>
      <c r="H995" s="28">
        <v>1</v>
      </c>
      <c r="I995" s="30">
        <f>TownTeam1[[#This Row],[Selling price]]*TownTeam1[[#This Row],[Item quantity]]</f>
        <v>600</v>
      </c>
      <c r="J995" s="30">
        <f>IF(TownTeam1[[#This Row],[Item name]]=" Jeans - Denim",TownTeam1[[#This Row],[Total sales]]*0.85,TownTeam1[[#This Row],[Total sales]])</f>
        <v>600</v>
      </c>
    </row>
    <row r="996" spans="2:10" x14ac:dyDescent="0.25">
      <c r="B996" s="28">
        <v>992</v>
      </c>
      <c r="C996" s="35">
        <v>44457</v>
      </c>
      <c r="D996" s="29" t="s">
        <v>9</v>
      </c>
      <c r="E996" s="29" t="s">
        <v>18</v>
      </c>
      <c r="F996" s="29" t="s">
        <v>17</v>
      </c>
      <c r="G996" s="28">
        <v>600</v>
      </c>
      <c r="H996" s="28">
        <v>1</v>
      </c>
      <c r="I996" s="30">
        <f>TownTeam1[[#This Row],[Selling price]]*TownTeam1[[#This Row],[Item quantity]]</f>
        <v>600</v>
      </c>
      <c r="J996" s="30">
        <f>IF(TownTeam1[[#This Row],[Item name]]=" Jeans - Denim",TownTeam1[[#This Row],[Total sales]]*0.85,TownTeam1[[#This Row],[Total sales]])</f>
        <v>600</v>
      </c>
    </row>
    <row r="997" spans="2:10" x14ac:dyDescent="0.25">
      <c r="B997" s="28">
        <v>993</v>
      </c>
      <c r="C997" s="35">
        <v>44458</v>
      </c>
      <c r="D997" s="29" t="s">
        <v>9</v>
      </c>
      <c r="E997" s="29" t="s">
        <v>24</v>
      </c>
      <c r="F997" s="29" t="s">
        <v>23</v>
      </c>
      <c r="G997" s="28">
        <v>600</v>
      </c>
      <c r="H997" s="28">
        <v>1</v>
      </c>
      <c r="I997" s="30">
        <f>TownTeam1[[#This Row],[Selling price]]*TownTeam1[[#This Row],[Item quantity]]</f>
        <v>600</v>
      </c>
      <c r="J997" s="30">
        <f>IF(TownTeam1[[#This Row],[Item name]]=" Jeans - Denim",TownTeam1[[#This Row],[Total sales]]*0.85,TownTeam1[[#This Row],[Total sales]])</f>
        <v>600</v>
      </c>
    </row>
    <row r="998" spans="2:10" x14ac:dyDescent="0.25">
      <c r="B998" s="28">
        <v>994</v>
      </c>
      <c r="C998" s="35">
        <v>44459</v>
      </c>
      <c r="D998" s="29" t="s">
        <v>9</v>
      </c>
      <c r="E998" s="29" t="s">
        <v>24</v>
      </c>
      <c r="F998" s="29" t="s">
        <v>23</v>
      </c>
      <c r="G998" s="28">
        <v>600</v>
      </c>
      <c r="H998" s="28">
        <v>2</v>
      </c>
      <c r="I998" s="30">
        <f>TownTeam1[[#This Row],[Selling price]]*TownTeam1[[#This Row],[Item quantity]]</f>
        <v>1200</v>
      </c>
      <c r="J998" s="30">
        <f>IF(TownTeam1[[#This Row],[Item name]]=" Jeans - Denim",TownTeam1[[#This Row],[Total sales]]*0.85,TownTeam1[[#This Row],[Total sales]])</f>
        <v>1200</v>
      </c>
    </row>
    <row r="999" spans="2:10" x14ac:dyDescent="0.25">
      <c r="B999" s="28">
        <v>995</v>
      </c>
      <c r="C999" s="35">
        <v>44460</v>
      </c>
      <c r="D999" s="29" t="s">
        <v>9</v>
      </c>
      <c r="E999" s="29" t="s">
        <v>18</v>
      </c>
      <c r="F999" s="29" t="s">
        <v>17</v>
      </c>
      <c r="G999" s="28">
        <v>600</v>
      </c>
      <c r="H999" s="28">
        <v>1</v>
      </c>
      <c r="I999" s="30">
        <f>TownTeam1[[#This Row],[Selling price]]*TownTeam1[[#This Row],[Item quantity]]</f>
        <v>600</v>
      </c>
      <c r="J999" s="30">
        <f>IF(TownTeam1[[#This Row],[Item name]]=" Jeans - Denim",TownTeam1[[#This Row],[Total sales]]*0.85,TownTeam1[[#This Row],[Total sales]])</f>
        <v>600</v>
      </c>
    </row>
    <row r="1000" spans="2:10" x14ac:dyDescent="0.25">
      <c r="B1000" s="28">
        <v>996</v>
      </c>
      <c r="C1000" s="35">
        <v>44461</v>
      </c>
      <c r="D1000" s="29" t="s">
        <v>9</v>
      </c>
      <c r="E1000" s="29" t="s">
        <v>10</v>
      </c>
      <c r="F1000" s="29" t="s">
        <v>11</v>
      </c>
      <c r="G1000" s="28">
        <v>1100</v>
      </c>
      <c r="H1000" s="28">
        <v>3</v>
      </c>
      <c r="I1000" s="30">
        <f>TownTeam1[[#This Row],[Selling price]]*TownTeam1[[#This Row],[Item quantity]]</f>
        <v>3300</v>
      </c>
      <c r="J1000" s="30">
        <f>IF(TownTeam1[[#This Row],[Item name]]=" Jeans - Denim",TownTeam1[[#This Row],[Total sales]]*0.85,TownTeam1[[#This Row],[Total sales]])</f>
        <v>3300</v>
      </c>
    </row>
    <row r="1001" spans="2:10" x14ac:dyDescent="0.25">
      <c r="B1001" s="28">
        <v>997</v>
      </c>
      <c r="C1001" s="35">
        <v>44462</v>
      </c>
      <c r="D1001" s="29" t="s">
        <v>9</v>
      </c>
      <c r="E1001" s="29" t="s">
        <v>10</v>
      </c>
      <c r="F1001" s="29" t="s">
        <v>11</v>
      </c>
      <c r="G1001" s="28">
        <v>1100</v>
      </c>
      <c r="H1001" s="28">
        <v>1</v>
      </c>
      <c r="I1001" s="30">
        <f>TownTeam1[[#This Row],[Selling price]]*TownTeam1[[#This Row],[Item quantity]]</f>
        <v>1100</v>
      </c>
      <c r="J1001" s="30">
        <f>IF(TownTeam1[[#This Row],[Item name]]=" Jeans - Denim",TownTeam1[[#This Row],[Total sales]]*0.85,TownTeam1[[#This Row],[Total sales]])</f>
        <v>1100</v>
      </c>
    </row>
    <row r="1002" spans="2:10" x14ac:dyDescent="0.25">
      <c r="B1002" s="28">
        <v>998</v>
      </c>
      <c r="C1002" s="35">
        <v>44463</v>
      </c>
      <c r="D1002" s="29" t="s">
        <v>9</v>
      </c>
      <c r="E1002" s="29" t="s">
        <v>19</v>
      </c>
      <c r="F1002" s="29" t="s">
        <v>20</v>
      </c>
      <c r="G1002" s="28">
        <v>850</v>
      </c>
      <c r="H1002" s="28">
        <v>1</v>
      </c>
      <c r="I1002" s="30">
        <f>TownTeam1[[#This Row],[Selling price]]*TownTeam1[[#This Row],[Item quantity]]</f>
        <v>850</v>
      </c>
      <c r="J1002" s="30">
        <f>IF(TownTeam1[[#This Row],[Item name]]=" Jeans - Denim",TownTeam1[[#This Row],[Total sales]]*0.85,TownTeam1[[#This Row],[Total sales]])</f>
        <v>850</v>
      </c>
    </row>
    <row r="1003" spans="2:10" x14ac:dyDescent="0.25">
      <c r="B1003" s="28">
        <v>999</v>
      </c>
      <c r="C1003" s="35">
        <v>44464</v>
      </c>
      <c r="D1003" s="29" t="s">
        <v>9</v>
      </c>
      <c r="E1003" s="29" t="s">
        <v>21</v>
      </c>
      <c r="F1003" s="29" t="s">
        <v>20</v>
      </c>
      <c r="G1003" s="28">
        <v>1200</v>
      </c>
      <c r="H1003" s="28">
        <v>1</v>
      </c>
      <c r="I1003" s="30">
        <f>TownTeam1[[#This Row],[Selling price]]*TownTeam1[[#This Row],[Item quantity]]</f>
        <v>1200</v>
      </c>
      <c r="J1003" s="30">
        <f>IF(TownTeam1[[#This Row],[Item name]]=" Jeans - Denim",TownTeam1[[#This Row],[Total sales]]*0.85,TownTeam1[[#This Row],[Total sales]])</f>
        <v>1200</v>
      </c>
    </row>
    <row r="1004" spans="2:10" x14ac:dyDescent="0.25">
      <c r="B1004" s="28">
        <v>1000</v>
      </c>
      <c r="C1004" s="35">
        <v>44465</v>
      </c>
      <c r="D1004" s="29" t="s">
        <v>9</v>
      </c>
      <c r="E1004" s="29" t="s">
        <v>16</v>
      </c>
      <c r="F1004" s="29" t="s">
        <v>17</v>
      </c>
      <c r="G1004" s="28">
        <v>800</v>
      </c>
      <c r="H1004" s="28">
        <v>1</v>
      </c>
      <c r="I1004" s="30">
        <f>TownTeam1[[#This Row],[Selling price]]*TownTeam1[[#This Row],[Item quantity]]</f>
        <v>800</v>
      </c>
      <c r="J1004" s="30">
        <f>IF(TownTeam1[[#This Row],[Item name]]=" Jeans - Denim",TownTeam1[[#This Row],[Total sales]]*0.85,TownTeam1[[#This Row],[Total sales]])</f>
        <v>800</v>
      </c>
    </row>
    <row r="1005" spans="2:10" x14ac:dyDescent="0.25">
      <c r="B1005" s="28">
        <v>1001</v>
      </c>
      <c r="C1005" s="35">
        <v>44466</v>
      </c>
      <c r="D1005" s="29" t="s">
        <v>9</v>
      </c>
      <c r="E1005" s="29" t="s">
        <v>14</v>
      </c>
      <c r="F1005" s="29" t="s">
        <v>11</v>
      </c>
      <c r="G1005" s="28">
        <v>900</v>
      </c>
      <c r="H1005" s="28">
        <v>1</v>
      </c>
      <c r="I1005" s="30">
        <f>TownTeam1[[#This Row],[Selling price]]*TownTeam1[[#This Row],[Item quantity]]</f>
        <v>900</v>
      </c>
      <c r="J1005" s="30">
        <f>IF(TownTeam1[[#This Row],[Item name]]=" Jeans - Denim",TownTeam1[[#This Row],[Total sales]]*0.85,TownTeam1[[#This Row],[Total sales]])</f>
        <v>900</v>
      </c>
    </row>
    <row r="1006" spans="2:10" x14ac:dyDescent="0.25">
      <c r="B1006" s="28">
        <v>1002</v>
      </c>
      <c r="C1006" s="35">
        <v>44467</v>
      </c>
      <c r="D1006" s="29" t="s">
        <v>9</v>
      </c>
      <c r="E1006" s="29" t="s">
        <v>10</v>
      </c>
      <c r="F1006" s="29" t="s">
        <v>11</v>
      </c>
      <c r="G1006" s="28">
        <v>1100</v>
      </c>
      <c r="H1006" s="28">
        <v>1</v>
      </c>
      <c r="I1006" s="30">
        <f>TownTeam1[[#This Row],[Selling price]]*TownTeam1[[#This Row],[Item quantity]]</f>
        <v>1100</v>
      </c>
      <c r="J1006" s="30">
        <f>IF(TownTeam1[[#This Row],[Item name]]=" Jeans - Denim",TownTeam1[[#This Row],[Total sales]]*0.85,TownTeam1[[#This Row],[Total sales]])</f>
        <v>1100</v>
      </c>
    </row>
    <row r="1007" spans="2:10" x14ac:dyDescent="0.25">
      <c r="B1007" s="28">
        <v>1003</v>
      </c>
      <c r="C1007" s="35">
        <v>44468</v>
      </c>
      <c r="D1007" s="29" t="s">
        <v>9</v>
      </c>
      <c r="E1007" s="29" t="s">
        <v>12</v>
      </c>
      <c r="F1007" s="29" t="s">
        <v>11</v>
      </c>
      <c r="G1007" s="28">
        <v>900</v>
      </c>
      <c r="H1007" s="28">
        <v>1</v>
      </c>
      <c r="I1007" s="30">
        <f>TownTeam1[[#This Row],[Selling price]]*TownTeam1[[#This Row],[Item quantity]]</f>
        <v>900</v>
      </c>
      <c r="J1007" s="30">
        <f>IF(TownTeam1[[#This Row],[Item name]]=" Jeans - Denim",TownTeam1[[#This Row],[Total sales]]*0.85,TownTeam1[[#This Row],[Total sales]])</f>
        <v>765</v>
      </c>
    </row>
    <row r="1008" spans="2:10" x14ac:dyDescent="0.25">
      <c r="B1008" s="28">
        <v>1004</v>
      </c>
      <c r="C1008" s="35">
        <v>44469</v>
      </c>
      <c r="D1008" s="29" t="s">
        <v>9</v>
      </c>
      <c r="E1008" s="29" t="s">
        <v>10</v>
      </c>
      <c r="F1008" s="29" t="s">
        <v>11</v>
      </c>
      <c r="G1008" s="28">
        <v>1100</v>
      </c>
      <c r="H1008" s="28">
        <v>1</v>
      </c>
      <c r="I1008" s="30">
        <f>TownTeam1[[#This Row],[Selling price]]*TownTeam1[[#This Row],[Item quantity]]</f>
        <v>1100</v>
      </c>
      <c r="J1008" s="30">
        <f>IF(TownTeam1[[#This Row],[Item name]]=" Jeans - Denim",TownTeam1[[#This Row],[Total sales]]*0.85,TownTeam1[[#This Row],[Total sales]])</f>
        <v>1100</v>
      </c>
    </row>
    <row r="1009" spans="2:10" x14ac:dyDescent="0.25">
      <c r="B1009" s="28">
        <v>1005</v>
      </c>
      <c r="C1009" s="35">
        <v>44470</v>
      </c>
      <c r="D1009" s="29" t="s">
        <v>9</v>
      </c>
      <c r="E1009" s="29" t="s">
        <v>22</v>
      </c>
      <c r="F1009" s="29" t="s">
        <v>23</v>
      </c>
      <c r="G1009" s="28">
        <v>900</v>
      </c>
      <c r="H1009" s="28">
        <v>1</v>
      </c>
      <c r="I1009" s="30">
        <f>TownTeam1[[#This Row],[Selling price]]*TownTeam1[[#This Row],[Item quantity]]</f>
        <v>900</v>
      </c>
      <c r="J1009" s="30">
        <f>IF(TownTeam1[[#This Row],[Item name]]=" Jeans - Denim",TownTeam1[[#This Row],[Total sales]]*0.85,TownTeam1[[#This Row],[Total sales]])</f>
        <v>900</v>
      </c>
    </row>
    <row r="1010" spans="2:10" x14ac:dyDescent="0.25">
      <c r="B1010" s="28">
        <v>1006</v>
      </c>
      <c r="C1010" s="35">
        <v>44471</v>
      </c>
      <c r="D1010" s="29" t="s">
        <v>9</v>
      </c>
      <c r="E1010" s="29" t="s">
        <v>22</v>
      </c>
      <c r="F1010" s="29" t="s">
        <v>23</v>
      </c>
      <c r="G1010" s="28">
        <v>500</v>
      </c>
      <c r="H1010" s="28">
        <v>1</v>
      </c>
      <c r="I1010" s="30">
        <f>TownTeam1[[#This Row],[Selling price]]*TownTeam1[[#This Row],[Item quantity]]</f>
        <v>500</v>
      </c>
      <c r="J1010" s="30">
        <f>IF(TownTeam1[[#This Row],[Item name]]=" Jeans - Denim",TownTeam1[[#This Row],[Total sales]]*0.85,TownTeam1[[#This Row],[Total sales]])</f>
        <v>500</v>
      </c>
    </row>
    <row r="1011" spans="2:10" x14ac:dyDescent="0.25">
      <c r="B1011" s="28">
        <v>1007</v>
      </c>
      <c r="C1011" s="35">
        <v>44472</v>
      </c>
      <c r="D1011" s="29" t="s">
        <v>9</v>
      </c>
      <c r="E1011" s="29" t="s">
        <v>15</v>
      </c>
      <c r="F1011" s="29" t="s">
        <v>11</v>
      </c>
      <c r="G1011" s="28">
        <v>1000</v>
      </c>
      <c r="H1011" s="28">
        <v>1</v>
      </c>
      <c r="I1011" s="30">
        <f>TownTeam1[[#This Row],[Selling price]]*TownTeam1[[#This Row],[Item quantity]]</f>
        <v>1000</v>
      </c>
      <c r="J1011" s="30">
        <f>IF(TownTeam1[[#This Row],[Item name]]=" Jeans - Denim",TownTeam1[[#This Row],[Total sales]]*0.85,TownTeam1[[#This Row],[Total sales]])</f>
        <v>1000</v>
      </c>
    </row>
    <row r="1012" spans="2:10" x14ac:dyDescent="0.25">
      <c r="B1012" s="28">
        <v>1008</v>
      </c>
      <c r="C1012" s="35">
        <v>44473</v>
      </c>
      <c r="D1012" s="29" t="s">
        <v>9</v>
      </c>
      <c r="E1012" s="29" t="s">
        <v>24</v>
      </c>
      <c r="F1012" s="29" t="s">
        <v>23</v>
      </c>
      <c r="G1012" s="28">
        <v>600</v>
      </c>
      <c r="H1012" s="28">
        <v>1</v>
      </c>
      <c r="I1012" s="30">
        <f>TownTeam1[[#This Row],[Selling price]]*TownTeam1[[#This Row],[Item quantity]]</f>
        <v>600</v>
      </c>
      <c r="J1012" s="30">
        <f>IF(TownTeam1[[#This Row],[Item name]]=" Jeans - Denim",TownTeam1[[#This Row],[Total sales]]*0.85,TownTeam1[[#This Row],[Total sales]])</f>
        <v>600</v>
      </c>
    </row>
    <row r="1013" spans="2:10" x14ac:dyDescent="0.25">
      <c r="B1013" s="28">
        <v>1009</v>
      </c>
      <c r="C1013" s="35">
        <v>44474</v>
      </c>
      <c r="D1013" s="29" t="s">
        <v>9</v>
      </c>
      <c r="E1013" s="29" t="s">
        <v>12</v>
      </c>
      <c r="F1013" s="29" t="s">
        <v>11</v>
      </c>
      <c r="G1013" s="28">
        <v>900</v>
      </c>
      <c r="H1013" s="28">
        <v>2</v>
      </c>
      <c r="I1013" s="30">
        <f>TownTeam1[[#This Row],[Selling price]]*TownTeam1[[#This Row],[Item quantity]]</f>
        <v>1800</v>
      </c>
      <c r="J1013" s="30">
        <f>IF(TownTeam1[[#This Row],[Item name]]=" Jeans - Denim",TownTeam1[[#This Row],[Total sales]]*0.85,TownTeam1[[#This Row],[Total sales]])</f>
        <v>1530</v>
      </c>
    </row>
    <row r="1014" spans="2:10" x14ac:dyDescent="0.25">
      <c r="B1014" s="28">
        <v>1010</v>
      </c>
      <c r="C1014" s="35">
        <v>44475</v>
      </c>
      <c r="D1014" s="29" t="s">
        <v>9</v>
      </c>
      <c r="E1014" s="29" t="s">
        <v>19</v>
      </c>
      <c r="F1014" s="29" t="s">
        <v>20</v>
      </c>
      <c r="G1014" s="28">
        <v>850</v>
      </c>
      <c r="H1014" s="28">
        <v>1</v>
      </c>
      <c r="I1014" s="30">
        <f>TownTeam1[[#This Row],[Selling price]]*TownTeam1[[#This Row],[Item quantity]]</f>
        <v>850</v>
      </c>
      <c r="J1014" s="30">
        <f>IF(TownTeam1[[#This Row],[Item name]]=" Jeans - Denim",TownTeam1[[#This Row],[Total sales]]*0.85,TownTeam1[[#This Row],[Total sales]])</f>
        <v>850</v>
      </c>
    </row>
    <row r="1015" spans="2:10" x14ac:dyDescent="0.25">
      <c r="B1015" s="28">
        <v>1011</v>
      </c>
      <c r="C1015" s="35">
        <v>44476</v>
      </c>
      <c r="D1015" s="29" t="s">
        <v>9</v>
      </c>
      <c r="E1015" s="29" t="s">
        <v>16</v>
      </c>
      <c r="F1015" s="29" t="s">
        <v>17</v>
      </c>
      <c r="G1015" s="28">
        <v>800</v>
      </c>
      <c r="H1015" s="28">
        <v>1</v>
      </c>
      <c r="I1015" s="30">
        <f>TownTeam1[[#This Row],[Selling price]]*TownTeam1[[#This Row],[Item quantity]]</f>
        <v>800</v>
      </c>
      <c r="J1015" s="30">
        <f>IF(TownTeam1[[#This Row],[Item name]]=" Jeans - Denim",TownTeam1[[#This Row],[Total sales]]*0.85,TownTeam1[[#This Row],[Total sales]])</f>
        <v>800</v>
      </c>
    </row>
    <row r="1016" spans="2:10" x14ac:dyDescent="0.25">
      <c r="B1016" s="28">
        <v>1012</v>
      </c>
      <c r="C1016" s="35">
        <v>44477</v>
      </c>
      <c r="D1016" s="29" t="s">
        <v>9</v>
      </c>
      <c r="E1016" s="29" t="s">
        <v>12</v>
      </c>
      <c r="F1016" s="29" t="s">
        <v>11</v>
      </c>
      <c r="G1016" s="28">
        <v>900</v>
      </c>
      <c r="H1016" s="28">
        <v>1</v>
      </c>
      <c r="I1016" s="30">
        <f>TownTeam1[[#This Row],[Selling price]]*TownTeam1[[#This Row],[Item quantity]]</f>
        <v>900</v>
      </c>
      <c r="J1016" s="30">
        <f>IF(TownTeam1[[#This Row],[Item name]]=" Jeans - Denim",TownTeam1[[#This Row],[Total sales]]*0.85,TownTeam1[[#This Row],[Total sales]])</f>
        <v>765</v>
      </c>
    </row>
    <row r="1017" spans="2:10" x14ac:dyDescent="0.25">
      <c r="B1017" s="28">
        <v>1013</v>
      </c>
      <c r="C1017" s="35">
        <v>44478</v>
      </c>
      <c r="D1017" s="29" t="s">
        <v>9</v>
      </c>
      <c r="E1017" s="29" t="s">
        <v>12</v>
      </c>
      <c r="F1017" s="29" t="s">
        <v>11</v>
      </c>
      <c r="G1017" s="28">
        <v>900</v>
      </c>
      <c r="H1017" s="28">
        <v>1</v>
      </c>
      <c r="I1017" s="30">
        <f>TownTeam1[[#This Row],[Selling price]]*TownTeam1[[#This Row],[Item quantity]]</f>
        <v>900</v>
      </c>
      <c r="J1017" s="30">
        <f>IF(TownTeam1[[#This Row],[Item name]]=" Jeans - Denim",TownTeam1[[#This Row],[Total sales]]*0.85,TownTeam1[[#This Row],[Total sales]])</f>
        <v>765</v>
      </c>
    </row>
    <row r="1018" spans="2:10" x14ac:dyDescent="0.25">
      <c r="B1018" s="28">
        <v>1014</v>
      </c>
      <c r="C1018" s="35">
        <v>44479</v>
      </c>
      <c r="D1018" s="29" t="s">
        <v>9</v>
      </c>
      <c r="E1018" s="29" t="s">
        <v>10</v>
      </c>
      <c r="F1018" s="29" t="s">
        <v>11</v>
      </c>
      <c r="G1018" s="28">
        <v>1100</v>
      </c>
      <c r="H1018" s="28">
        <v>1</v>
      </c>
      <c r="I1018" s="30">
        <f>TownTeam1[[#This Row],[Selling price]]*TownTeam1[[#This Row],[Item quantity]]</f>
        <v>1100</v>
      </c>
      <c r="J1018" s="30">
        <f>IF(TownTeam1[[#This Row],[Item name]]=" Jeans - Denim",TownTeam1[[#This Row],[Total sales]]*0.85,TownTeam1[[#This Row],[Total sales]])</f>
        <v>1100</v>
      </c>
    </row>
    <row r="1019" spans="2:10" x14ac:dyDescent="0.25">
      <c r="B1019" s="28">
        <v>1015</v>
      </c>
      <c r="C1019" s="35">
        <v>44480</v>
      </c>
      <c r="D1019" s="29" t="s">
        <v>9</v>
      </c>
      <c r="E1019" s="29" t="s">
        <v>14</v>
      </c>
      <c r="F1019" s="29" t="s">
        <v>11</v>
      </c>
      <c r="G1019" s="28">
        <v>900</v>
      </c>
      <c r="H1019" s="28">
        <v>1</v>
      </c>
      <c r="I1019" s="30">
        <f>TownTeam1[[#This Row],[Selling price]]*TownTeam1[[#This Row],[Item quantity]]</f>
        <v>900</v>
      </c>
      <c r="J1019" s="30">
        <f>IF(TownTeam1[[#This Row],[Item name]]=" Jeans - Denim",TownTeam1[[#This Row],[Total sales]]*0.85,TownTeam1[[#This Row],[Total sales]])</f>
        <v>900</v>
      </c>
    </row>
    <row r="1020" spans="2:10" x14ac:dyDescent="0.25">
      <c r="B1020" s="28">
        <v>1016</v>
      </c>
      <c r="C1020" s="35">
        <v>44481</v>
      </c>
      <c r="D1020" s="29" t="s">
        <v>9</v>
      </c>
      <c r="E1020" s="29" t="s">
        <v>18</v>
      </c>
      <c r="F1020" s="29" t="s">
        <v>17</v>
      </c>
      <c r="G1020" s="28">
        <v>600</v>
      </c>
      <c r="H1020" s="28">
        <v>1</v>
      </c>
      <c r="I1020" s="30">
        <f>TownTeam1[[#This Row],[Selling price]]*TownTeam1[[#This Row],[Item quantity]]</f>
        <v>600</v>
      </c>
      <c r="J1020" s="30">
        <f>IF(TownTeam1[[#This Row],[Item name]]=" Jeans - Denim",TownTeam1[[#This Row],[Total sales]]*0.85,TownTeam1[[#This Row],[Total sales]])</f>
        <v>600</v>
      </c>
    </row>
    <row r="1021" spans="2:10" x14ac:dyDescent="0.25">
      <c r="B1021" s="28">
        <v>1017</v>
      </c>
      <c r="C1021" s="35">
        <v>44482</v>
      </c>
      <c r="D1021" s="29" t="s">
        <v>9</v>
      </c>
      <c r="E1021" s="29" t="s">
        <v>18</v>
      </c>
      <c r="F1021" s="29" t="s">
        <v>17</v>
      </c>
      <c r="G1021" s="28">
        <v>600</v>
      </c>
      <c r="H1021" s="28">
        <v>1</v>
      </c>
      <c r="I1021" s="30">
        <f>TownTeam1[[#This Row],[Selling price]]*TownTeam1[[#This Row],[Item quantity]]</f>
        <v>600</v>
      </c>
      <c r="J1021" s="30">
        <f>IF(TownTeam1[[#This Row],[Item name]]=" Jeans - Denim",TownTeam1[[#This Row],[Total sales]]*0.85,TownTeam1[[#This Row],[Total sales]])</f>
        <v>600</v>
      </c>
    </row>
    <row r="1022" spans="2:10" x14ac:dyDescent="0.25">
      <c r="B1022" s="28">
        <v>1018</v>
      </c>
      <c r="C1022" s="35">
        <v>44483</v>
      </c>
      <c r="D1022" s="29" t="s">
        <v>9</v>
      </c>
      <c r="E1022" s="29" t="s">
        <v>14</v>
      </c>
      <c r="F1022" s="29" t="s">
        <v>11</v>
      </c>
      <c r="G1022" s="28">
        <v>900</v>
      </c>
      <c r="H1022" s="28">
        <v>1</v>
      </c>
      <c r="I1022" s="30">
        <f>TownTeam1[[#This Row],[Selling price]]*TownTeam1[[#This Row],[Item quantity]]</f>
        <v>900</v>
      </c>
      <c r="J1022" s="30">
        <f>IF(TownTeam1[[#This Row],[Item name]]=" Jeans - Denim",TownTeam1[[#This Row],[Total sales]]*0.85,TownTeam1[[#This Row],[Total sales]])</f>
        <v>900</v>
      </c>
    </row>
    <row r="1023" spans="2:10" x14ac:dyDescent="0.25">
      <c r="B1023" s="28">
        <v>1019</v>
      </c>
      <c r="C1023" s="35">
        <v>44484</v>
      </c>
      <c r="D1023" s="29" t="s">
        <v>9</v>
      </c>
      <c r="E1023" s="29" t="s">
        <v>19</v>
      </c>
      <c r="F1023" s="29" t="s">
        <v>20</v>
      </c>
      <c r="G1023" s="28">
        <v>850</v>
      </c>
      <c r="H1023" s="28">
        <v>1</v>
      </c>
      <c r="I1023" s="30">
        <f>TownTeam1[[#This Row],[Selling price]]*TownTeam1[[#This Row],[Item quantity]]</f>
        <v>850</v>
      </c>
      <c r="J1023" s="30">
        <f>IF(TownTeam1[[#This Row],[Item name]]=" Jeans - Denim",TownTeam1[[#This Row],[Total sales]]*0.85,TownTeam1[[#This Row],[Total sales]])</f>
        <v>850</v>
      </c>
    </row>
    <row r="1024" spans="2:10" x14ac:dyDescent="0.25">
      <c r="B1024" s="28">
        <v>1020</v>
      </c>
      <c r="C1024" s="35">
        <v>44485</v>
      </c>
      <c r="D1024" s="29" t="s">
        <v>9</v>
      </c>
      <c r="E1024" s="29" t="s">
        <v>14</v>
      </c>
      <c r="F1024" s="29" t="s">
        <v>11</v>
      </c>
      <c r="G1024" s="28">
        <v>900</v>
      </c>
      <c r="H1024" s="28">
        <v>1</v>
      </c>
      <c r="I1024" s="30">
        <f>TownTeam1[[#This Row],[Selling price]]*TownTeam1[[#This Row],[Item quantity]]</f>
        <v>900</v>
      </c>
      <c r="J1024" s="30">
        <f>IF(TownTeam1[[#This Row],[Item name]]=" Jeans - Denim",TownTeam1[[#This Row],[Total sales]]*0.85,TownTeam1[[#This Row],[Total sales]])</f>
        <v>900</v>
      </c>
    </row>
    <row r="1025" spans="2:10" x14ac:dyDescent="0.25">
      <c r="B1025" s="28">
        <v>1021</v>
      </c>
      <c r="C1025" s="35">
        <v>44486</v>
      </c>
      <c r="D1025" s="29" t="s">
        <v>9</v>
      </c>
      <c r="E1025" s="29" t="s">
        <v>18</v>
      </c>
      <c r="F1025" s="29" t="s">
        <v>17</v>
      </c>
      <c r="G1025" s="28">
        <v>600</v>
      </c>
      <c r="H1025" s="28">
        <v>1</v>
      </c>
      <c r="I1025" s="30">
        <f>TownTeam1[[#This Row],[Selling price]]*TownTeam1[[#This Row],[Item quantity]]</f>
        <v>600</v>
      </c>
      <c r="J1025" s="30">
        <f>IF(TownTeam1[[#This Row],[Item name]]=" Jeans - Denim",TownTeam1[[#This Row],[Total sales]]*0.85,TownTeam1[[#This Row],[Total sales]])</f>
        <v>600</v>
      </c>
    </row>
    <row r="1026" spans="2:10" x14ac:dyDescent="0.25">
      <c r="B1026" s="28">
        <v>1022</v>
      </c>
      <c r="C1026" s="35">
        <v>44487</v>
      </c>
      <c r="D1026" s="29" t="s">
        <v>13</v>
      </c>
      <c r="E1026" s="29" t="s">
        <v>18</v>
      </c>
      <c r="F1026" s="29" t="s">
        <v>17</v>
      </c>
      <c r="G1026" s="28">
        <v>600</v>
      </c>
      <c r="H1026" s="28">
        <v>1</v>
      </c>
      <c r="I1026" s="30">
        <f>TownTeam1[[#This Row],[Selling price]]*TownTeam1[[#This Row],[Item quantity]]</f>
        <v>600</v>
      </c>
      <c r="J1026" s="30">
        <f>IF(TownTeam1[[#This Row],[Item name]]=" Jeans - Denim",TownTeam1[[#This Row],[Total sales]]*0.85,TownTeam1[[#This Row],[Total sales]])</f>
        <v>600</v>
      </c>
    </row>
    <row r="1027" spans="2:10" x14ac:dyDescent="0.25">
      <c r="B1027" s="28">
        <v>1023</v>
      </c>
      <c r="C1027" s="35">
        <v>44488</v>
      </c>
      <c r="D1027" s="29" t="s">
        <v>13</v>
      </c>
      <c r="E1027" s="29" t="s">
        <v>10</v>
      </c>
      <c r="F1027" s="29" t="s">
        <v>11</v>
      </c>
      <c r="G1027" s="28">
        <v>1100</v>
      </c>
      <c r="H1027" s="28">
        <v>1</v>
      </c>
      <c r="I1027" s="30">
        <f>TownTeam1[[#This Row],[Selling price]]*TownTeam1[[#This Row],[Item quantity]]</f>
        <v>1100</v>
      </c>
      <c r="J1027" s="30">
        <f>IF(TownTeam1[[#This Row],[Item name]]=" Jeans - Denim",TownTeam1[[#This Row],[Total sales]]*0.85,TownTeam1[[#This Row],[Total sales]])</f>
        <v>1100</v>
      </c>
    </row>
    <row r="1028" spans="2:10" x14ac:dyDescent="0.25">
      <c r="B1028" s="28">
        <v>1024</v>
      </c>
      <c r="C1028" s="35">
        <v>44489</v>
      </c>
      <c r="D1028" s="29" t="s">
        <v>13</v>
      </c>
      <c r="E1028" s="29" t="s">
        <v>12</v>
      </c>
      <c r="F1028" s="29" t="s">
        <v>11</v>
      </c>
      <c r="G1028" s="28">
        <v>900</v>
      </c>
      <c r="H1028" s="28">
        <v>1</v>
      </c>
      <c r="I1028" s="30">
        <f>TownTeam1[[#This Row],[Selling price]]*TownTeam1[[#This Row],[Item quantity]]</f>
        <v>900</v>
      </c>
      <c r="J1028" s="30">
        <f>IF(TownTeam1[[#This Row],[Item name]]=" Jeans - Denim",TownTeam1[[#This Row],[Total sales]]*0.85,TownTeam1[[#This Row],[Total sales]])</f>
        <v>765</v>
      </c>
    </row>
    <row r="1029" spans="2:10" x14ac:dyDescent="0.25">
      <c r="B1029" s="28">
        <v>1025</v>
      </c>
      <c r="C1029" s="35">
        <v>44490</v>
      </c>
      <c r="D1029" s="29" t="s">
        <v>13</v>
      </c>
      <c r="E1029" s="29" t="s">
        <v>10</v>
      </c>
      <c r="F1029" s="29" t="s">
        <v>11</v>
      </c>
      <c r="G1029" s="28">
        <v>1100</v>
      </c>
      <c r="H1029" s="28">
        <v>1</v>
      </c>
      <c r="I1029" s="30">
        <f>TownTeam1[[#This Row],[Selling price]]*TownTeam1[[#This Row],[Item quantity]]</f>
        <v>1100</v>
      </c>
      <c r="J1029" s="30">
        <f>IF(TownTeam1[[#This Row],[Item name]]=" Jeans - Denim",TownTeam1[[#This Row],[Total sales]]*0.85,TownTeam1[[#This Row],[Total sales]])</f>
        <v>1100</v>
      </c>
    </row>
    <row r="1030" spans="2:10" x14ac:dyDescent="0.25">
      <c r="B1030" s="28">
        <v>1026</v>
      </c>
      <c r="C1030" s="35">
        <v>44491</v>
      </c>
      <c r="D1030" s="29" t="s">
        <v>13</v>
      </c>
      <c r="E1030" s="29" t="s">
        <v>18</v>
      </c>
      <c r="F1030" s="29" t="s">
        <v>17</v>
      </c>
      <c r="G1030" s="28">
        <v>600</v>
      </c>
      <c r="H1030" s="28">
        <v>1</v>
      </c>
      <c r="I1030" s="30">
        <f>TownTeam1[[#This Row],[Selling price]]*TownTeam1[[#This Row],[Item quantity]]</f>
        <v>600</v>
      </c>
      <c r="J1030" s="30">
        <f>IF(TownTeam1[[#This Row],[Item name]]=" Jeans - Denim",TownTeam1[[#This Row],[Total sales]]*0.85,TownTeam1[[#This Row],[Total sales]])</f>
        <v>600</v>
      </c>
    </row>
    <row r="1031" spans="2:10" x14ac:dyDescent="0.25">
      <c r="B1031" s="28">
        <v>1027</v>
      </c>
      <c r="C1031" s="35">
        <v>44492</v>
      </c>
      <c r="D1031" s="29" t="s">
        <v>13</v>
      </c>
      <c r="E1031" s="29" t="s">
        <v>21</v>
      </c>
      <c r="F1031" s="29" t="s">
        <v>20</v>
      </c>
      <c r="G1031" s="28">
        <v>1200</v>
      </c>
      <c r="H1031" s="28">
        <v>1</v>
      </c>
      <c r="I1031" s="30">
        <f>TownTeam1[[#This Row],[Selling price]]*TownTeam1[[#This Row],[Item quantity]]</f>
        <v>1200</v>
      </c>
      <c r="J1031" s="30">
        <f>IF(TownTeam1[[#This Row],[Item name]]=" Jeans - Denim",TownTeam1[[#This Row],[Total sales]]*0.85,TownTeam1[[#This Row],[Total sales]])</f>
        <v>1200</v>
      </c>
    </row>
    <row r="1032" spans="2:10" x14ac:dyDescent="0.25">
      <c r="B1032" s="28">
        <v>1028</v>
      </c>
      <c r="C1032" s="35">
        <v>44493</v>
      </c>
      <c r="D1032" s="29" t="s">
        <v>13</v>
      </c>
      <c r="E1032" s="29" t="s">
        <v>24</v>
      </c>
      <c r="F1032" s="29" t="s">
        <v>23</v>
      </c>
      <c r="G1032" s="28">
        <v>600</v>
      </c>
      <c r="H1032" s="28">
        <v>1</v>
      </c>
      <c r="I1032" s="30">
        <f>TownTeam1[[#This Row],[Selling price]]*TownTeam1[[#This Row],[Item quantity]]</f>
        <v>600</v>
      </c>
      <c r="J1032" s="30">
        <f>IF(TownTeam1[[#This Row],[Item name]]=" Jeans - Denim",TownTeam1[[#This Row],[Total sales]]*0.85,TownTeam1[[#This Row],[Total sales]])</f>
        <v>600</v>
      </c>
    </row>
    <row r="1033" spans="2:10" x14ac:dyDescent="0.25">
      <c r="B1033" s="28">
        <v>1029</v>
      </c>
      <c r="C1033" s="35">
        <v>44494</v>
      </c>
      <c r="D1033" s="29" t="s">
        <v>13</v>
      </c>
      <c r="E1033" s="29" t="s">
        <v>10</v>
      </c>
      <c r="F1033" s="29" t="s">
        <v>11</v>
      </c>
      <c r="G1033" s="28">
        <v>1100</v>
      </c>
      <c r="H1033" s="28">
        <v>1</v>
      </c>
      <c r="I1033" s="30">
        <f>TownTeam1[[#This Row],[Selling price]]*TownTeam1[[#This Row],[Item quantity]]</f>
        <v>1100</v>
      </c>
      <c r="J1033" s="30">
        <f>IF(TownTeam1[[#This Row],[Item name]]=" Jeans - Denim",TownTeam1[[#This Row],[Total sales]]*0.85,TownTeam1[[#This Row],[Total sales]])</f>
        <v>1100</v>
      </c>
    </row>
    <row r="1034" spans="2:10" x14ac:dyDescent="0.25">
      <c r="B1034" s="28">
        <v>1030</v>
      </c>
      <c r="C1034" s="35">
        <v>44495</v>
      </c>
      <c r="D1034" s="29" t="s">
        <v>13</v>
      </c>
      <c r="E1034" s="29" t="s">
        <v>22</v>
      </c>
      <c r="F1034" s="29" t="s">
        <v>23</v>
      </c>
      <c r="G1034" s="28">
        <v>500</v>
      </c>
      <c r="H1034" s="28">
        <v>1</v>
      </c>
      <c r="I1034" s="30">
        <f>TownTeam1[[#This Row],[Selling price]]*TownTeam1[[#This Row],[Item quantity]]</f>
        <v>500</v>
      </c>
      <c r="J1034" s="30">
        <f>IF(TownTeam1[[#This Row],[Item name]]=" Jeans - Denim",TownTeam1[[#This Row],[Total sales]]*0.85,TownTeam1[[#This Row],[Total sales]])</f>
        <v>500</v>
      </c>
    </row>
    <row r="1035" spans="2:10" x14ac:dyDescent="0.25">
      <c r="B1035" s="28">
        <v>1031</v>
      </c>
      <c r="C1035" s="35">
        <v>44496</v>
      </c>
      <c r="D1035" s="29" t="s">
        <v>9</v>
      </c>
      <c r="E1035" s="29" t="s">
        <v>12</v>
      </c>
      <c r="F1035" s="29" t="s">
        <v>11</v>
      </c>
      <c r="G1035" s="28">
        <v>900</v>
      </c>
      <c r="H1035" s="28">
        <v>1</v>
      </c>
      <c r="I1035" s="30">
        <f>TownTeam1[[#This Row],[Selling price]]*TownTeam1[[#This Row],[Item quantity]]</f>
        <v>900</v>
      </c>
      <c r="J1035" s="30">
        <f>IF(TownTeam1[[#This Row],[Item name]]=" Jeans - Denim",TownTeam1[[#This Row],[Total sales]]*0.85,TownTeam1[[#This Row],[Total sales]])</f>
        <v>765</v>
      </c>
    </row>
    <row r="1036" spans="2:10" x14ac:dyDescent="0.25">
      <c r="B1036" s="28">
        <v>1032</v>
      </c>
      <c r="C1036" s="35">
        <v>44497</v>
      </c>
      <c r="D1036" s="29" t="s">
        <v>9</v>
      </c>
      <c r="E1036" s="29" t="s">
        <v>19</v>
      </c>
      <c r="F1036" s="29" t="s">
        <v>20</v>
      </c>
      <c r="G1036" s="28">
        <v>850</v>
      </c>
      <c r="H1036" s="28">
        <v>1</v>
      </c>
      <c r="I1036" s="30">
        <f>TownTeam1[[#This Row],[Selling price]]*TownTeam1[[#This Row],[Item quantity]]</f>
        <v>850</v>
      </c>
      <c r="J1036" s="30">
        <f>IF(TownTeam1[[#This Row],[Item name]]=" Jeans - Denim",TownTeam1[[#This Row],[Total sales]]*0.85,TownTeam1[[#This Row],[Total sales]])</f>
        <v>850</v>
      </c>
    </row>
    <row r="1037" spans="2:10" x14ac:dyDescent="0.25">
      <c r="B1037" s="28">
        <v>1033</v>
      </c>
      <c r="C1037" s="35">
        <v>44498</v>
      </c>
      <c r="D1037" s="29" t="s">
        <v>9</v>
      </c>
      <c r="E1037" s="29" t="s">
        <v>18</v>
      </c>
      <c r="F1037" s="29" t="s">
        <v>17</v>
      </c>
      <c r="G1037" s="28">
        <v>600</v>
      </c>
      <c r="H1037" s="28">
        <v>1</v>
      </c>
      <c r="I1037" s="30">
        <f>TownTeam1[[#This Row],[Selling price]]*TownTeam1[[#This Row],[Item quantity]]</f>
        <v>600</v>
      </c>
      <c r="J1037" s="30">
        <f>IF(TownTeam1[[#This Row],[Item name]]=" Jeans - Denim",TownTeam1[[#This Row],[Total sales]]*0.85,TownTeam1[[#This Row],[Total sales]])</f>
        <v>600</v>
      </c>
    </row>
    <row r="1038" spans="2:10" x14ac:dyDescent="0.25">
      <c r="B1038" s="28">
        <v>1034</v>
      </c>
      <c r="C1038" s="35">
        <v>44499</v>
      </c>
      <c r="D1038" s="29" t="s">
        <v>9</v>
      </c>
      <c r="E1038" s="29" t="s">
        <v>10</v>
      </c>
      <c r="F1038" s="29" t="s">
        <v>11</v>
      </c>
      <c r="G1038" s="28">
        <v>1100</v>
      </c>
      <c r="H1038" s="28">
        <v>1</v>
      </c>
      <c r="I1038" s="30">
        <f>TownTeam1[[#This Row],[Selling price]]*TownTeam1[[#This Row],[Item quantity]]</f>
        <v>1100</v>
      </c>
      <c r="J1038" s="30">
        <f>IF(TownTeam1[[#This Row],[Item name]]=" Jeans - Denim",TownTeam1[[#This Row],[Total sales]]*0.85,TownTeam1[[#This Row],[Total sales]])</f>
        <v>1100</v>
      </c>
    </row>
    <row r="1039" spans="2:10" x14ac:dyDescent="0.25">
      <c r="B1039" s="28">
        <v>1035</v>
      </c>
      <c r="C1039" s="35">
        <v>44500</v>
      </c>
      <c r="D1039" s="29" t="s">
        <v>9</v>
      </c>
      <c r="E1039" s="29" t="s">
        <v>22</v>
      </c>
      <c r="F1039" s="29" t="s">
        <v>23</v>
      </c>
      <c r="G1039" s="28">
        <v>500</v>
      </c>
      <c r="H1039" s="28">
        <v>1</v>
      </c>
      <c r="I1039" s="30">
        <f>TownTeam1[[#This Row],[Selling price]]*TownTeam1[[#This Row],[Item quantity]]</f>
        <v>500</v>
      </c>
      <c r="J1039" s="30">
        <f>IF(TownTeam1[[#This Row],[Item name]]=" Jeans - Denim",TownTeam1[[#This Row],[Total sales]]*0.85,TownTeam1[[#This Row],[Total sales]])</f>
        <v>500</v>
      </c>
    </row>
    <row r="1040" spans="2:10" x14ac:dyDescent="0.25">
      <c r="B1040" s="28">
        <v>1036</v>
      </c>
      <c r="C1040" s="35">
        <v>44501</v>
      </c>
      <c r="D1040" s="29" t="s">
        <v>9</v>
      </c>
      <c r="E1040" s="29" t="s">
        <v>18</v>
      </c>
      <c r="F1040" s="29" t="s">
        <v>17</v>
      </c>
      <c r="G1040" s="28">
        <v>600</v>
      </c>
      <c r="H1040" s="28">
        <v>1</v>
      </c>
      <c r="I1040" s="30">
        <f>TownTeam1[[#This Row],[Selling price]]*TownTeam1[[#This Row],[Item quantity]]</f>
        <v>600</v>
      </c>
      <c r="J1040" s="30">
        <f>IF(TownTeam1[[#This Row],[Item name]]=" Jeans - Denim",TownTeam1[[#This Row],[Total sales]]*0.85,TownTeam1[[#This Row],[Total sales]])</f>
        <v>600</v>
      </c>
    </row>
    <row r="1041" spans="2:8" x14ac:dyDescent="0.25">
      <c r="B1041"/>
      <c r="C1041"/>
      <c r="D1041"/>
      <c r="E1041"/>
      <c r="F1041"/>
      <c r="G1041"/>
      <c r="H1041"/>
    </row>
    <row r="1042" spans="2:8" x14ac:dyDescent="0.25">
      <c r="B1042"/>
      <c r="C1042"/>
      <c r="D1042"/>
      <c r="E1042"/>
      <c r="F1042"/>
      <c r="G1042"/>
      <c r="H1042"/>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E80"/>
  <sheetViews>
    <sheetView topLeftCell="A64" zoomScale="130" zoomScaleNormal="130" workbookViewId="0">
      <selection activeCell="B71" sqref="B71"/>
    </sheetView>
  </sheetViews>
  <sheetFormatPr defaultRowHeight="13.8" x14ac:dyDescent="0.25"/>
  <cols>
    <col min="1" max="1" width="13" bestFit="1" customWidth="1"/>
    <col min="2" max="2" width="18.09765625" bestFit="1" customWidth="1"/>
    <col min="3" max="3" width="20.796875" bestFit="1" customWidth="1"/>
    <col min="4" max="4" width="17.59765625" bestFit="1" customWidth="1"/>
    <col min="5" max="5" width="17.09765625" bestFit="1" customWidth="1"/>
    <col min="6" max="6" width="11.296875" bestFit="1" customWidth="1"/>
    <col min="7" max="7" width="6.19921875" bestFit="1" customWidth="1"/>
    <col min="8" max="8" width="12.296875" bestFit="1" customWidth="1"/>
    <col min="9" max="9" width="9" bestFit="1" customWidth="1"/>
    <col min="10" max="10" width="7.296875" bestFit="1" customWidth="1"/>
    <col min="11" max="11" width="7" bestFit="1" customWidth="1"/>
    <col min="12" max="12" width="10.8984375" bestFit="1" customWidth="1"/>
  </cols>
  <sheetData>
    <row r="3" spans="1:2" x14ac:dyDescent="0.25">
      <c r="A3" s="8" t="s">
        <v>60</v>
      </c>
      <c r="B3" t="s">
        <v>58</v>
      </c>
    </row>
    <row r="4" spans="1:2" x14ac:dyDescent="0.25">
      <c r="A4" s="9" t="s">
        <v>10</v>
      </c>
      <c r="B4">
        <v>199</v>
      </c>
    </row>
    <row r="5" spans="1:2" x14ac:dyDescent="0.25">
      <c r="A5" s="9" t="s">
        <v>18</v>
      </c>
      <c r="B5">
        <v>198</v>
      </c>
    </row>
    <row r="6" spans="1:2" x14ac:dyDescent="0.25">
      <c r="A6" s="9" t="s">
        <v>12</v>
      </c>
      <c r="B6">
        <v>178</v>
      </c>
    </row>
    <row r="7" spans="1:2" x14ac:dyDescent="0.25">
      <c r="A7" s="9" t="s">
        <v>14</v>
      </c>
      <c r="B7">
        <v>121</v>
      </c>
    </row>
    <row r="8" spans="1:2" x14ac:dyDescent="0.25">
      <c r="A8" s="9" t="s">
        <v>15</v>
      </c>
      <c r="B8">
        <v>68</v>
      </c>
    </row>
    <row r="9" spans="1:2" x14ac:dyDescent="0.25">
      <c r="A9" s="9" t="s">
        <v>16</v>
      </c>
      <c r="B9">
        <v>64</v>
      </c>
    </row>
    <row r="10" spans="1:2" x14ac:dyDescent="0.25">
      <c r="A10" s="9" t="s">
        <v>19</v>
      </c>
      <c r="B10">
        <v>57</v>
      </c>
    </row>
    <row r="11" spans="1:2" x14ac:dyDescent="0.25">
      <c r="A11" s="9" t="s">
        <v>22</v>
      </c>
      <c r="B11">
        <v>56</v>
      </c>
    </row>
    <row r="12" spans="1:2" x14ac:dyDescent="0.25">
      <c r="A12" s="9" t="s">
        <v>24</v>
      </c>
      <c r="B12">
        <v>51</v>
      </c>
    </row>
    <row r="13" spans="1:2" x14ac:dyDescent="0.25">
      <c r="A13" s="9" t="s">
        <v>21</v>
      </c>
      <c r="B13">
        <v>46</v>
      </c>
    </row>
    <row r="14" spans="1:2" x14ac:dyDescent="0.25">
      <c r="A14" s="9" t="s">
        <v>40</v>
      </c>
      <c r="B14">
        <v>1038</v>
      </c>
    </row>
    <row r="18" spans="1:2" x14ac:dyDescent="0.25">
      <c r="A18" t="s">
        <v>61</v>
      </c>
    </row>
    <row r="19" spans="1:2" x14ac:dyDescent="0.25">
      <c r="A19" s="10">
        <v>988000</v>
      </c>
    </row>
    <row r="22" spans="1:2" x14ac:dyDescent="0.25">
      <c r="A22" s="8" t="s">
        <v>59</v>
      </c>
      <c r="B22" t="s">
        <v>61</v>
      </c>
    </row>
    <row r="23" spans="1:2" x14ac:dyDescent="0.25">
      <c r="A23" s="9">
        <v>2019</v>
      </c>
      <c r="B23">
        <v>352350</v>
      </c>
    </row>
    <row r="24" spans="1:2" x14ac:dyDescent="0.25">
      <c r="A24" s="9">
        <v>2020</v>
      </c>
      <c r="B24">
        <v>357950</v>
      </c>
    </row>
    <row r="25" spans="1:2" x14ac:dyDescent="0.25">
      <c r="A25" s="9">
        <v>2021</v>
      </c>
      <c r="B25">
        <v>277700</v>
      </c>
    </row>
    <row r="26" spans="1:2" x14ac:dyDescent="0.25">
      <c r="A26" s="9" t="s">
        <v>40</v>
      </c>
      <c r="B26">
        <v>988000</v>
      </c>
    </row>
    <row r="32" spans="1:2" x14ac:dyDescent="0.25">
      <c r="A32" s="8" t="s">
        <v>62</v>
      </c>
      <c r="B32" t="s">
        <v>61</v>
      </c>
    </row>
    <row r="33" spans="1:2" x14ac:dyDescent="0.25">
      <c r="A33" s="9" t="s">
        <v>23</v>
      </c>
      <c r="B33">
        <v>67600</v>
      </c>
    </row>
    <row r="34" spans="1:2" x14ac:dyDescent="0.25">
      <c r="A34" s="12" t="s">
        <v>24</v>
      </c>
      <c r="B34">
        <v>31800</v>
      </c>
    </row>
    <row r="35" spans="1:2" x14ac:dyDescent="0.25">
      <c r="A35" s="12" t="s">
        <v>22</v>
      </c>
      <c r="B35">
        <v>35800</v>
      </c>
    </row>
    <row r="36" spans="1:2" x14ac:dyDescent="0.25">
      <c r="A36" s="9" t="s">
        <v>11</v>
      </c>
      <c r="B36">
        <v>633600</v>
      </c>
    </row>
    <row r="37" spans="1:2" x14ac:dyDescent="0.25">
      <c r="A37" s="12" t="s">
        <v>12</v>
      </c>
      <c r="B37">
        <v>195800</v>
      </c>
    </row>
    <row r="38" spans="1:2" x14ac:dyDescent="0.25">
      <c r="A38" s="12" t="s">
        <v>15</v>
      </c>
      <c r="B38">
        <v>67800</v>
      </c>
    </row>
    <row r="39" spans="1:2" x14ac:dyDescent="0.25">
      <c r="A39" s="12" t="s">
        <v>10</v>
      </c>
      <c r="B39">
        <v>253900</v>
      </c>
    </row>
    <row r="40" spans="1:2" x14ac:dyDescent="0.25">
      <c r="A40" s="12" t="s">
        <v>14</v>
      </c>
      <c r="B40">
        <v>116100</v>
      </c>
    </row>
    <row r="41" spans="1:2" x14ac:dyDescent="0.25">
      <c r="A41" s="9" t="s">
        <v>20</v>
      </c>
      <c r="B41">
        <v>107000</v>
      </c>
    </row>
    <row r="42" spans="1:2" x14ac:dyDescent="0.25">
      <c r="A42" s="12" t="s">
        <v>19</v>
      </c>
      <c r="B42">
        <v>48500</v>
      </c>
    </row>
    <row r="43" spans="1:2" x14ac:dyDescent="0.25">
      <c r="A43" s="12" t="s">
        <v>21</v>
      </c>
      <c r="B43">
        <v>58500</v>
      </c>
    </row>
    <row r="44" spans="1:2" x14ac:dyDescent="0.25">
      <c r="A44" s="9" t="s">
        <v>17</v>
      </c>
      <c r="B44">
        <v>179800</v>
      </c>
    </row>
    <row r="45" spans="1:2" x14ac:dyDescent="0.25">
      <c r="A45" s="12" t="s">
        <v>16</v>
      </c>
      <c r="B45">
        <v>56800</v>
      </c>
    </row>
    <row r="46" spans="1:2" x14ac:dyDescent="0.25">
      <c r="A46" s="12" t="s">
        <v>18</v>
      </c>
      <c r="B46">
        <v>123000</v>
      </c>
    </row>
    <row r="47" spans="1:2" x14ac:dyDescent="0.25">
      <c r="A47" s="9" t="s">
        <v>40</v>
      </c>
      <c r="B47">
        <v>988000</v>
      </c>
    </row>
    <row r="50" spans="1:5" x14ac:dyDescent="0.25">
      <c r="A50" s="8" t="s">
        <v>62</v>
      </c>
      <c r="B50" t="s">
        <v>61</v>
      </c>
      <c r="C50" t="s">
        <v>63</v>
      </c>
      <c r="D50" t="s">
        <v>64</v>
      </c>
      <c r="E50" t="s">
        <v>65</v>
      </c>
    </row>
    <row r="51" spans="1:5" x14ac:dyDescent="0.25">
      <c r="A51" s="9" t="s">
        <v>24</v>
      </c>
      <c r="B51">
        <v>31800</v>
      </c>
      <c r="C51">
        <v>623.52941176470586</v>
      </c>
      <c r="D51">
        <v>1200</v>
      </c>
      <c r="E51">
        <v>300</v>
      </c>
    </row>
    <row r="52" spans="1:5" x14ac:dyDescent="0.25">
      <c r="A52" s="9" t="s">
        <v>12</v>
      </c>
      <c r="B52">
        <v>195800</v>
      </c>
      <c r="C52">
        <v>1100</v>
      </c>
      <c r="D52">
        <v>2700</v>
      </c>
      <c r="E52">
        <v>900</v>
      </c>
    </row>
    <row r="53" spans="1:5" x14ac:dyDescent="0.25">
      <c r="A53" s="9" t="s">
        <v>15</v>
      </c>
      <c r="B53">
        <v>67800</v>
      </c>
      <c r="C53">
        <v>997.05882352941171</v>
      </c>
      <c r="D53">
        <v>1000</v>
      </c>
      <c r="E53">
        <v>900</v>
      </c>
    </row>
    <row r="54" spans="1:5" x14ac:dyDescent="0.25">
      <c r="A54" s="9" t="s">
        <v>10</v>
      </c>
      <c r="B54">
        <v>253900</v>
      </c>
      <c r="C54">
        <v>1275.8793969849246</v>
      </c>
      <c r="D54">
        <v>3300</v>
      </c>
      <c r="E54">
        <v>900</v>
      </c>
    </row>
    <row r="55" spans="1:5" x14ac:dyDescent="0.25">
      <c r="A55" s="9" t="s">
        <v>14</v>
      </c>
      <c r="B55">
        <v>116100</v>
      </c>
      <c r="C55">
        <v>959.50413223140492</v>
      </c>
      <c r="D55">
        <v>2700</v>
      </c>
      <c r="E55">
        <v>900</v>
      </c>
    </row>
    <row r="56" spans="1:5" x14ac:dyDescent="0.25">
      <c r="A56" s="9" t="s">
        <v>19</v>
      </c>
      <c r="B56">
        <v>48500</v>
      </c>
      <c r="C56">
        <v>850.87719298245611</v>
      </c>
      <c r="D56">
        <v>900</v>
      </c>
      <c r="E56">
        <v>850</v>
      </c>
    </row>
    <row r="57" spans="1:5" x14ac:dyDescent="0.25">
      <c r="A57" s="9" t="s">
        <v>21</v>
      </c>
      <c r="B57">
        <v>58500</v>
      </c>
      <c r="C57">
        <v>1271.7391304347825</v>
      </c>
      <c r="D57">
        <v>2400</v>
      </c>
      <c r="E57">
        <v>900</v>
      </c>
    </row>
    <row r="58" spans="1:5" x14ac:dyDescent="0.25">
      <c r="A58" s="9" t="s">
        <v>16</v>
      </c>
      <c r="B58">
        <v>56800</v>
      </c>
      <c r="C58">
        <v>887.5</v>
      </c>
      <c r="D58">
        <v>1600</v>
      </c>
      <c r="E58">
        <v>800</v>
      </c>
    </row>
    <row r="59" spans="1:5" x14ac:dyDescent="0.25">
      <c r="A59" s="9" t="s">
        <v>18</v>
      </c>
      <c r="B59">
        <v>123000</v>
      </c>
      <c r="C59">
        <v>621.21212121212125</v>
      </c>
      <c r="D59">
        <v>1200</v>
      </c>
      <c r="E59">
        <v>600</v>
      </c>
    </row>
    <row r="60" spans="1:5" x14ac:dyDescent="0.25">
      <c r="A60" s="9" t="s">
        <v>22</v>
      </c>
      <c r="B60">
        <v>35800</v>
      </c>
      <c r="C60">
        <v>639.28571428571433</v>
      </c>
      <c r="D60">
        <v>900</v>
      </c>
      <c r="E60">
        <v>500</v>
      </c>
    </row>
    <row r="61" spans="1:5" x14ac:dyDescent="0.25">
      <c r="A61" s="9" t="s">
        <v>40</v>
      </c>
      <c r="B61">
        <v>988000</v>
      </c>
      <c r="C61">
        <v>951.83044315992288</v>
      </c>
      <c r="D61">
        <v>3300</v>
      </c>
      <c r="E61">
        <v>300</v>
      </c>
    </row>
    <row r="67" spans="1:2" x14ac:dyDescent="0.25">
      <c r="A67" s="8" t="s">
        <v>62</v>
      </c>
      <c r="B67" t="s">
        <v>61</v>
      </c>
    </row>
    <row r="68" spans="1:2" x14ac:dyDescent="0.25">
      <c r="A68" s="9" t="s">
        <v>66</v>
      </c>
      <c r="B68" s="10">
        <v>87450</v>
      </c>
    </row>
    <row r="69" spans="1:2" x14ac:dyDescent="0.25">
      <c r="A69" s="9" t="s">
        <v>67</v>
      </c>
      <c r="B69" s="10">
        <v>84900</v>
      </c>
    </row>
    <row r="70" spans="1:2" x14ac:dyDescent="0.25">
      <c r="A70" s="9" t="s">
        <v>68</v>
      </c>
      <c r="B70" s="10">
        <v>94800</v>
      </c>
    </row>
    <row r="71" spans="1:2" x14ac:dyDescent="0.25">
      <c r="A71" s="9" t="s">
        <v>69</v>
      </c>
      <c r="B71" s="10">
        <v>74650</v>
      </c>
    </row>
    <row r="72" spans="1:2" x14ac:dyDescent="0.25">
      <c r="A72" s="9" t="s">
        <v>70</v>
      </c>
      <c r="B72" s="10">
        <v>83350</v>
      </c>
    </row>
    <row r="73" spans="1:2" x14ac:dyDescent="0.25">
      <c r="A73" s="9" t="s">
        <v>71</v>
      </c>
      <c r="B73" s="10">
        <v>88900</v>
      </c>
    </row>
    <row r="74" spans="1:2" x14ac:dyDescent="0.25">
      <c r="A74" s="9" t="s">
        <v>72</v>
      </c>
      <c r="B74" s="10">
        <v>87800</v>
      </c>
    </row>
    <row r="75" spans="1:2" x14ac:dyDescent="0.25">
      <c r="A75" s="9" t="s">
        <v>73</v>
      </c>
      <c r="B75" s="10">
        <v>83150</v>
      </c>
    </row>
    <row r="76" spans="1:2" x14ac:dyDescent="0.25">
      <c r="A76" s="9" t="s">
        <v>74</v>
      </c>
      <c r="B76" s="10">
        <v>88050</v>
      </c>
    </row>
    <row r="77" spans="1:2" x14ac:dyDescent="0.25">
      <c r="A77" s="9" t="s">
        <v>75</v>
      </c>
      <c r="B77" s="10">
        <v>90400</v>
      </c>
    </row>
    <row r="78" spans="1:2" x14ac:dyDescent="0.25">
      <c r="A78" s="9" t="s">
        <v>76</v>
      </c>
      <c r="B78" s="10">
        <v>60350</v>
      </c>
    </row>
    <row r="79" spans="1:2" x14ac:dyDescent="0.25">
      <c r="A79" s="9" t="s">
        <v>77</v>
      </c>
      <c r="B79" s="10">
        <v>64200</v>
      </c>
    </row>
    <row r="80" spans="1:2" x14ac:dyDescent="0.25">
      <c r="A80" s="9" t="s">
        <v>40</v>
      </c>
      <c r="B80" s="10">
        <v>988000</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W51"/>
  <sheetViews>
    <sheetView showGridLines="0" zoomScale="55" zoomScaleNormal="55" workbookViewId="0">
      <selection activeCell="AJ27" sqref="AJ27"/>
    </sheetView>
  </sheetViews>
  <sheetFormatPr defaultColWidth="8.8984375" defaultRowHeight="13.8" x14ac:dyDescent="0.25"/>
  <cols>
    <col min="1" max="16384" width="8.8984375" style="25"/>
  </cols>
  <sheetData>
    <row r="51" spans="23:23" x14ac:dyDescent="0.25">
      <c r="W51" s="25" t="s">
        <v>78</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7030A0"/>
  </sheetPr>
  <dimension ref="B2:H1042"/>
  <sheetViews>
    <sheetView zoomScale="130" zoomScaleNormal="130" workbookViewId="0">
      <selection activeCell="I5" sqref="I5"/>
    </sheetView>
  </sheetViews>
  <sheetFormatPr defaultColWidth="8.8984375" defaultRowHeight="13.8" x14ac:dyDescent="0.25"/>
  <cols>
    <col min="1" max="1" width="2.296875" style="2" customWidth="1"/>
    <col min="2" max="2" width="12.19921875" style="2" customWidth="1"/>
    <col min="3" max="3" width="12.296875" style="2" customWidth="1"/>
    <col min="4" max="4" width="16.69921875" style="2" customWidth="1"/>
    <col min="5" max="5" width="12.69921875" style="2" bestFit="1" customWidth="1"/>
    <col min="6" max="6" width="15.69921875" style="2" customWidth="1"/>
    <col min="7" max="7" width="12.8984375" style="2" customWidth="1"/>
    <col min="8" max="8" width="14.296875" style="2" customWidth="1"/>
    <col min="9" max="16384" width="8.8984375" style="2"/>
  </cols>
  <sheetData>
    <row r="2" spans="2:8" ht="17.399999999999999" x14ac:dyDescent="0.3">
      <c r="B2" s="1" t="s">
        <v>0</v>
      </c>
    </row>
    <row r="4" spans="2:8" x14ac:dyDescent="0.25">
      <c r="B4" s="20" t="s">
        <v>1</v>
      </c>
      <c r="C4" s="13" t="s">
        <v>2</v>
      </c>
      <c r="D4" s="13" t="s">
        <v>3</v>
      </c>
      <c r="E4" s="13" t="s">
        <v>4</v>
      </c>
      <c r="F4" s="13" t="s">
        <v>5</v>
      </c>
      <c r="G4" s="13" t="s">
        <v>6</v>
      </c>
      <c r="H4" s="14" t="s">
        <v>7</v>
      </c>
    </row>
    <row r="5" spans="2:8" x14ac:dyDescent="0.25">
      <c r="B5" s="21">
        <v>1</v>
      </c>
      <c r="C5" s="22">
        <v>43466</v>
      </c>
      <c r="D5" s="23" t="s">
        <v>9</v>
      </c>
      <c r="E5" s="23" t="s">
        <v>10</v>
      </c>
      <c r="F5" s="23" t="s">
        <v>11</v>
      </c>
      <c r="G5" s="23">
        <v>1100</v>
      </c>
      <c r="H5" s="24">
        <v>1</v>
      </c>
    </row>
    <row r="6" spans="2:8" x14ac:dyDescent="0.25">
      <c r="B6" s="21">
        <v>2</v>
      </c>
      <c r="C6" s="22">
        <v>43467</v>
      </c>
      <c r="D6" s="23" t="s">
        <v>9</v>
      </c>
      <c r="E6" s="23" t="s">
        <v>10</v>
      </c>
      <c r="F6" s="23" t="s">
        <v>11</v>
      </c>
      <c r="G6" s="23">
        <v>1100</v>
      </c>
      <c r="H6" s="24">
        <v>1</v>
      </c>
    </row>
    <row r="7" spans="2:8" x14ac:dyDescent="0.25">
      <c r="B7" s="21">
        <v>3</v>
      </c>
      <c r="C7" s="22">
        <v>43468</v>
      </c>
      <c r="D7" s="23" t="s">
        <v>9</v>
      </c>
      <c r="E7" s="23" t="s">
        <v>10</v>
      </c>
      <c r="F7" s="23" t="s">
        <v>11</v>
      </c>
      <c r="G7" s="23">
        <v>1100</v>
      </c>
      <c r="H7" s="24">
        <v>1</v>
      </c>
    </row>
    <row r="8" spans="2:8" x14ac:dyDescent="0.25">
      <c r="B8" s="21">
        <v>4</v>
      </c>
      <c r="C8" s="22">
        <v>43469</v>
      </c>
      <c r="D8" s="23" t="s">
        <v>9</v>
      </c>
      <c r="E8" s="23" t="s">
        <v>10</v>
      </c>
      <c r="F8" s="23" t="s">
        <v>11</v>
      </c>
      <c r="G8" s="23">
        <v>1100</v>
      </c>
      <c r="H8" s="24">
        <v>1</v>
      </c>
    </row>
    <row r="9" spans="2:8" x14ac:dyDescent="0.25">
      <c r="B9" s="21">
        <v>5</v>
      </c>
      <c r="C9" s="22">
        <v>43470</v>
      </c>
      <c r="D9" s="23" t="s">
        <v>9</v>
      </c>
      <c r="E9" s="23" t="s">
        <v>10</v>
      </c>
      <c r="F9" s="23" t="s">
        <v>11</v>
      </c>
      <c r="G9" s="23">
        <v>1100</v>
      </c>
      <c r="H9" s="24">
        <v>1</v>
      </c>
    </row>
    <row r="10" spans="2:8" x14ac:dyDescent="0.25">
      <c r="B10" s="21">
        <v>6</v>
      </c>
      <c r="C10" s="22">
        <v>43471</v>
      </c>
      <c r="D10" s="23" t="s">
        <v>9</v>
      </c>
      <c r="E10" s="23" t="s">
        <v>10</v>
      </c>
      <c r="F10" s="23" t="s">
        <v>11</v>
      </c>
      <c r="G10" s="23">
        <v>1100</v>
      </c>
      <c r="H10" s="24">
        <v>1</v>
      </c>
    </row>
    <row r="11" spans="2:8" x14ac:dyDescent="0.25">
      <c r="B11" s="21">
        <v>7</v>
      </c>
      <c r="C11" s="22">
        <v>43472</v>
      </c>
      <c r="D11" s="23" t="s">
        <v>9</v>
      </c>
      <c r="E11" s="23" t="s">
        <v>10</v>
      </c>
      <c r="F11" s="23" t="s">
        <v>11</v>
      </c>
      <c r="G11" s="23">
        <v>1100</v>
      </c>
      <c r="H11" s="24">
        <v>2</v>
      </c>
    </row>
    <row r="12" spans="2:8" x14ac:dyDescent="0.25">
      <c r="B12" s="21">
        <v>8</v>
      </c>
      <c r="C12" s="22">
        <v>43473</v>
      </c>
      <c r="D12" s="23" t="s">
        <v>9</v>
      </c>
      <c r="E12" s="23" t="s">
        <v>10</v>
      </c>
      <c r="F12" s="23" t="s">
        <v>11</v>
      </c>
      <c r="G12" s="23">
        <v>1100</v>
      </c>
      <c r="H12" s="24">
        <v>1</v>
      </c>
    </row>
    <row r="13" spans="2:8" x14ac:dyDescent="0.25">
      <c r="B13" s="21">
        <v>9</v>
      </c>
      <c r="C13" s="22">
        <v>43474</v>
      </c>
      <c r="D13" s="23" t="s">
        <v>9</v>
      </c>
      <c r="E13" s="23" t="s">
        <v>10</v>
      </c>
      <c r="F13" s="23" t="s">
        <v>11</v>
      </c>
      <c r="G13" s="23">
        <v>1100</v>
      </c>
      <c r="H13" s="24">
        <v>1</v>
      </c>
    </row>
    <row r="14" spans="2:8" x14ac:dyDescent="0.25">
      <c r="B14" s="21">
        <v>10</v>
      </c>
      <c r="C14" s="22">
        <v>43475</v>
      </c>
      <c r="D14" s="23" t="s">
        <v>9</v>
      </c>
      <c r="E14" s="23" t="s">
        <v>12</v>
      </c>
      <c r="F14" s="23" t="s">
        <v>11</v>
      </c>
      <c r="G14" s="23">
        <v>900</v>
      </c>
      <c r="H14" s="24">
        <v>1</v>
      </c>
    </row>
    <row r="15" spans="2:8" x14ac:dyDescent="0.25">
      <c r="B15" s="21">
        <v>11</v>
      </c>
      <c r="C15" s="22">
        <v>43476</v>
      </c>
      <c r="D15" s="23" t="s">
        <v>13</v>
      </c>
      <c r="E15" s="23" t="s">
        <v>12</v>
      </c>
      <c r="F15" s="23" t="s">
        <v>11</v>
      </c>
      <c r="G15" s="23">
        <v>900</v>
      </c>
      <c r="H15" s="24">
        <v>1</v>
      </c>
    </row>
    <row r="16" spans="2:8" x14ac:dyDescent="0.25">
      <c r="B16" s="21">
        <v>12</v>
      </c>
      <c r="C16" s="22">
        <v>43477</v>
      </c>
      <c r="D16" s="23" t="s">
        <v>13</v>
      </c>
      <c r="E16" s="23" t="s">
        <v>12</v>
      </c>
      <c r="F16" s="23" t="s">
        <v>11</v>
      </c>
      <c r="G16" s="23">
        <v>900</v>
      </c>
      <c r="H16" s="24">
        <v>1</v>
      </c>
    </row>
    <row r="17" spans="2:8" x14ac:dyDescent="0.25">
      <c r="B17" s="21">
        <v>13</v>
      </c>
      <c r="C17" s="22">
        <v>43478</v>
      </c>
      <c r="D17" s="23" t="s">
        <v>13</v>
      </c>
      <c r="E17" s="23" t="s">
        <v>12</v>
      </c>
      <c r="F17" s="23" t="s">
        <v>11</v>
      </c>
      <c r="G17" s="23">
        <v>900</v>
      </c>
      <c r="H17" s="24">
        <v>2</v>
      </c>
    </row>
    <row r="18" spans="2:8" x14ac:dyDescent="0.25">
      <c r="B18" s="21">
        <v>14</v>
      </c>
      <c r="C18" s="22">
        <v>43479</v>
      </c>
      <c r="D18" s="23" t="s">
        <v>13</v>
      </c>
      <c r="E18" s="23" t="s">
        <v>12</v>
      </c>
      <c r="F18" s="23" t="s">
        <v>11</v>
      </c>
      <c r="G18" s="23">
        <v>900</v>
      </c>
      <c r="H18" s="24">
        <v>1</v>
      </c>
    </row>
    <row r="19" spans="2:8" x14ac:dyDescent="0.25">
      <c r="B19" s="21">
        <v>15</v>
      </c>
      <c r="C19" s="22">
        <v>43480</v>
      </c>
      <c r="D19" s="23" t="s">
        <v>13</v>
      </c>
      <c r="E19" s="23" t="s">
        <v>12</v>
      </c>
      <c r="F19" s="23" t="s">
        <v>11</v>
      </c>
      <c r="G19" s="23">
        <v>900</v>
      </c>
      <c r="H19" s="24">
        <v>1</v>
      </c>
    </row>
    <row r="20" spans="2:8" x14ac:dyDescent="0.25">
      <c r="B20" s="21">
        <v>16</v>
      </c>
      <c r="C20" s="22">
        <v>43481</v>
      </c>
      <c r="D20" s="23" t="s">
        <v>13</v>
      </c>
      <c r="E20" s="23" t="s">
        <v>10</v>
      </c>
      <c r="F20" s="23" t="s">
        <v>11</v>
      </c>
      <c r="G20" s="23">
        <v>1100</v>
      </c>
      <c r="H20" s="24">
        <v>1</v>
      </c>
    </row>
    <row r="21" spans="2:8" x14ac:dyDescent="0.25">
      <c r="B21" s="21">
        <v>17</v>
      </c>
      <c r="C21" s="22">
        <v>43482</v>
      </c>
      <c r="D21" s="23" t="s">
        <v>13</v>
      </c>
      <c r="E21" s="23" t="s">
        <v>12</v>
      </c>
      <c r="F21" s="23" t="s">
        <v>11</v>
      </c>
      <c r="G21" s="23">
        <v>900</v>
      </c>
      <c r="H21" s="24">
        <v>1</v>
      </c>
    </row>
    <row r="22" spans="2:8" x14ac:dyDescent="0.25">
      <c r="B22" s="21">
        <v>18</v>
      </c>
      <c r="C22" s="22">
        <v>43483</v>
      </c>
      <c r="D22" s="23" t="s">
        <v>13</v>
      </c>
      <c r="E22" s="23" t="s">
        <v>10</v>
      </c>
      <c r="F22" s="23" t="s">
        <v>11</v>
      </c>
      <c r="G22" s="23">
        <v>1100</v>
      </c>
      <c r="H22" s="24">
        <v>2</v>
      </c>
    </row>
    <row r="23" spans="2:8" x14ac:dyDescent="0.25">
      <c r="B23" s="21">
        <v>19</v>
      </c>
      <c r="C23" s="22">
        <v>43484</v>
      </c>
      <c r="D23" s="23" t="s">
        <v>13</v>
      </c>
      <c r="E23" s="23" t="s">
        <v>10</v>
      </c>
      <c r="F23" s="23" t="s">
        <v>11</v>
      </c>
      <c r="G23" s="23">
        <v>1100</v>
      </c>
      <c r="H23" s="24">
        <v>1</v>
      </c>
    </row>
    <row r="24" spans="2:8" x14ac:dyDescent="0.25">
      <c r="B24" s="21">
        <v>20</v>
      </c>
      <c r="C24" s="22">
        <v>43485</v>
      </c>
      <c r="D24" s="23" t="s">
        <v>9</v>
      </c>
      <c r="E24" s="23" t="s">
        <v>12</v>
      </c>
      <c r="F24" s="23" t="s">
        <v>11</v>
      </c>
      <c r="G24" s="23">
        <v>900</v>
      </c>
      <c r="H24" s="24">
        <v>1</v>
      </c>
    </row>
    <row r="25" spans="2:8" x14ac:dyDescent="0.25">
      <c r="B25" s="21">
        <v>21</v>
      </c>
      <c r="C25" s="22">
        <v>43486</v>
      </c>
      <c r="D25" s="23" t="s">
        <v>9</v>
      </c>
      <c r="E25" s="23" t="s">
        <v>12</v>
      </c>
      <c r="F25" s="23" t="s">
        <v>11</v>
      </c>
      <c r="G25" s="23">
        <v>900</v>
      </c>
      <c r="H25" s="24">
        <v>1</v>
      </c>
    </row>
    <row r="26" spans="2:8" x14ac:dyDescent="0.25">
      <c r="B26" s="21">
        <v>22</v>
      </c>
      <c r="C26" s="22">
        <v>43487</v>
      </c>
      <c r="D26" s="23" t="s">
        <v>9</v>
      </c>
      <c r="E26" s="23" t="s">
        <v>14</v>
      </c>
      <c r="F26" s="23" t="s">
        <v>11</v>
      </c>
      <c r="G26" s="23">
        <v>900</v>
      </c>
      <c r="H26" s="24">
        <v>1</v>
      </c>
    </row>
    <row r="27" spans="2:8" x14ac:dyDescent="0.25">
      <c r="B27" s="21">
        <v>23</v>
      </c>
      <c r="C27" s="22">
        <v>43488</v>
      </c>
      <c r="D27" s="23" t="s">
        <v>9</v>
      </c>
      <c r="E27" s="23" t="s">
        <v>10</v>
      </c>
      <c r="F27" s="23" t="s">
        <v>11</v>
      </c>
      <c r="G27" s="23">
        <v>1100</v>
      </c>
      <c r="H27" s="24">
        <v>1</v>
      </c>
    </row>
    <row r="28" spans="2:8" x14ac:dyDescent="0.25">
      <c r="B28" s="21">
        <v>24</v>
      </c>
      <c r="C28" s="22">
        <v>43489</v>
      </c>
      <c r="D28" s="23" t="s">
        <v>9</v>
      </c>
      <c r="E28" s="23" t="s">
        <v>10</v>
      </c>
      <c r="F28" s="23" t="s">
        <v>11</v>
      </c>
      <c r="G28" s="23">
        <v>1100</v>
      </c>
      <c r="H28" s="24">
        <v>1</v>
      </c>
    </row>
    <row r="29" spans="2:8" x14ac:dyDescent="0.25">
      <c r="B29" s="21">
        <v>25</v>
      </c>
      <c r="C29" s="22">
        <v>43490</v>
      </c>
      <c r="D29" s="23" t="s">
        <v>9</v>
      </c>
      <c r="E29" s="23" t="s">
        <v>14</v>
      </c>
      <c r="F29" s="23" t="s">
        <v>11</v>
      </c>
      <c r="G29" s="23">
        <v>900</v>
      </c>
      <c r="H29" s="24">
        <v>1</v>
      </c>
    </row>
    <row r="30" spans="2:8" x14ac:dyDescent="0.25">
      <c r="B30" s="21">
        <v>26</v>
      </c>
      <c r="C30" s="22">
        <v>43491</v>
      </c>
      <c r="D30" s="23" t="s">
        <v>9</v>
      </c>
      <c r="E30" s="23" t="s">
        <v>12</v>
      </c>
      <c r="F30" s="23" t="s">
        <v>11</v>
      </c>
      <c r="G30" s="23">
        <v>900</v>
      </c>
      <c r="H30" s="24">
        <v>1</v>
      </c>
    </row>
    <row r="31" spans="2:8" x14ac:dyDescent="0.25">
      <c r="B31" s="21">
        <v>27</v>
      </c>
      <c r="C31" s="22">
        <v>43492</v>
      </c>
      <c r="D31" s="23" t="s">
        <v>9</v>
      </c>
      <c r="E31" s="23" t="s">
        <v>14</v>
      </c>
      <c r="F31" s="23" t="s">
        <v>11</v>
      </c>
      <c r="G31" s="23">
        <v>900</v>
      </c>
      <c r="H31" s="24">
        <v>1</v>
      </c>
    </row>
    <row r="32" spans="2:8" x14ac:dyDescent="0.25">
      <c r="B32" s="21">
        <v>28</v>
      </c>
      <c r="C32" s="22">
        <v>43493</v>
      </c>
      <c r="D32" s="23" t="s">
        <v>9</v>
      </c>
      <c r="E32" s="23" t="s">
        <v>10</v>
      </c>
      <c r="F32" s="23" t="s">
        <v>11</v>
      </c>
      <c r="G32" s="23">
        <v>1100</v>
      </c>
      <c r="H32" s="24">
        <v>1</v>
      </c>
    </row>
    <row r="33" spans="2:8" x14ac:dyDescent="0.25">
      <c r="B33" s="21">
        <v>29</v>
      </c>
      <c r="C33" s="22">
        <v>43494</v>
      </c>
      <c r="D33" s="23" t="s">
        <v>9</v>
      </c>
      <c r="E33" s="23" t="s">
        <v>10</v>
      </c>
      <c r="F33" s="23" t="s">
        <v>11</v>
      </c>
      <c r="G33" s="23">
        <v>1100</v>
      </c>
      <c r="H33" s="24">
        <v>1</v>
      </c>
    </row>
    <row r="34" spans="2:8" x14ac:dyDescent="0.25">
      <c r="B34" s="21">
        <v>30</v>
      </c>
      <c r="C34" s="22">
        <v>43495</v>
      </c>
      <c r="D34" s="23" t="s">
        <v>9</v>
      </c>
      <c r="E34" s="23" t="s">
        <v>14</v>
      </c>
      <c r="F34" s="23" t="s">
        <v>11</v>
      </c>
      <c r="G34" s="23">
        <v>900</v>
      </c>
      <c r="H34" s="24">
        <v>1</v>
      </c>
    </row>
    <row r="35" spans="2:8" x14ac:dyDescent="0.25">
      <c r="B35" s="21">
        <v>31</v>
      </c>
      <c r="C35" s="22">
        <v>43496</v>
      </c>
      <c r="D35" s="23" t="s">
        <v>9</v>
      </c>
      <c r="E35" s="23" t="s">
        <v>14</v>
      </c>
      <c r="F35" s="23" t="s">
        <v>11</v>
      </c>
      <c r="G35" s="23">
        <v>900</v>
      </c>
      <c r="H35" s="24">
        <v>1</v>
      </c>
    </row>
    <row r="36" spans="2:8" x14ac:dyDescent="0.25">
      <c r="B36" s="21">
        <v>32</v>
      </c>
      <c r="C36" s="22">
        <v>43497</v>
      </c>
      <c r="D36" s="23" t="s">
        <v>9</v>
      </c>
      <c r="E36" s="23" t="s">
        <v>14</v>
      </c>
      <c r="F36" s="23" t="s">
        <v>11</v>
      </c>
      <c r="G36" s="23">
        <v>900</v>
      </c>
      <c r="H36" s="24">
        <v>1</v>
      </c>
    </row>
    <row r="37" spans="2:8" x14ac:dyDescent="0.25">
      <c r="B37" s="21">
        <v>33</v>
      </c>
      <c r="C37" s="22">
        <v>43498</v>
      </c>
      <c r="D37" s="23" t="s">
        <v>9</v>
      </c>
      <c r="E37" s="23" t="s">
        <v>14</v>
      </c>
      <c r="F37" s="23" t="s">
        <v>11</v>
      </c>
      <c r="G37" s="23">
        <v>900</v>
      </c>
      <c r="H37" s="24">
        <v>1</v>
      </c>
    </row>
    <row r="38" spans="2:8" x14ac:dyDescent="0.25">
      <c r="B38" s="21">
        <v>34</v>
      </c>
      <c r="C38" s="22">
        <v>43499</v>
      </c>
      <c r="D38" s="23" t="s">
        <v>9</v>
      </c>
      <c r="E38" s="23" t="s">
        <v>14</v>
      </c>
      <c r="F38" s="23" t="s">
        <v>11</v>
      </c>
      <c r="G38" s="23">
        <v>900</v>
      </c>
      <c r="H38" s="24">
        <v>1</v>
      </c>
    </row>
    <row r="39" spans="2:8" x14ac:dyDescent="0.25">
      <c r="B39" s="21">
        <v>35</v>
      </c>
      <c r="C39" s="22">
        <v>43500</v>
      </c>
      <c r="D39" s="23" t="s">
        <v>9</v>
      </c>
      <c r="E39" s="23" t="s">
        <v>12</v>
      </c>
      <c r="F39" s="23" t="s">
        <v>11</v>
      </c>
      <c r="G39" s="23">
        <v>900</v>
      </c>
      <c r="H39" s="24">
        <v>1</v>
      </c>
    </row>
    <row r="40" spans="2:8" x14ac:dyDescent="0.25">
      <c r="B40" s="21">
        <v>36</v>
      </c>
      <c r="C40" s="22">
        <v>43501</v>
      </c>
      <c r="D40" s="23" t="s">
        <v>9</v>
      </c>
      <c r="E40" s="23" t="s">
        <v>12</v>
      </c>
      <c r="F40" s="23" t="s">
        <v>11</v>
      </c>
      <c r="G40" s="23">
        <v>900</v>
      </c>
      <c r="H40" s="24">
        <v>1</v>
      </c>
    </row>
    <row r="41" spans="2:8" x14ac:dyDescent="0.25">
      <c r="B41" s="21">
        <v>37</v>
      </c>
      <c r="C41" s="22">
        <v>43502</v>
      </c>
      <c r="D41" s="23" t="s">
        <v>9</v>
      </c>
      <c r="E41" s="23" t="s">
        <v>12</v>
      </c>
      <c r="F41" s="23" t="s">
        <v>11</v>
      </c>
      <c r="G41" s="23">
        <v>900</v>
      </c>
      <c r="H41" s="24">
        <v>1</v>
      </c>
    </row>
    <row r="42" spans="2:8" x14ac:dyDescent="0.25">
      <c r="B42" s="21">
        <v>38</v>
      </c>
      <c r="C42" s="22">
        <v>43503</v>
      </c>
      <c r="D42" s="23" t="s">
        <v>9</v>
      </c>
      <c r="E42" s="23" t="s">
        <v>10</v>
      </c>
      <c r="F42" s="23" t="s">
        <v>11</v>
      </c>
      <c r="G42" s="23">
        <v>1100</v>
      </c>
      <c r="H42" s="24">
        <v>1</v>
      </c>
    </row>
    <row r="43" spans="2:8" x14ac:dyDescent="0.25">
      <c r="B43" s="21">
        <v>39</v>
      </c>
      <c r="C43" s="22">
        <v>43504</v>
      </c>
      <c r="D43" s="23" t="s">
        <v>9</v>
      </c>
      <c r="E43" s="23" t="s">
        <v>10</v>
      </c>
      <c r="F43" s="23" t="s">
        <v>11</v>
      </c>
      <c r="G43" s="23">
        <v>1100</v>
      </c>
      <c r="H43" s="24">
        <v>1</v>
      </c>
    </row>
    <row r="44" spans="2:8" x14ac:dyDescent="0.25">
      <c r="B44" s="21">
        <v>40</v>
      </c>
      <c r="C44" s="22">
        <v>43505</v>
      </c>
      <c r="D44" s="23" t="s">
        <v>9</v>
      </c>
      <c r="E44" s="23" t="s">
        <v>15</v>
      </c>
      <c r="F44" s="23" t="s">
        <v>11</v>
      </c>
      <c r="G44" s="23">
        <v>1000</v>
      </c>
      <c r="H44" s="24">
        <v>1</v>
      </c>
    </row>
    <row r="45" spans="2:8" x14ac:dyDescent="0.25">
      <c r="B45" s="21">
        <v>41</v>
      </c>
      <c r="C45" s="22">
        <v>43506</v>
      </c>
      <c r="D45" s="23" t="s">
        <v>9</v>
      </c>
      <c r="E45" s="23" t="s">
        <v>15</v>
      </c>
      <c r="F45" s="23" t="s">
        <v>11</v>
      </c>
      <c r="G45" s="23">
        <v>1000</v>
      </c>
      <c r="H45" s="24">
        <v>1</v>
      </c>
    </row>
    <row r="46" spans="2:8" x14ac:dyDescent="0.25">
      <c r="B46" s="21">
        <v>42</v>
      </c>
      <c r="C46" s="22">
        <v>43507</v>
      </c>
      <c r="D46" s="23" t="s">
        <v>9</v>
      </c>
      <c r="E46" s="23" t="s">
        <v>10</v>
      </c>
      <c r="F46" s="23" t="s">
        <v>11</v>
      </c>
      <c r="G46" s="23">
        <v>1100</v>
      </c>
      <c r="H46" s="24">
        <v>1</v>
      </c>
    </row>
    <row r="47" spans="2:8" x14ac:dyDescent="0.25">
      <c r="B47" s="21">
        <v>43</v>
      </c>
      <c r="C47" s="22">
        <v>43508</v>
      </c>
      <c r="D47" s="23" t="s">
        <v>9</v>
      </c>
      <c r="E47" s="23" t="s">
        <v>15</v>
      </c>
      <c r="F47" s="23" t="s">
        <v>11</v>
      </c>
      <c r="G47" s="23">
        <v>1000</v>
      </c>
      <c r="H47" s="24">
        <v>1</v>
      </c>
    </row>
    <row r="48" spans="2:8" x14ac:dyDescent="0.25">
      <c r="B48" s="21">
        <v>44</v>
      </c>
      <c r="C48" s="22">
        <v>43509</v>
      </c>
      <c r="D48" s="23" t="s">
        <v>9</v>
      </c>
      <c r="E48" s="23" t="s">
        <v>12</v>
      </c>
      <c r="F48" s="23" t="s">
        <v>11</v>
      </c>
      <c r="G48" s="23">
        <v>900</v>
      </c>
      <c r="H48" s="24">
        <v>1</v>
      </c>
    </row>
    <row r="49" spans="2:8" x14ac:dyDescent="0.25">
      <c r="B49" s="21">
        <v>45</v>
      </c>
      <c r="C49" s="22">
        <v>43510</v>
      </c>
      <c r="D49" s="23" t="s">
        <v>9</v>
      </c>
      <c r="E49" s="23" t="s">
        <v>12</v>
      </c>
      <c r="F49" s="23" t="s">
        <v>11</v>
      </c>
      <c r="G49" s="23">
        <v>900</v>
      </c>
      <c r="H49" s="24">
        <v>2</v>
      </c>
    </row>
    <row r="50" spans="2:8" x14ac:dyDescent="0.25">
      <c r="B50" s="21">
        <v>46</v>
      </c>
      <c r="C50" s="22">
        <v>43511</v>
      </c>
      <c r="D50" s="23" t="s">
        <v>9</v>
      </c>
      <c r="E50" s="23" t="s">
        <v>10</v>
      </c>
      <c r="F50" s="23" t="s">
        <v>11</v>
      </c>
      <c r="G50" s="23">
        <v>1100</v>
      </c>
      <c r="H50" s="24">
        <v>1</v>
      </c>
    </row>
    <row r="51" spans="2:8" x14ac:dyDescent="0.25">
      <c r="B51" s="21">
        <v>47</v>
      </c>
      <c r="C51" s="22">
        <v>43512</v>
      </c>
      <c r="D51" s="23" t="s">
        <v>9</v>
      </c>
      <c r="E51" s="23" t="s">
        <v>12</v>
      </c>
      <c r="F51" s="23" t="s">
        <v>11</v>
      </c>
      <c r="G51" s="23">
        <v>900</v>
      </c>
      <c r="H51" s="24">
        <v>1</v>
      </c>
    </row>
    <row r="52" spans="2:8" x14ac:dyDescent="0.25">
      <c r="B52" s="21">
        <v>48</v>
      </c>
      <c r="C52" s="22">
        <v>43513</v>
      </c>
      <c r="D52" s="23" t="s">
        <v>9</v>
      </c>
      <c r="E52" s="23" t="s">
        <v>10</v>
      </c>
      <c r="F52" s="23" t="s">
        <v>11</v>
      </c>
      <c r="G52" s="23">
        <v>1100</v>
      </c>
      <c r="H52" s="24">
        <v>1</v>
      </c>
    </row>
    <row r="53" spans="2:8" x14ac:dyDescent="0.25">
      <c r="B53" s="21">
        <v>49</v>
      </c>
      <c r="C53" s="22">
        <v>43514</v>
      </c>
      <c r="D53" s="23" t="s">
        <v>9</v>
      </c>
      <c r="E53" s="23" t="s">
        <v>16</v>
      </c>
      <c r="F53" s="23" t="s">
        <v>17</v>
      </c>
      <c r="G53" s="23">
        <v>800</v>
      </c>
      <c r="H53" s="24">
        <v>1</v>
      </c>
    </row>
    <row r="54" spans="2:8" x14ac:dyDescent="0.25">
      <c r="B54" s="21">
        <v>50</v>
      </c>
      <c r="C54" s="22">
        <v>43515</v>
      </c>
      <c r="D54" s="23" t="s">
        <v>9</v>
      </c>
      <c r="E54" s="23" t="s">
        <v>16</v>
      </c>
      <c r="F54" s="23" t="s">
        <v>17</v>
      </c>
      <c r="G54" s="23">
        <v>800</v>
      </c>
      <c r="H54" s="24">
        <v>2</v>
      </c>
    </row>
    <row r="55" spans="2:8" x14ac:dyDescent="0.25">
      <c r="B55" s="21">
        <v>51</v>
      </c>
      <c r="C55" s="22">
        <v>43516</v>
      </c>
      <c r="D55" s="23" t="s">
        <v>9</v>
      </c>
      <c r="E55" s="23" t="s">
        <v>14</v>
      </c>
      <c r="F55" s="23" t="s">
        <v>11</v>
      </c>
      <c r="G55" s="23">
        <v>900</v>
      </c>
      <c r="H55" s="24">
        <v>1</v>
      </c>
    </row>
    <row r="56" spans="2:8" x14ac:dyDescent="0.25">
      <c r="B56" s="21">
        <v>52</v>
      </c>
      <c r="C56" s="22">
        <v>43517</v>
      </c>
      <c r="D56" s="23" t="s">
        <v>9</v>
      </c>
      <c r="E56" s="23" t="s">
        <v>10</v>
      </c>
      <c r="F56" s="23" t="s">
        <v>11</v>
      </c>
      <c r="G56" s="23">
        <v>1100</v>
      </c>
      <c r="H56" s="24">
        <v>1</v>
      </c>
    </row>
    <row r="57" spans="2:8" x14ac:dyDescent="0.25">
      <c r="B57" s="21">
        <v>49</v>
      </c>
      <c r="C57" s="22">
        <v>43514</v>
      </c>
      <c r="D57" s="23" t="s">
        <v>9</v>
      </c>
      <c r="E57" s="23" t="s">
        <v>16</v>
      </c>
      <c r="F57" s="23" t="s">
        <v>17</v>
      </c>
      <c r="G57" s="23">
        <v>800</v>
      </c>
      <c r="H57" s="24">
        <v>1</v>
      </c>
    </row>
    <row r="58" spans="2:8" x14ac:dyDescent="0.25">
      <c r="B58" s="21">
        <v>53</v>
      </c>
      <c r="C58" s="22">
        <v>43518</v>
      </c>
      <c r="D58" s="23" t="s">
        <v>9</v>
      </c>
      <c r="E58" s="23" t="s">
        <v>16</v>
      </c>
      <c r="F58" s="23" t="s">
        <v>17</v>
      </c>
      <c r="G58" s="23">
        <v>800</v>
      </c>
      <c r="H58" s="24">
        <v>1</v>
      </c>
    </row>
    <row r="59" spans="2:8" x14ac:dyDescent="0.25">
      <c r="B59" s="21">
        <v>54</v>
      </c>
      <c r="C59" s="22">
        <v>43519</v>
      </c>
      <c r="D59" s="23" t="s">
        <v>9</v>
      </c>
      <c r="E59" s="23" t="s">
        <v>15</v>
      </c>
      <c r="F59" s="23" t="s">
        <v>11</v>
      </c>
      <c r="G59" s="23">
        <v>1000</v>
      </c>
      <c r="H59" s="24">
        <v>1</v>
      </c>
    </row>
    <row r="60" spans="2:8" x14ac:dyDescent="0.25">
      <c r="B60" s="21">
        <v>55</v>
      </c>
      <c r="C60" s="22">
        <v>43520</v>
      </c>
      <c r="D60" s="23" t="s">
        <v>9</v>
      </c>
      <c r="E60" s="23" t="s">
        <v>16</v>
      </c>
      <c r="F60" s="23" t="s">
        <v>17</v>
      </c>
      <c r="G60" s="23">
        <v>800</v>
      </c>
      <c r="H60" s="24">
        <v>1</v>
      </c>
    </row>
    <row r="61" spans="2:8" x14ac:dyDescent="0.25">
      <c r="B61" s="21">
        <v>56</v>
      </c>
      <c r="C61" s="22">
        <v>43521</v>
      </c>
      <c r="D61" s="23" t="s">
        <v>9</v>
      </c>
      <c r="E61" s="23" t="s">
        <v>18</v>
      </c>
      <c r="F61" s="23" t="s">
        <v>17</v>
      </c>
      <c r="G61" s="23">
        <v>600</v>
      </c>
      <c r="H61" s="24">
        <v>1</v>
      </c>
    </row>
    <row r="62" spans="2:8" x14ac:dyDescent="0.25">
      <c r="B62" s="21">
        <v>57</v>
      </c>
      <c r="C62" s="22">
        <v>43522</v>
      </c>
      <c r="D62" s="23" t="s">
        <v>9</v>
      </c>
      <c r="E62" s="23" t="s">
        <v>12</v>
      </c>
      <c r="F62" s="23" t="s">
        <v>11</v>
      </c>
      <c r="G62" s="23">
        <v>900</v>
      </c>
      <c r="H62" s="24">
        <v>1</v>
      </c>
    </row>
    <row r="63" spans="2:8" x14ac:dyDescent="0.25">
      <c r="B63" s="21">
        <v>58</v>
      </c>
      <c r="C63" s="22">
        <v>43523</v>
      </c>
      <c r="D63" s="23" t="s">
        <v>9</v>
      </c>
      <c r="E63" s="23" t="s">
        <v>10</v>
      </c>
      <c r="F63" s="23" t="s">
        <v>11</v>
      </c>
      <c r="G63" s="23">
        <v>1100</v>
      </c>
      <c r="H63" s="24">
        <v>1</v>
      </c>
    </row>
    <row r="64" spans="2:8" x14ac:dyDescent="0.25">
      <c r="B64" s="21">
        <v>59</v>
      </c>
      <c r="C64" s="22">
        <v>43524</v>
      </c>
      <c r="D64" s="23" t="s">
        <v>9</v>
      </c>
      <c r="E64" s="23" t="s">
        <v>15</v>
      </c>
      <c r="F64" s="23" t="s">
        <v>11</v>
      </c>
      <c r="G64" s="23">
        <v>1000</v>
      </c>
      <c r="H64" s="24">
        <v>1</v>
      </c>
    </row>
    <row r="65" spans="2:8" x14ac:dyDescent="0.25">
      <c r="B65" s="21">
        <v>60</v>
      </c>
      <c r="C65" s="22">
        <v>43525</v>
      </c>
      <c r="D65" s="23" t="s">
        <v>9</v>
      </c>
      <c r="E65" s="23" t="s">
        <v>12</v>
      </c>
      <c r="F65" s="23" t="s">
        <v>11</v>
      </c>
      <c r="G65" s="23">
        <v>900</v>
      </c>
      <c r="H65" s="24">
        <v>1</v>
      </c>
    </row>
    <row r="66" spans="2:8" x14ac:dyDescent="0.25">
      <c r="B66" s="21">
        <v>61</v>
      </c>
      <c r="C66" s="22">
        <v>43526</v>
      </c>
      <c r="D66" s="23" t="s">
        <v>9</v>
      </c>
      <c r="E66" s="23" t="s">
        <v>10</v>
      </c>
      <c r="F66" s="23" t="s">
        <v>11</v>
      </c>
      <c r="G66" s="23">
        <v>1100</v>
      </c>
      <c r="H66" s="24">
        <v>2</v>
      </c>
    </row>
    <row r="67" spans="2:8" x14ac:dyDescent="0.25">
      <c r="B67" s="21">
        <v>62</v>
      </c>
      <c r="C67" s="22">
        <v>43527</v>
      </c>
      <c r="D67" s="23" t="s">
        <v>9</v>
      </c>
      <c r="E67" s="23" t="s">
        <v>18</v>
      </c>
      <c r="F67" s="23" t="s">
        <v>17</v>
      </c>
      <c r="G67" s="23">
        <v>600</v>
      </c>
      <c r="H67" s="24">
        <v>1</v>
      </c>
    </row>
    <row r="68" spans="2:8" x14ac:dyDescent="0.25">
      <c r="B68" s="21">
        <v>63</v>
      </c>
      <c r="C68" s="22">
        <v>43528</v>
      </c>
      <c r="D68" s="23" t="s">
        <v>9</v>
      </c>
      <c r="E68" s="23" t="s">
        <v>18</v>
      </c>
      <c r="F68" s="23" t="s">
        <v>17</v>
      </c>
      <c r="G68" s="23">
        <v>600</v>
      </c>
      <c r="H68" s="24">
        <v>1</v>
      </c>
    </row>
    <row r="69" spans="2:8" x14ac:dyDescent="0.25">
      <c r="B69" s="21">
        <v>64</v>
      </c>
      <c r="C69" s="22">
        <v>43529</v>
      </c>
      <c r="D69" s="23" t="s">
        <v>9</v>
      </c>
      <c r="E69" s="23" t="s">
        <v>18</v>
      </c>
      <c r="F69" s="23" t="s">
        <v>17</v>
      </c>
      <c r="G69" s="23">
        <v>600</v>
      </c>
      <c r="H69" s="24">
        <v>1</v>
      </c>
    </row>
    <row r="70" spans="2:8" x14ac:dyDescent="0.25">
      <c r="B70" s="21">
        <v>65</v>
      </c>
      <c r="C70" s="22">
        <v>43530</v>
      </c>
      <c r="D70" s="23" t="s">
        <v>9</v>
      </c>
      <c r="E70" s="23" t="s">
        <v>12</v>
      </c>
      <c r="F70" s="23" t="s">
        <v>11</v>
      </c>
      <c r="G70" s="23">
        <v>900</v>
      </c>
      <c r="H70" s="24">
        <v>1</v>
      </c>
    </row>
    <row r="71" spans="2:8" x14ac:dyDescent="0.25">
      <c r="B71" s="21">
        <v>66</v>
      </c>
      <c r="C71" s="22">
        <v>43531</v>
      </c>
      <c r="D71" s="23" t="s">
        <v>9</v>
      </c>
      <c r="E71" s="23" t="s">
        <v>18</v>
      </c>
      <c r="F71" s="23" t="s">
        <v>17</v>
      </c>
      <c r="G71" s="23">
        <v>600</v>
      </c>
      <c r="H71" s="24">
        <v>1</v>
      </c>
    </row>
    <row r="72" spans="2:8" x14ac:dyDescent="0.25">
      <c r="B72" s="21">
        <v>67</v>
      </c>
      <c r="C72" s="22">
        <v>43532</v>
      </c>
      <c r="D72" s="23" t="s">
        <v>9</v>
      </c>
      <c r="E72" s="23" t="s">
        <v>18</v>
      </c>
      <c r="F72" s="23" t="s">
        <v>17</v>
      </c>
      <c r="G72" s="23">
        <v>600</v>
      </c>
      <c r="H72" s="24">
        <v>1</v>
      </c>
    </row>
    <row r="73" spans="2:8" x14ac:dyDescent="0.25">
      <c r="B73" s="21">
        <v>68</v>
      </c>
      <c r="C73" s="22">
        <v>43533</v>
      </c>
      <c r="D73" s="23" t="s">
        <v>9</v>
      </c>
      <c r="E73" s="23" t="s">
        <v>10</v>
      </c>
      <c r="F73" s="23" t="s">
        <v>11</v>
      </c>
      <c r="G73" s="23">
        <v>1100</v>
      </c>
      <c r="H73" s="24">
        <v>1</v>
      </c>
    </row>
    <row r="74" spans="2:8" x14ac:dyDescent="0.25">
      <c r="B74" s="21">
        <v>69</v>
      </c>
      <c r="C74" s="22">
        <v>43534</v>
      </c>
      <c r="D74" s="23" t="s">
        <v>9</v>
      </c>
      <c r="E74" s="23" t="s">
        <v>14</v>
      </c>
      <c r="F74" s="23" t="s">
        <v>11</v>
      </c>
      <c r="G74" s="23">
        <v>900</v>
      </c>
      <c r="H74" s="24">
        <v>3</v>
      </c>
    </row>
    <row r="75" spans="2:8" x14ac:dyDescent="0.25">
      <c r="B75" s="21">
        <v>70</v>
      </c>
      <c r="C75" s="22">
        <v>43535</v>
      </c>
      <c r="D75" s="23" t="s">
        <v>9</v>
      </c>
      <c r="E75" s="23" t="s">
        <v>10</v>
      </c>
      <c r="F75" s="23" t="s">
        <v>11</v>
      </c>
      <c r="G75" s="23">
        <v>1100</v>
      </c>
      <c r="H75" s="24">
        <v>2</v>
      </c>
    </row>
    <row r="76" spans="2:8" x14ac:dyDescent="0.25">
      <c r="B76" s="21">
        <v>71</v>
      </c>
      <c r="C76" s="22">
        <v>43536</v>
      </c>
      <c r="D76" s="23" t="s">
        <v>9</v>
      </c>
      <c r="E76" s="23" t="s">
        <v>10</v>
      </c>
      <c r="F76" s="23" t="s">
        <v>11</v>
      </c>
      <c r="G76" s="23">
        <v>1100</v>
      </c>
      <c r="H76" s="24">
        <v>1</v>
      </c>
    </row>
    <row r="77" spans="2:8" x14ac:dyDescent="0.25">
      <c r="B77" s="21">
        <v>72</v>
      </c>
      <c r="C77" s="22">
        <v>43537</v>
      </c>
      <c r="D77" s="23" t="s">
        <v>9</v>
      </c>
      <c r="E77" s="23" t="s">
        <v>18</v>
      </c>
      <c r="F77" s="23" t="s">
        <v>17</v>
      </c>
      <c r="G77" s="23">
        <v>600</v>
      </c>
      <c r="H77" s="24">
        <v>1</v>
      </c>
    </row>
    <row r="78" spans="2:8" x14ac:dyDescent="0.25">
      <c r="B78" s="21">
        <v>73</v>
      </c>
      <c r="C78" s="22">
        <v>43538</v>
      </c>
      <c r="D78" s="23" t="s">
        <v>9</v>
      </c>
      <c r="E78" s="23" t="s">
        <v>12</v>
      </c>
      <c r="F78" s="23" t="s">
        <v>11</v>
      </c>
      <c r="G78" s="23">
        <v>900</v>
      </c>
      <c r="H78" s="24">
        <v>1</v>
      </c>
    </row>
    <row r="79" spans="2:8" x14ac:dyDescent="0.25">
      <c r="B79" s="21">
        <v>74</v>
      </c>
      <c r="C79" s="22">
        <v>43539</v>
      </c>
      <c r="D79" s="23" t="s">
        <v>9</v>
      </c>
      <c r="E79" s="23" t="s">
        <v>18</v>
      </c>
      <c r="F79" s="23" t="s">
        <v>17</v>
      </c>
      <c r="G79" s="23">
        <v>600</v>
      </c>
      <c r="H79" s="24">
        <v>1</v>
      </c>
    </row>
    <row r="80" spans="2:8" x14ac:dyDescent="0.25">
      <c r="B80" s="21">
        <v>75</v>
      </c>
      <c r="C80" s="22">
        <v>43540</v>
      </c>
      <c r="D80" s="23" t="s">
        <v>9</v>
      </c>
      <c r="E80" s="23" t="s">
        <v>18</v>
      </c>
      <c r="F80" s="23" t="s">
        <v>17</v>
      </c>
      <c r="G80" s="23">
        <v>600</v>
      </c>
      <c r="H80" s="24">
        <v>1</v>
      </c>
    </row>
    <row r="81" spans="2:8" x14ac:dyDescent="0.25">
      <c r="B81" s="21">
        <v>75</v>
      </c>
      <c r="C81" s="22">
        <v>43540</v>
      </c>
      <c r="D81" s="23" t="s">
        <v>9</v>
      </c>
      <c r="E81" s="23" t="s">
        <v>18</v>
      </c>
      <c r="F81" s="23" t="s">
        <v>17</v>
      </c>
      <c r="G81" s="23">
        <v>600</v>
      </c>
      <c r="H81" s="24">
        <v>1</v>
      </c>
    </row>
    <row r="82" spans="2:8" x14ac:dyDescent="0.25">
      <c r="B82" s="21">
        <v>76</v>
      </c>
      <c r="C82" s="22">
        <v>43541</v>
      </c>
      <c r="D82" s="23" t="s">
        <v>9</v>
      </c>
      <c r="E82" s="23" t="s">
        <v>12</v>
      </c>
      <c r="F82" s="23" t="s">
        <v>11</v>
      </c>
      <c r="G82" s="23">
        <v>900</v>
      </c>
      <c r="H82" s="24">
        <v>3</v>
      </c>
    </row>
    <row r="83" spans="2:8" x14ac:dyDescent="0.25">
      <c r="B83" s="21">
        <v>77</v>
      </c>
      <c r="C83" s="22">
        <v>43542</v>
      </c>
      <c r="D83" s="23" t="s">
        <v>9</v>
      </c>
      <c r="E83" s="23" t="s">
        <v>18</v>
      </c>
      <c r="F83" s="23" t="s">
        <v>17</v>
      </c>
      <c r="G83" s="23">
        <v>600</v>
      </c>
      <c r="H83" s="24">
        <v>1</v>
      </c>
    </row>
    <row r="84" spans="2:8" x14ac:dyDescent="0.25">
      <c r="B84" s="21">
        <v>78</v>
      </c>
      <c r="C84" s="22">
        <v>43543</v>
      </c>
      <c r="D84" s="23" t="s">
        <v>9</v>
      </c>
      <c r="E84" s="23" t="s">
        <v>16</v>
      </c>
      <c r="F84" s="23" t="s">
        <v>17</v>
      </c>
      <c r="G84" s="23">
        <v>800</v>
      </c>
      <c r="H84" s="24">
        <v>1</v>
      </c>
    </row>
    <row r="85" spans="2:8" x14ac:dyDescent="0.25">
      <c r="B85" s="21">
        <v>79</v>
      </c>
      <c r="C85" s="22">
        <v>43544</v>
      </c>
      <c r="D85" s="23" t="s">
        <v>9</v>
      </c>
      <c r="E85" s="23" t="s">
        <v>18</v>
      </c>
      <c r="F85" s="23" t="s">
        <v>17</v>
      </c>
      <c r="G85" s="23">
        <v>600</v>
      </c>
      <c r="H85" s="24">
        <v>1</v>
      </c>
    </row>
    <row r="86" spans="2:8" x14ac:dyDescent="0.25">
      <c r="B86" s="21">
        <v>80</v>
      </c>
      <c r="C86" s="22">
        <v>43545</v>
      </c>
      <c r="D86" s="23" t="s">
        <v>9</v>
      </c>
      <c r="E86" s="23" t="s">
        <v>10</v>
      </c>
      <c r="F86" s="23" t="s">
        <v>11</v>
      </c>
      <c r="G86" s="23">
        <v>1100</v>
      </c>
      <c r="H86" s="24">
        <v>1</v>
      </c>
    </row>
    <row r="87" spans="2:8" x14ac:dyDescent="0.25">
      <c r="B87" s="21">
        <v>81</v>
      </c>
      <c r="C87" s="22">
        <v>43546</v>
      </c>
      <c r="D87" s="23" t="s">
        <v>9</v>
      </c>
      <c r="E87" s="23" t="s">
        <v>14</v>
      </c>
      <c r="F87" s="23" t="s">
        <v>11</v>
      </c>
      <c r="G87" s="23">
        <v>900</v>
      </c>
      <c r="H87" s="24">
        <v>1</v>
      </c>
    </row>
    <row r="88" spans="2:8" x14ac:dyDescent="0.25">
      <c r="B88" s="21">
        <v>82</v>
      </c>
      <c r="C88" s="22">
        <v>43547</v>
      </c>
      <c r="D88" s="23" t="s">
        <v>9</v>
      </c>
      <c r="E88" s="23" t="s">
        <v>10</v>
      </c>
      <c r="F88" s="23" t="s">
        <v>11</v>
      </c>
      <c r="G88" s="23">
        <v>1100</v>
      </c>
      <c r="H88" s="24">
        <v>1</v>
      </c>
    </row>
    <row r="89" spans="2:8" x14ac:dyDescent="0.25">
      <c r="B89" s="21">
        <v>83</v>
      </c>
      <c r="C89" s="22">
        <v>43548</v>
      </c>
      <c r="D89" s="23" t="s">
        <v>9</v>
      </c>
      <c r="E89" s="23" t="s">
        <v>10</v>
      </c>
      <c r="F89" s="23" t="s">
        <v>11</v>
      </c>
      <c r="G89" s="23">
        <v>1100</v>
      </c>
      <c r="H89" s="24">
        <v>1</v>
      </c>
    </row>
    <row r="90" spans="2:8" x14ac:dyDescent="0.25">
      <c r="B90" s="21">
        <v>84</v>
      </c>
      <c r="C90" s="22">
        <v>43549</v>
      </c>
      <c r="D90" s="23" t="s">
        <v>9</v>
      </c>
      <c r="E90" s="23" t="s">
        <v>10</v>
      </c>
      <c r="F90" s="23" t="s">
        <v>11</v>
      </c>
      <c r="G90" s="23">
        <v>1100</v>
      </c>
      <c r="H90" s="24">
        <v>1</v>
      </c>
    </row>
    <row r="91" spans="2:8" x14ac:dyDescent="0.25">
      <c r="B91" s="21">
        <v>85</v>
      </c>
      <c r="C91" s="22">
        <v>43550</v>
      </c>
      <c r="D91" s="23" t="s">
        <v>9</v>
      </c>
      <c r="E91" s="23" t="s">
        <v>15</v>
      </c>
      <c r="F91" s="23" t="s">
        <v>11</v>
      </c>
      <c r="G91" s="23">
        <v>1000</v>
      </c>
      <c r="H91" s="24">
        <v>1</v>
      </c>
    </row>
    <row r="92" spans="2:8" x14ac:dyDescent="0.25">
      <c r="B92" s="21">
        <v>86</v>
      </c>
      <c r="C92" s="22">
        <v>43551</v>
      </c>
      <c r="D92" s="23" t="s">
        <v>9</v>
      </c>
      <c r="E92" s="23" t="s">
        <v>18</v>
      </c>
      <c r="F92" s="23" t="s">
        <v>17</v>
      </c>
      <c r="G92" s="23">
        <v>600</v>
      </c>
      <c r="H92" s="24">
        <v>1</v>
      </c>
    </row>
    <row r="93" spans="2:8" x14ac:dyDescent="0.25">
      <c r="B93" s="21">
        <v>87</v>
      </c>
      <c r="C93" s="22">
        <v>43552</v>
      </c>
      <c r="D93" s="23" t="s">
        <v>9</v>
      </c>
      <c r="E93" s="23" t="s">
        <v>16</v>
      </c>
      <c r="F93" s="23" t="s">
        <v>17</v>
      </c>
      <c r="G93" s="23">
        <v>800</v>
      </c>
      <c r="H93" s="24">
        <v>1</v>
      </c>
    </row>
    <row r="94" spans="2:8" x14ac:dyDescent="0.25">
      <c r="B94" s="21">
        <v>88</v>
      </c>
      <c r="C94" s="22">
        <v>43553</v>
      </c>
      <c r="D94" s="23" t="s">
        <v>9</v>
      </c>
      <c r="E94" s="23" t="s">
        <v>10</v>
      </c>
      <c r="F94" s="23" t="s">
        <v>11</v>
      </c>
      <c r="G94" s="23">
        <v>1100</v>
      </c>
      <c r="H94" s="24">
        <v>1</v>
      </c>
    </row>
    <row r="95" spans="2:8" x14ac:dyDescent="0.25">
      <c r="B95" s="21">
        <v>89</v>
      </c>
      <c r="C95" s="22">
        <v>43554</v>
      </c>
      <c r="D95" s="23" t="s">
        <v>9</v>
      </c>
      <c r="E95" s="23" t="s">
        <v>18</v>
      </c>
      <c r="F95" s="23" t="s">
        <v>17</v>
      </c>
      <c r="G95" s="23">
        <v>600</v>
      </c>
      <c r="H95" s="24">
        <v>1</v>
      </c>
    </row>
    <row r="96" spans="2:8" x14ac:dyDescent="0.25">
      <c r="B96" s="21">
        <v>90</v>
      </c>
      <c r="C96" s="22">
        <v>43555</v>
      </c>
      <c r="D96" s="23" t="s">
        <v>9</v>
      </c>
      <c r="E96" s="23" t="s">
        <v>19</v>
      </c>
      <c r="F96" s="23" t="s">
        <v>20</v>
      </c>
      <c r="G96" s="23">
        <v>850</v>
      </c>
      <c r="H96" s="24">
        <v>1</v>
      </c>
    </row>
    <row r="97" spans="2:8" x14ac:dyDescent="0.25">
      <c r="B97" s="21">
        <v>91</v>
      </c>
      <c r="C97" s="22">
        <v>43556</v>
      </c>
      <c r="D97" s="23" t="s">
        <v>9</v>
      </c>
      <c r="E97" s="23" t="s">
        <v>14</v>
      </c>
      <c r="F97" s="23" t="s">
        <v>11</v>
      </c>
      <c r="G97" s="23">
        <v>900</v>
      </c>
      <c r="H97" s="24">
        <v>1</v>
      </c>
    </row>
    <row r="98" spans="2:8" x14ac:dyDescent="0.25">
      <c r="B98" s="21">
        <v>92</v>
      </c>
      <c r="C98" s="22">
        <v>43557</v>
      </c>
      <c r="D98" s="23" t="s">
        <v>9</v>
      </c>
      <c r="E98" s="23" t="s">
        <v>15</v>
      </c>
      <c r="F98" s="23" t="s">
        <v>11</v>
      </c>
      <c r="G98" s="23">
        <v>1000</v>
      </c>
      <c r="H98" s="24">
        <v>1</v>
      </c>
    </row>
    <row r="99" spans="2:8" x14ac:dyDescent="0.25">
      <c r="B99" s="21">
        <v>93</v>
      </c>
      <c r="C99" s="22">
        <v>43558</v>
      </c>
      <c r="D99" s="23" t="s">
        <v>9</v>
      </c>
      <c r="E99" s="23" t="s">
        <v>19</v>
      </c>
      <c r="F99" s="23" t="s">
        <v>20</v>
      </c>
      <c r="G99" s="23">
        <v>850</v>
      </c>
      <c r="H99" s="24">
        <v>1</v>
      </c>
    </row>
    <row r="100" spans="2:8" x14ac:dyDescent="0.25">
      <c r="B100" s="21">
        <v>94</v>
      </c>
      <c r="C100" s="22">
        <v>43559</v>
      </c>
      <c r="D100" s="23" t="s">
        <v>9</v>
      </c>
      <c r="E100" s="23" t="s">
        <v>19</v>
      </c>
      <c r="F100" s="23" t="s">
        <v>20</v>
      </c>
      <c r="G100" s="23">
        <v>850</v>
      </c>
      <c r="H100" s="24">
        <v>1</v>
      </c>
    </row>
    <row r="101" spans="2:8" x14ac:dyDescent="0.25">
      <c r="B101" s="21">
        <v>95</v>
      </c>
      <c r="C101" s="22">
        <v>43560</v>
      </c>
      <c r="D101" s="23" t="s">
        <v>9</v>
      </c>
      <c r="E101" s="23" t="s">
        <v>15</v>
      </c>
      <c r="F101" s="23" t="s">
        <v>11</v>
      </c>
      <c r="G101" s="23">
        <v>1000</v>
      </c>
      <c r="H101" s="24">
        <v>1</v>
      </c>
    </row>
    <row r="102" spans="2:8" x14ac:dyDescent="0.25">
      <c r="B102" s="21">
        <v>96</v>
      </c>
      <c r="C102" s="22">
        <v>43561</v>
      </c>
      <c r="D102" s="23" t="s">
        <v>9</v>
      </c>
      <c r="E102" s="23" t="s">
        <v>16</v>
      </c>
      <c r="F102" s="23" t="s">
        <v>17</v>
      </c>
      <c r="G102" s="23">
        <v>800</v>
      </c>
      <c r="H102" s="24">
        <v>1</v>
      </c>
    </row>
    <row r="103" spans="2:8" x14ac:dyDescent="0.25">
      <c r="B103" s="21">
        <v>97</v>
      </c>
      <c r="C103" s="22">
        <v>43562</v>
      </c>
      <c r="D103" s="23" t="s">
        <v>9</v>
      </c>
      <c r="E103" s="23" t="s">
        <v>18</v>
      </c>
      <c r="F103" s="23" t="s">
        <v>17</v>
      </c>
      <c r="G103" s="23">
        <v>600</v>
      </c>
      <c r="H103" s="24">
        <v>1</v>
      </c>
    </row>
    <row r="104" spans="2:8" x14ac:dyDescent="0.25">
      <c r="B104" s="21">
        <v>98</v>
      </c>
      <c r="C104" s="22">
        <v>43563</v>
      </c>
      <c r="D104" s="23" t="s">
        <v>9</v>
      </c>
      <c r="E104" s="23" t="s">
        <v>16</v>
      </c>
      <c r="F104" s="23" t="s">
        <v>17</v>
      </c>
      <c r="G104" s="23">
        <v>800</v>
      </c>
      <c r="H104" s="24">
        <v>1</v>
      </c>
    </row>
    <row r="105" spans="2:8" x14ac:dyDescent="0.25">
      <c r="B105" s="21">
        <v>99</v>
      </c>
      <c r="C105" s="22">
        <v>43564</v>
      </c>
      <c r="D105" s="23" t="s">
        <v>9</v>
      </c>
      <c r="E105" s="23" t="s">
        <v>10</v>
      </c>
      <c r="F105" s="23" t="s">
        <v>11</v>
      </c>
      <c r="G105" s="23">
        <v>1100</v>
      </c>
      <c r="H105" s="24">
        <v>1</v>
      </c>
    </row>
    <row r="106" spans="2:8" x14ac:dyDescent="0.25">
      <c r="B106" s="21">
        <v>100</v>
      </c>
      <c r="C106" s="22">
        <v>43565</v>
      </c>
      <c r="D106" s="23" t="s">
        <v>9</v>
      </c>
      <c r="E106" s="23" t="s">
        <v>19</v>
      </c>
      <c r="F106" s="23" t="s">
        <v>20</v>
      </c>
      <c r="G106" s="23">
        <v>850</v>
      </c>
      <c r="H106" s="24">
        <v>1</v>
      </c>
    </row>
    <row r="107" spans="2:8" x14ac:dyDescent="0.25">
      <c r="B107" s="21">
        <v>101</v>
      </c>
      <c r="C107" s="22">
        <v>43566</v>
      </c>
      <c r="D107" s="23" t="s">
        <v>9</v>
      </c>
      <c r="E107" s="23" t="s">
        <v>19</v>
      </c>
      <c r="F107" s="23" t="s">
        <v>20</v>
      </c>
      <c r="G107" s="23">
        <v>850</v>
      </c>
      <c r="H107" s="24">
        <v>1</v>
      </c>
    </row>
    <row r="108" spans="2:8" x14ac:dyDescent="0.25">
      <c r="B108" s="21">
        <v>102</v>
      </c>
      <c r="C108" s="22">
        <v>43567</v>
      </c>
      <c r="D108" s="23" t="s">
        <v>9</v>
      </c>
      <c r="E108" s="23" t="s">
        <v>19</v>
      </c>
      <c r="F108" s="23" t="s">
        <v>20</v>
      </c>
      <c r="G108" s="23">
        <v>850</v>
      </c>
      <c r="H108" s="24">
        <v>1</v>
      </c>
    </row>
    <row r="109" spans="2:8" x14ac:dyDescent="0.25">
      <c r="B109" s="21">
        <v>103</v>
      </c>
      <c r="C109" s="22">
        <v>43568</v>
      </c>
      <c r="D109" s="23" t="s">
        <v>9</v>
      </c>
      <c r="E109" s="23" t="s">
        <v>18</v>
      </c>
      <c r="F109" s="23" t="s">
        <v>17</v>
      </c>
      <c r="G109" s="23">
        <v>600</v>
      </c>
      <c r="H109" s="24">
        <v>1</v>
      </c>
    </row>
    <row r="110" spans="2:8" x14ac:dyDescent="0.25">
      <c r="B110" s="21">
        <v>104</v>
      </c>
      <c r="C110" s="22">
        <v>43569</v>
      </c>
      <c r="D110" s="23" t="s">
        <v>9</v>
      </c>
      <c r="E110" s="23" t="s">
        <v>19</v>
      </c>
      <c r="F110" s="23" t="s">
        <v>20</v>
      </c>
      <c r="G110" s="23">
        <v>850</v>
      </c>
      <c r="H110" s="24">
        <v>1</v>
      </c>
    </row>
    <row r="111" spans="2:8" x14ac:dyDescent="0.25">
      <c r="B111" s="21">
        <v>105</v>
      </c>
      <c r="C111" s="22">
        <v>43570</v>
      </c>
      <c r="D111" s="23" t="s">
        <v>9</v>
      </c>
      <c r="E111" s="23" t="s">
        <v>19</v>
      </c>
      <c r="F111" s="23" t="s">
        <v>20</v>
      </c>
      <c r="G111" s="23">
        <v>850</v>
      </c>
      <c r="H111" s="24">
        <v>1</v>
      </c>
    </row>
    <row r="112" spans="2:8" x14ac:dyDescent="0.25">
      <c r="B112" s="21">
        <v>106</v>
      </c>
      <c r="C112" s="22">
        <v>43571</v>
      </c>
      <c r="D112" s="23" t="s">
        <v>9</v>
      </c>
      <c r="E112" s="23" t="s">
        <v>10</v>
      </c>
      <c r="F112" s="23" t="s">
        <v>11</v>
      </c>
      <c r="G112" s="23">
        <v>1100</v>
      </c>
      <c r="H112" s="24">
        <v>1</v>
      </c>
    </row>
    <row r="113" spans="2:8" x14ac:dyDescent="0.25">
      <c r="B113" s="21">
        <v>107</v>
      </c>
      <c r="C113" s="22">
        <v>43572</v>
      </c>
      <c r="D113" s="23" t="s">
        <v>9</v>
      </c>
      <c r="E113" s="23" t="s">
        <v>15</v>
      </c>
      <c r="F113" s="23" t="s">
        <v>11</v>
      </c>
      <c r="G113" s="23">
        <v>1000</v>
      </c>
      <c r="H113" s="24">
        <v>1</v>
      </c>
    </row>
    <row r="114" spans="2:8" x14ac:dyDescent="0.25">
      <c r="B114" s="21">
        <v>108</v>
      </c>
      <c r="C114" s="22">
        <v>43573</v>
      </c>
      <c r="D114" s="23" t="s">
        <v>9</v>
      </c>
      <c r="E114" s="23" t="s">
        <v>10</v>
      </c>
      <c r="F114" s="23" t="s">
        <v>11</v>
      </c>
      <c r="G114" s="23">
        <v>1100</v>
      </c>
      <c r="H114" s="24">
        <v>1</v>
      </c>
    </row>
    <row r="115" spans="2:8" x14ac:dyDescent="0.25">
      <c r="B115" s="21">
        <v>109</v>
      </c>
      <c r="C115" s="22">
        <v>43574</v>
      </c>
      <c r="D115" s="23" t="s">
        <v>9</v>
      </c>
      <c r="E115" s="23" t="s">
        <v>18</v>
      </c>
      <c r="F115" s="23" t="s">
        <v>17</v>
      </c>
      <c r="G115" s="23">
        <v>600</v>
      </c>
      <c r="H115" s="24">
        <v>1</v>
      </c>
    </row>
    <row r="116" spans="2:8" x14ac:dyDescent="0.25">
      <c r="B116" s="21">
        <v>110</v>
      </c>
      <c r="C116" s="22">
        <v>43575</v>
      </c>
      <c r="D116" s="23" t="s">
        <v>9</v>
      </c>
      <c r="E116" s="23" t="s">
        <v>18</v>
      </c>
      <c r="F116" s="23" t="s">
        <v>17</v>
      </c>
      <c r="G116" s="23">
        <v>600</v>
      </c>
      <c r="H116" s="24">
        <v>2</v>
      </c>
    </row>
    <row r="117" spans="2:8" x14ac:dyDescent="0.25">
      <c r="B117" s="21">
        <v>111</v>
      </c>
      <c r="C117" s="22">
        <v>43576</v>
      </c>
      <c r="D117" s="23" t="s">
        <v>9</v>
      </c>
      <c r="E117" s="23" t="s">
        <v>18</v>
      </c>
      <c r="F117" s="23" t="s">
        <v>17</v>
      </c>
      <c r="G117" s="23">
        <v>600</v>
      </c>
      <c r="H117" s="24">
        <v>1</v>
      </c>
    </row>
    <row r="118" spans="2:8" x14ac:dyDescent="0.25">
      <c r="B118" s="21">
        <v>112</v>
      </c>
      <c r="C118" s="22">
        <v>43577</v>
      </c>
      <c r="D118" s="23" t="s">
        <v>9</v>
      </c>
      <c r="E118" s="23" t="s">
        <v>18</v>
      </c>
      <c r="F118" s="23" t="s">
        <v>17</v>
      </c>
      <c r="G118" s="23">
        <v>600</v>
      </c>
      <c r="H118" s="24">
        <v>1</v>
      </c>
    </row>
    <row r="119" spans="2:8" x14ac:dyDescent="0.25">
      <c r="B119" s="21">
        <v>113</v>
      </c>
      <c r="C119" s="22">
        <v>43578</v>
      </c>
      <c r="D119" s="23" t="s">
        <v>9</v>
      </c>
      <c r="E119" s="23" t="s">
        <v>10</v>
      </c>
      <c r="F119" s="23" t="s">
        <v>11</v>
      </c>
      <c r="G119" s="23">
        <v>1100</v>
      </c>
      <c r="H119" s="24">
        <v>1</v>
      </c>
    </row>
    <row r="120" spans="2:8" x14ac:dyDescent="0.25">
      <c r="B120" s="21">
        <v>114</v>
      </c>
      <c r="C120" s="22">
        <v>43579</v>
      </c>
      <c r="D120" s="23" t="s">
        <v>9</v>
      </c>
      <c r="E120" s="23" t="s">
        <v>14</v>
      </c>
      <c r="F120" s="23" t="s">
        <v>11</v>
      </c>
      <c r="G120" s="23">
        <v>900</v>
      </c>
      <c r="H120" s="24">
        <v>1</v>
      </c>
    </row>
    <row r="121" spans="2:8" x14ac:dyDescent="0.25">
      <c r="B121" s="21">
        <v>115</v>
      </c>
      <c r="C121" s="22">
        <v>43580</v>
      </c>
      <c r="D121" s="23" t="s">
        <v>9</v>
      </c>
      <c r="E121" s="23" t="s">
        <v>18</v>
      </c>
      <c r="F121" s="23" t="s">
        <v>17</v>
      </c>
      <c r="G121" s="23">
        <v>600</v>
      </c>
      <c r="H121" s="24">
        <v>1</v>
      </c>
    </row>
    <row r="122" spans="2:8" x14ac:dyDescent="0.25">
      <c r="B122" s="21">
        <v>116</v>
      </c>
      <c r="C122" s="22">
        <v>43581</v>
      </c>
      <c r="D122" s="23" t="s">
        <v>9</v>
      </c>
      <c r="E122" s="23" t="s">
        <v>14</v>
      </c>
      <c r="F122" s="23" t="s">
        <v>11</v>
      </c>
      <c r="G122" s="23">
        <v>900</v>
      </c>
      <c r="H122" s="24">
        <v>1</v>
      </c>
    </row>
    <row r="123" spans="2:8" x14ac:dyDescent="0.25">
      <c r="B123" s="21">
        <v>117</v>
      </c>
      <c r="C123" s="22">
        <v>43582</v>
      </c>
      <c r="D123" s="23" t="s">
        <v>9</v>
      </c>
      <c r="E123" s="23" t="s">
        <v>12</v>
      </c>
      <c r="F123" s="23" t="s">
        <v>11</v>
      </c>
      <c r="G123" s="23">
        <v>900</v>
      </c>
      <c r="H123" s="24">
        <v>1</v>
      </c>
    </row>
    <row r="124" spans="2:8" x14ac:dyDescent="0.25">
      <c r="B124" s="21">
        <v>118</v>
      </c>
      <c r="C124" s="22">
        <v>43583</v>
      </c>
      <c r="D124" s="23" t="s">
        <v>9</v>
      </c>
      <c r="E124" s="23" t="s">
        <v>18</v>
      </c>
      <c r="F124" s="23" t="s">
        <v>17</v>
      </c>
      <c r="G124" s="23">
        <v>600</v>
      </c>
      <c r="H124" s="24">
        <v>1</v>
      </c>
    </row>
    <row r="125" spans="2:8" x14ac:dyDescent="0.25">
      <c r="B125" s="21">
        <v>119</v>
      </c>
      <c r="C125" s="22">
        <v>43584</v>
      </c>
      <c r="D125" s="23" t="s">
        <v>9</v>
      </c>
      <c r="E125" s="23" t="s">
        <v>18</v>
      </c>
      <c r="F125" s="23" t="s">
        <v>17</v>
      </c>
      <c r="G125" s="23">
        <v>600</v>
      </c>
      <c r="H125" s="24">
        <v>1</v>
      </c>
    </row>
    <row r="126" spans="2:8" x14ac:dyDescent="0.25">
      <c r="B126" s="21">
        <v>120</v>
      </c>
      <c r="C126" s="22">
        <v>43585</v>
      </c>
      <c r="D126" s="23" t="s">
        <v>9</v>
      </c>
      <c r="E126" s="23" t="s">
        <v>18</v>
      </c>
      <c r="F126" s="23" t="s">
        <v>17</v>
      </c>
      <c r="G126" s="23">
        <v>600</v>
      </c>
      <c r="H126" s="24">
        <v>1</v>
      </c>
    </row>
    <row r="127" spans="2:8" x14ac:dyDescent="0.25">
      <c r="B127" s="21">
        <v>121</v>
      </c>
      <c r="C127" s="22">
        <v>43586</v>
      </c>
      <c r="D127" s="23" t="s">
        <v>9</v>
      </c>
      <c r="E127" s="23" t="s">
        <v>10</v>
      </c>
      <c r="F127" s="23" t="s">
        <v>11</v>
      </c>
      <c r="G127" s="23">
        <v>1100</v>
      </c>
      <c r="H127" s="24">
        <v>1</v>
      </c>
    </row>
    <row r="128" spans="2:8" x14ac:dyDescent="0.25">
      <c r="B128" s="21">
        <v>122</v>
      </c>
      <c r="C128" s="22">
        <v>43587</v>
      </c>
      <c r="D128" s="23" t="s">
        <v>9</v>
      </c>
      <c r="E128" s="23" t="s">
        <v>18</v>
      </c>
      <c r="F128" s="23" t="s">
        <v>17</v>
      </c>
      <c r="G128" s="23">
        <v>600</v>
      </c>
      <c r="H128" s="24">
        <v>1</v>
      </c>
    </row>
    <row r="129" spans="2:8" x14ac:dyDescent="0.25">
      <c r="B129" s="21">
        <v>123</v>
      </c>
      <c r="C129" s="22">
        <v>43588</v>
      </c>
      <c r="D129" s="23" t="s">
        <v>9</v>
      </c>
      <c r="E129" s="23" t="s">
        <v>18</v>
      </c>
      <c r="F129" s="23" t="s">
        <v>17</v>
      </c>
      <c r="G129" s="23">
        <v>600</v>
      </c>
      <c r="H129" s="24">
        <v>1</v>
      </c>
    </row>
    <row r="130" spans="2:8" x14ac:dyDescent="0.25">
      <c r="B130" s="21">
        <v>124</v>
      </c>
      <c r="C130" s="22">
        <v>43589</v>
      </c>
      <c r="D130" s="23" t="s">
        <v>9</v>
      </c>
      <c r="E130" s="23" t="s">
        <v>18</v>
      </c>
      <c r="F130" s="23" t="s">
        <v>17</v>
      </c>
      <c r="G130" s="23">
        <v>600</v>
      </c>
      <c r="H130" s="24">
        <v>1</v>
      </c>
    </row>
    <row r="131" spans="2:8" x14ac:dyDescent="0.25">
      <c r="B131" s="21">
        <v>125</v>
      </c>
      <c r="C131" s="22">
        <v>43590</v>
      </c>
      <c r="D131" s="23" t="s">
        <v>9</v>
      </c>
      <c r="E131" s="23" t="s">
        <v>12</v>
      </c>
      <c r="F131" s="23" t="s">
        <v>11</v>
      </c>
      <c r="G131" s="23">
        <v>900</v>
      </c>
      <c r="H131" s="24">
        <v>1</v>
      </c>
    </row>
    <row r="132" spans="2:8" x14ac:dyDescent="0.25">
      <c r="B132" s="21">
        <v>126</v>
      </c>
      <c r="C132" s="22">
        <v>43591</v>
      </c>
      <c r="D132" s="23" t="s">
        <v>9</v>
      </c>
      <c r="E132" s="23" t="s">
        <v>18</v>
      </c>
      <c r="F132" s="23" t="s">
        <v>17</v>
      </c>
      <c r="G132" s="23">
        <v>600</v>
      </c>
      <c r="H132" s="24">
        <v>1</v>
      </c>
    </row>
    <row r="133" spans="2:8" x14ac:dyDescent="0.25">
      <c r="B133" s="21">
        <v>127</v>
      </c>
      <c r="C133" s="22">
        <v>43592</v>
      </c>
      <c r="D133" s="23" t="s">
        <v>9</v>
      </c>
      <c r="E133" s="23" t="s">
        <v>14</v>
      </c>
      <c r="F133" s="23" t="s">
        <v>11</v>
      </c>
      <c r="G133" s="23">
        <v>900</v>
      </c>
      <c r="H133" s="24">
        <v>1</v>
      </c>
    </row>
    <row r="134" spans="2:8" x14ac:dyDescent="0.25">
      <c r="B134" s="21">
        <v>128</v>
      </c>
      <c r="C134" s="22">
        <v>43593</v>
      </c>
      <c r="D134" s="23" t="s">
        <v>9</v>
      </c>
      <c r="E134" s="23" t="s">
        <v>21</v>
      </c>
      <c r="F134" s="23" t="s">
        <v>20</v>
      </c>
      <c r="G134" s="23">
        <v>1200</v>
      </c>
      <c r="H134" s="24">
        <v>1</v>
      </c>
    </row>
    <row r="135" spans="2:8" x14ac:dyDescent="0.25">
      <c r="B135" s="21">
        <v>129</v>
      </c>
      <c r="C135" s="22">
        <v>43594</v>
      </c>
      <c r="D135" s="23" t="s">
        <v>9</v>
      </c>
      <c r="E135" s="23" t="s">
        <v>10</v>
      </c>
      <c r="F135" s="23" t="s">
        <v>11</v>
      </c>
      <c r="G135" s="23">
        <v>1100</v>
      </c>
      <c r="H135" s="24">
        <v>1</v>
      </c>
    </row>
    <row r="136" spans="2:8" x14ac:dyDescent="0.25">
      <c r="B136" s="21">
        <v>130</v>
      </c>
      <c r="C136" s="22">
        <v>43595</v>
      </c>
      <c r="D136" s="23" t="s">
        <v>9</v>
      </c>
      <c r="E136" s="23" t="s">
        <v>10</v>
      </c>
      <c r="F136" s="23" t="s">
        <v>11</v>
      </c>
      <c r="G136" s="23">
        <v>1100</v>
      </c>
      <c r="H136" s="24">
        <v>1</v>
      </c>
    </row>
    <row r="137" spans="2:8" x14ac:dyDescent="0.25">
      <c r="B137" s="21">
        <v>131</v>
      </c>
      <c r="C137" s="22">
        <v>43596</v>
      </c>
      <c r="D137" s="23" t="s">
        <v>9</v>
      </c>
      <c r="E137" s="23" t="s">
        <v>18</v>
      </c>
      <c r="F137" s="23" t="s">
        <v>17</v>
      </c>
      <c r="G137" s="23">
        <v>600</v>
      </c>
      <c r="H137" s="24">
        <v>1</v>
      </c>
    </row>
    <row r="138" spans="2:8" x14ac:dyDescent="0.25">
      <c r="B138" s="21">
        <v>132</v>
      </c>
      <c r="C138" s="22">
        <v>43597</v>
      </c>
      <c r="D138" s="23" t="s">
        <v>9</v>
      </c>
      <c r="E138" s="23" t="s">
        <v>18</v>
      </c>
      <c r="F138" s="23" t="s">
        <v>17</v>
      </c>
      <c r="G138" s="23">
        <v>600</v>
      </c>
      <c r="H138" s="24">
        <v>2</v>
      </c>
    </row>
    <row r="139" spans="2:8" x14ac:dyDescent="0.25">
      <c r="B139" s="21">
        <v>133</v>
      </c>
      <c r="C139" s="22">
        <v>43598</v>
      </c>
      <c r="D139" s="23" t="s">
        <v>9</v>
      </c>
      <c r="E139" s="23" t="s">
        <v>21</v>
      </c>
      <c r="F139" s="23" t="s">
        <v>20</v>
      </c>
      <c r="G139" s="23">
        <v>1200</v>
      </c>
      <c r="H139" s="24">
        <v>1</v>
      </c>
    </row>
    <row r="140" spans="2:8" x14ac:dyDescent="0.25">
      <c r="B140" s="21">
        <v>134</v>
      </c>
      <c r="C140" s="22">
        <v>43599</v>
      </c>
      <c r="D140" s="23" t="s">
        <v>9</v>
      </c>
      <c r="E140" s="23" t="s">
        <v>21</v>
      </c>
      <c r="F140" s="23" t="s">
        <v>20</v>
      </c>
      <c r="G140" s="23">
        <v>1200</v>
      </c>
      <c r="H140" s="24">
        <v>1</v>
      </c>
    </row>
    <row r="141" spans="2:8" x14ac:dyDescent="0.25">
      <c r="B141" s="21">
        <v>135</v>
      </c>
      <c r="C141" s="22">
        <v>43600</v>
      </c>
      <c r="D141" s="23" t="s">
        <v>9</v>
      </c>
      <c r="E141" s="23" t="s">
        <v>15</v>
      </c>
      <c r="F141" s="23" t="s">
        <v>11</v>
      </c>
      <c r="G141" s="23">
        <v>1000</v>
      </c>
      <c r="H141" s="24">
        <v>1</v>
      </c>
    </row>
    <row r="142" spans="2:8" x14ac:dyDescent="0.25">
      <c r="B142" s="21">
        <v>136</v>
      </c>
      <c r="C142" s="22">
        <v>43601</v>
      </c>
      <c r="D142" s="23" t="s">
        <v>9</v>
      </c>
      <c r="E142" s="23" t="s">
        <v>16</v>
      </c>
      <c r="F142" s="23" t="s">
        <v>17</v>
      </c>
      <c r="G142" s="23">
        <v>800</v>
      </c>
      <c r="H142" s="24">
        <v>2</v>
      </c>
    </row>
    <row r="143" spans="2:8" x14ac:dyDescent="0.25">
      <c r="B143" s="21">
        <v>137</v>
      </c>
      <c r="C143" s="22">
        <v>43602</v>
      </c>
      <c r="D143" s="23" t="s">
        <v>9</v>
      </c>
      <c r="E143" s="23" t="s">
        <v>21</v>
      </c>
      <c r="F143" s="23" t="s">
        <v>20</v>
      </c>
      <c r="G143" s="23">
        <v>1200</v>
      </c>
      <c r="H143" s="24">
        <v>1</v>
      </c>
    </row>
    <row r="144" spans="2:8" x14ac:dyDescent="0.25">
      <c r="B144" s="21">
        <v>138</v>
      </c>
      <c r="C144" s="22">
        <v>43603</v>
      </c>
      <c r="D144" s="23" t="s">
        <v>9</v>
      </c>
      <c r="E144" s="23" t="s">
        <v>14</v>
      </c>
      <c r="F144" s="23" t="s">
        <v>11</v>
      </c>
      <c r="G144" s="23">
        <v>900</v>
      </c>
      <c r="H144" s="24">
        <v>1</v>
      </c>
    </row>
    <row r="145" spans="2:8" x14ac:dyDescent="0.25">
      <c r="B145" s="21">
        <v>139</v>
      </c>
      <c r="C145" s="22">
        <v>43604</v>
      </c>
      <c r="D145" s="23" t="s">
        <v>9</v>
      </c>
      <c r="E145" s="23" t="s">
        <v>15</v>
      </c>
      <c r="F145" s="23" t="s">
        <v>11</v>
      </c>
      <c r="G145" s="23">
        <v>1000</v>
      </c>
      <c r="H145" s="24">
        <v>1</v>
      </c>
    </row>
    <row r="146" spans="2:8" x14ac:dyDescent="0.25">
      <c r="B146" s="21">
        <v>140</v>
      </c>
      <c r="C146" s="22">
        <v>43605</v>
      </c>
      <c r="D146" s="23" t="s">
        <v>9</v>
      </c>
      <c r="E146" s="23" t="s">
        <v>16</v>
      </c>
      <c r="F146" s="23" t="s">
        <v>17</v>
      </c>
      <c r="G146" s="23">
        <v>800</v>
      </c>
      <c r="H146" s="24">
        <v>1</v>
      </c>
    </row>
    <row r="147" spans="2:8" x14ac:dyDescent="0.25">
      <c r="B147" s="21">
        <v>141</v>
      </c>
      <c r="C147" s="22">
        <v>43606</v>
      </c>
      <c r="D147" s="23" t="s">
        <v>9</v>
      </c>
      <c r="E147" s="23" t="s">
        <v>21</v>
      </c>
      <c r="F147" s="23" t="s">
        <v>20</v>
      </c>
      <c r="G147" s="23">
        <v>1200</v>
      </c>
      <c r="H147" s="24">
        <v>1</v>
      </c>
    </row>
    <row r="148" spans="2:8" x14ac:dyDescent="0.25">
      <c r="B148" s="21">
        <v>142</v>
      </c>
      <c r="C148" s="22">
        <v>43607</v>
      </c>
      <c r="D148" s="23" t="s">
        <v>9</v>
      </c>
      <c r="E148" s="23" t="s">
        <v>21</v>
      </c>
      <c r="F148" s="23" t="s">
        <v>20</v>
      </c>
      <c r="G148" s="23">
        <v>1200</v>
      </c>
      <c r="H148" s="24">
        <v>1</v>
      </c>
    </row>
    <row r="149" spans="2:8" x14ac:dyDescent="0.25">
      <c r="B149" s="21">
        <v>143</v>
      </c>
      <c r="C149" s="22">
        <v>43608</v>
      </c>
      <c r="D149" s="23" t="s">
        <v>9</v>
      </c>
      <c r="E149" s="23" t="s">
        <v>16</v>
      </c>
      <c r="F149" s="23" t="s">
        <v>17</v>
      </c>
      <c r="G149" s="23">
        <v>800</v>
      </c>
      <c r="H149" s="24">
        <v>2</v>
      </c>
    </row>
    <row r="150" spans="2:8" x14ac:dyDescent="0.25">
      <c r="B150" s="21">
        <v>144</v>
      </c>
      <c r="C150" s="22">
        <v>43609</v>
      </c>
      <c r="D150" s="23" t="s">
        <v>9</v>
      </c>
      <c r="E150" s="23" t="s">
        <v>12</v>
      </c>
      <c r="F150" s="23" t="s">
        <v>11</v>
      </c>
      <c r="G150" s="23">
        <v>900</v>
      </c>
      <c r="H150" s="24">
        <v>1</v>
      </c>
    </row>
    <row r="151" spans="2:8" x14ac:dyDescent="0.25">
      <c r="B151" s="21">
        <v>145</v>
      </c>
      <c r="C151" s="22">
        <v>43610</v>
      </c>
      <c r="D151" s="23" t="s">
        <v>9</v>
      </c>
      <c r="E151" s="23" t="s">
        <v>15</v>
      </c>
      <c r="F151" s="23" t="s">
        <v>11</v>
      </c>
      <c r="G151" s="23">
        <v>1000</v>
      </c>
      <c r="H151" s="24">
        <v>1</v>
      </c>
    </row>
    <row r="152" spans="2:8" x14ac:dyDescent="0.25">
      <c r="B152" s="21">
        <v>146</v>
      </c>
      <c r="C152" s="22">
        <v>43611</v>
      </c>
      <c r="D152" s="23" t="s">
        <v>9</v>
      </c>
      <c r="E152" s="23" t="s">
        <v>15</v>
      </c>
      <c r="F152" s="23" t="s">
        <v>11</v>
      </c>
      <c r="G152" s="23">
        <v>1000</v>
      </c>
      <c r="H152" s="24">
        <v>1</v>
      </c>
    </row>
    <row r="153" spans="2:8" x14ac:dyDescent="0.25">
      <c r="B153" s="21">
        <v>147</v>
      </c>
      <c r="C153" s="22">
        <v>43612</v>
      </c>
      <c r="D153" s="23" t="s">
        <v>9</v>
      </c>
      <c r="E153" s="23" t="s">
        <v>18</v>
      </c>
      <c r="F153" s="23" t="s">
        <v>17</v>
      </c>
      <c r="G153" s="23">
        <v>600</v>
      </c>
      <c r="H153" s="24">
        <v>1</v>
      </c>
    </row>
    <row r="154" spans="2:8" x14ac:dyDescent="0.25">
      <c r="B154" s="21">
        <v>148</v>
      </c>
      <c r="C154" s="22">
        <v>43613</v>
      </c>
      <c r="D154" s="23" t="s">
        <v>9</v>
      </c>
      <c r="E154" s="23" t="s">
        <v>19</v>
      </c>
      <c r="F154" s="23" t="s">
        <v>20</v>
      </c>
      <c r="G154" s="23">
        <v>850</v>
      </c>
      <c r="H154" s="24">
        <v>1</v>
      </c>
    </row>
    <row r="155" spans="2:8" x14ac:dyDescent="0.25">
      <c r="B155" s="21">
        <v>149</v>
      </c>
      <c r="C155" s="22">
        <v>43614</v>
      </c>
      <c r="D155" s="23" t="s">
        <v>9</v>
      </c>
      <c r="E155" s="23" t="s">
        <v>18</v>
      </c>
      <c r="F155" s="23" t="s">
        <v>17</v>
      </c>
      <c r="G155" s="23">
        <v>600</v>
      </c>
      <c r="H155" s="24">
        <v>1</v>
      </c>
    </row>
    <row r="156" spans="2:8" x14ac:dyDescent="0.25">
      <c r="B156" s="21">
        <v>150</v>
      </c>
      <c r="C156" s="22">
        <v>43615</v>
      </c>
      <c r="D156" s="23" t="s">
        <v>9</v>
      </c>
      <c r="E156" s="23" t="s">
        <v>19</v>
      </c>
      <c r="F156" s="23" t="s">
        <v>20</v>
      </c>
      <c r="G156" s="23">
        <v>850</v>
      </c>
      <c r="H156" s="24">
        <v>1</v>
      </c>
    </row>
    <row r="157" spans="2:8" x14ac:dyDescent="0.25">
      <c r="B157" s="21">
        <v>151</v>
      </c>
      <c r="C157" s="22">
        <v>43616</v>
      </c>
      <c r="D157" s="23" t="s">
        <v>9</v>
      </c>
      <c r="E157" s="23" t="s">
        <v>19</v>
      </c>
      <c r="F157" s="23" t="s">
        <v>20</v>
      </c>
      <c r="G157" s="23">
        <v>850</v>
      </c>
      <c r="H157" s="24">
        <v>1</v>
      </c>
    </row>
    <row r="158" spans="2:8" x14ac:dyDescent="0.25">
      <c r="B158" s="21">
        <v>152</v>
      </c>
      <c r="C158" s="22">
        <v>43617</v>
      </c>
      <c r="D158" s="23" t="s">
        <v>9</v>
      </c>
      <c r="E158" s="23" t="s">
        <v>12</v>
      </c>
      <c r="F158" s="23" t="s">
        <v>11</v>
      </c>
      <c r="G158" s="23">
        <v>900</v>
      </c>
      <c r="H158" s="24">
        <v>1</v>
      </c>
    </row>
    <row r="159" spans="2:8" x14ac:dyDescent="0.25">
      <c r="B159" s="21">
        <v>153</v>
      </c>
      <c r="C159" s="22">
        <v>43618</v>
      </c>
      <c r="D159" s="23" t="s">
        <v>9</v>
      </c>
      <c r="E159" s="23" t="s">
        <v>21</v>
      </c>
      <c r="F159" s="23" t="s">
        <v>20</v>
      </c>
      <c r="G159" s="23">
        <v>1200</v>
      </c>
      <c r="H159" s="24">
        <v>2</v>
      </c>
    </row>
    <row r="160" spans="2:8" x14ac:dyDescent="0.25">
      <c r="B160" s="21">
        <v>154</v>
      </c>
      <c r="C160" s="22">
        <v>43619</v>
      </c>
      <c r="D160" s="23" t="s">
        <v>9</v>
      </c>
      <c r="E160" s="23" t="s">
        <v>16</v>
      </c>
      <c r="F160" s="23" t="s">
        <v>17</v>
      </c>
      <c r="G160" s="23">
        <v>800</v>
      </c>
      <c r="H160" s="24">
        <v>1</v>
      </c>
    </row>
    <row r="161" spans="2:8" x14ac:dyDescent="0.25">
      <c r="B161" s="21">
        <v>155</v>
      </c>
      <c r="C161" s="22">
        <v>43620</v>
      </c>
      <c r="D161" s="23" t="s">
        <v>9</v>
      </c>
      <c r="E161" s="23" t="s">
        <v>16</v>
      </c>
      <c r="F161" s="23" t="s">
        <v>17</v>
      </c>
      <c r="G161" s="23">
        <v>800</v>
      </c>
      <c r="H161" s="24">
        <v>1</v>
      </c>
    </row>
    <row r="162" spans="2:8" x14ac:dyDescent="0.25">
      <c r="B162" s="21">
        <v>156</v>
      </c>
      <c r="C162" s="22">
        <v>43621</v>
      </c>
      <c r="D162" s="23" t="s">
        <v>9</v>
      </c>
      <c r="E162" s="23" t="s">
        <v>14</v>
      </c>
      <c r="F162" s="23" t="s">
        <v>11</v>
      </c>
      <c r="G162" s="23">
        <v>900</v>
      </c>
      <c r="H162" s="24">
        <v>1</v>
      </c>
    </row>
    <row r="163" spans="2:8" x14ac:dyDescent="0.25">
      <c r="B163" s="21">
        <v>157</v>
      </c>
      <c r="C163" s="22">
        <v>43622</v>
      </c>
      <c r="D163" s="23" t="s">
        <v>9</v>
      </c>
      <c r="E163" s="23" t="s">
        <v>16</v>
      </c>
      <c r="F163" s="23" t="s">
        <v>17</v>
      </c>
      <c r="G163" s="23">
        <v>800</v>
      </c>
      <c r="H163" s="24">
        <v>1</v>
      </c>
    </row>
    <row r="164" spans="2:8" x14ac:dyDescent="0.25">
      <c r="B164" s="21">
        <v>158</v>
      </c>
      <c r="C164" s="22">
        <v>43623</v>
      </c>
      <c r="D164" s="23" t="s">
        <v>9</v>
      </c>
      <c r="E164" s="23" t="s">
        <v>18</v>
      </c>
      <c r="F164" s="23" t="s">
        <v>17</v>
      </c>
      <c r="G164" s="23">
        <v>600</v>
      </c>
      <c r="H164" s="24">
        <v>1</v>
      </c>
    </row>
    <row r="165" spans="2:8" x14ac:dyDescent="0.25">
      <c r="B165" s="21">
        <v>159</v>
      </c>
      <c r="C165" s="22">
        <v>43624</v>
      </c>
      <c r="D165" s="23" t="s">
        <v>9</v>
      </c>
      <c r="E165" s="23" t="s">
        <v>12</v>
      </c>
      <c r="F165" s="23" t="s">
        <v>11</v>
      </c>
      <c r="G165" s="23">
        <v>900</v>
      </c>
      <c r="H165" s="24">
        <v>3</v>
      </c>
    </row>
    <row r="166" spans="2:8" x14ac:dyDescent="0.25">
      <c r="B166" s="21">
        <v>160</v>
      </c>
      <c r="C166" s="22">
        <v>43625</v>
      </c>
      <c r="D166" s="23" t="s">
        <v>9</v>
      </c>
      <c r="E166" s="23" t="s">
        <v>18</v>
      </c>
      <c r="F166" s="23" t="s">
        <v>17</v>
      </c>
      <c r="G166" s="23">
        <v>600</v>
      </c>
      <c r="H166" s="24">
        <v>1</v>
      </c>
    </row>
    <row r="167" spans="2:8" x14ac:dyDescent="0.25">
      <c r="B167" s="21">
        <v>161</v>
      </c>
      <c r="C167" s="22">
        <v>43626</v>
      </c>
      <c r="D167" s="23" t="s">
        <v>9</v>
      </c>
      <c r="E167" s="23" t="s">
        <v>16</v>
      </c>
      <c r="F167" s="23" t="s">
        <v>17</v>
      </c>
      <c r="G167" s="23">
        <v>800</v>
      </c>
      <c r="H167" s="24">
        <v>1</v>
      </c>
    </row>
    <row r="168" spans="2:8" x14ac:dyDescent="0.25">
      <c r="B168" s="21">
        <v>162</v>
      </c>
      <c r="C168" s="22">
        <v>43627</v>
      </c>
      <c r="D168" s="23" t="s">
        <v>9</v>
      </c>
      <c r="E168" s="23" t="s">
        <v>18</v>
      </c>
      <c r="F168" s="23" t="s">
        <v>17</v>
      </c>
      <c r="G168" s="23">
        <v>600</v>
      </c>
      <c r="H168" s="24">
        <v>1</v>
      </c>
    </row>
    <row r="169" spans="2:8" x14ac:dyDescent="0.25">
      <c r="B169" s="21">
        <v>163</v>
      </c>
      <c r="C169" s="22">
        <v>43628</v>
      </c>
      <c r="D169" s="23" t="s">
        <v>9</v>
      </c>
      <c r="E169" s="23" t="s">
        <v>10</v>
      </c>
      <c r="F169" s="23" t="s">
        <v>11</v>
      </c>
      <c r="G169" s="23">
        <v>1100</v>
      </c>
      <c r="H169" s="24">
        <v>1</v>
      </c>
    </row>
    <row r="170" spans="2:8" x14ac:dyDescent="0.25">
      <c r="B170" s="21">
        <v>164</v>
      </c>
      <c r="C170" s="22">
        <v>43629</v>
      </c>
      <c r="D170" s="23" t="s">
        <v>9</v>
      </c>
      <c r="E170" s="23" t="s">
        <v>14</v>
      </c>
      <c r="F170" s="23" t="s">
        <v>11</v>
      </c>
      <c r="G170" s="23">
        <v>900</v>
      </c>
      <c r="H170" s="24">
        <v>1</v>
      </c>
    </row>
    <row r="171" spans="2:8" x14ac:dyDescent="0.25">
      <c r="B171" s="21">
        <v>165</v>
      </c>
      <c r="C171" s="22">
        <v>43630</v>
      </c>
      <c r="D171" s="23" t="s">
        <v>9</v>
      </c>
      <c r="E171" s="23" t="s">
        <v>10</v>
      </c>
      <c r="F171" s="23" t="s">
        <v>11</v>
      </c>
      <c r="G171" s="23">
        <v>1100</v>
      </c>
      <c r="H171" s="24">
        <v>1</v>
      </c>
    </row>
    <row r="172" spans="2:8" x14ac:dyDescent="0.25">
      <c r="B172" s="21">
        <v>166</v>
      </c>
      <c r="C172" s="22">
        <v>43631</v>
      </c>
      <c r="D172" s="23" t="s">
        <v>9</v>
      </c>
      <c r="E172" s="23" t="s">
        <v>10</v>
      </c>
      <c r="F172" s="23" t="s">
        <v>11</v>
      </c>
      <c r="G172" s="23">
        <v>1100</v>
      </c>
      <c r="H172" s="24">
        <v>1</v>
      </c>
    </row>
    <row r="173" spans="2:8" x14ac:dyDescent="0.25">
      <c r="B173" s="21">
        <v>167</v>
      </c>
      <c r="C173" s="22">
        <v>43632</v>
      </c>
      <c r="D173" s="23" t="s">
        <v>9</v>
      </c>
      <c r="E173" s="23" t="s">
        <v>21</v>
      </c>
      <c r="F173" s="23" t="s">
        <v>20</v>
      </c>
      <c r="G173" s="23">
        <v>1200</v>
      </c>
      <c r="H173" s="24">
        <v>1</v>
      </c>
    </row>
    <row r="174" spans="2:8" x14ac:dyDescent="0.25">
      <c r="B174" s="21">
        <v>168</v>
      </c>
      <c r="C174" s="22">
        <v>43633</v>
      </c>
      <c r="D174" s="23" t="s">
        <v>9</v>
      </c>
      <c r="E174" s="23" t="s">
        <v>21</v>
      </c>
      <c r="F174" s="23" t="s">
        <v>20</v>
      </c>
      <c r="G174" s="23">
        <v>1200</v>
      </c>
      <c r="H174" s="24">
        <v>1</v>
      </c>
    </row>
    <row r="175" spans="2:8" x14ac:dyDescent="0.25">
      <c r="B175" s="21">
        <v>169</v>
      </c>
      <c r="C175" s="22">
        <v>43634</v>
      </c>
      <c r="D175" s="23" t="s">
        <v>9</v>
      </c>
      <c r="E175" s="23" t="s">
        <v>10</v>
      </c>
      <c r="F175" s="23" t="s">
        <v>11</v>
      </c>
      <c r="G175" s="23">
        <v>1100</v>
      </c>
      <c r="H175" s="24">
        <v>1</v>
      </c>
    </row>
    <row r="176" spans="2:8" x14ac:dyDescent="0.25">
      <c r="B176" s="21">
        <v>170</v>
      </c>
      <c r="C176" s="22">
        <v>43635</v>
      </c>
      <c r="D176" s="23" t="s">
        <v>9</v>
      </c>
      <c r="E176" s="23" t="s">
        <v>10</v>
      </c>
      <c r="F176" s="23" t="s">
        <v>11</v>
      </c>
      <c r="G176" s="23">
        <v>1100</v>
      </c>
      <c r="H176" s="24">
        <v>1</v>
      </c>
    </row>
    <row r="177" spans="2:8" x14ac:dyDescent="0.25">
      <c r="B177" s="21">
        <v>171</v>
      </c>
      <c r="C177" s="22">
        <v>43636</v>
      </c>
      <c r="D177" s="23" t="s">
        <v>9</v>
      </c>
      <c r="E177" s="23" t="s">
        <v>22</v>
      </c>
      <c r="F177" s="23" t="s">
        <v>23</v>
      </c>
      <c r="G177" s="23">
        <v>900</v>
      </c>
      <c r="H177" s="24">
        <v>1</v>
      </c>
    </row>
    <row r="178" spans="2:8" x14ac:dyDescent="0.25">
      <c r="B178" s="21">
        <v>172</v>
      </c>
      <c r="C178" s="22">
        <v>43637</v>
      </c>
      <c r="D178" s="23" t="s">
        <v>9</v>
      </c>
      <c r="E178" s="23" t="s">
        <v>14</v>
      </c>
      <c r="F178" s="23" t="s">
        <v>11</v>
      </c>
      <c r="G178" s="23">
        <v>900</v>
      </c>
      <c r="H178" s="24">
        <v>1</v>
      </c>
    </row>
    <row r="179" spans="2:8" x14ac:dyDescent="0.25">
      <c r="B179" s="21">
        <v>173</v>
      </c>
      <c r="C179" s="22">
        <v>43638</v>
      </c>
      <c r="D179" s="23" t="s">
        <v>9</v>
      </c>
      <c r="E179" s="23" t="s">
        <v>22</v>
      </c>
      <c r="F179" s="23" t="s">
        <v>23</v>
      </c>
      <c r="G179" s="23">
        <v>800</v>
      </c>
      <c r="H179" s="24">
        <v>1</v>
      </c>
    </row>
    <row r="180" spans="2:8" x14ac:dyDescent="0.25">
      <c r="B180" s="21">
        <v>174</v>
      </c>
      <c r="C180" s="22">
        <v>43639</v>
      </c>
      <c r="D180" s="23" t="s">
        <v>9</v>
      </c>
      <c r="E180" s="23" t="s">
        <v>18</v>
      </c>
      <c r="F180" s="23" t="s">
        <v>17</v>
      </c>
      <c r="G180" s="23">
        <v>600</v>
      </c>
      <c r="H180" s="24">
        <v>1</v>
      </c>
    </row>
    <row r="181" spans="2:8" x14ac:dyDescent="0.25">
      <c r="B181" s="21">
        <v>175</v>
      </c>
      <c r="C181" s="22">
        <v>43640</v>
      </c>
      <c r="D181" s="23" t="s">
        <v>9</v>
      </c>
      <c r="E181" s="23" t="s">
        <v>22</v>
      </c>
      <c r="F181" s="23" t="s">
        <v>23</v>
      </c>
      <c r="G181" s="23">
        <v>800</v>
      </c>
      <c r="H181" s="24">
        <v>1</v>
      </c>
    </row>
    <row r="182" spans="2:8" x14ac:dyDescent="0.25">
      <c r="B182" s="21">
        <v>176</v>
      </c>
      <c r="C182" s="22">
        <v>43641</v>
      </c>
      <c r="D182" s="23" t="s">
        <v>9</v>
      </c>
      <c r="E182" s="23" t="s">
        <v>14</v>
      </c>
      <c r="F182" s="23" t="s">
        <v>11</v>
      </c>
      <c r="G182" s="23">
        <v>900</v>
      </c>
      <c r="H182" s="24">
        <v>1</v>
      </c>
    </row>
    <row r="183" spans="2:8" x14ac:dyDescent="0.25">
      <c r="B183" s="21">
        <v>177</v>
      </c>
      <c r="C183" s="22">
        <v>43642</v>
      </c>
      <c r="D183" s="23" t="s">
        <v>9</v>
      </c>
      <c r="E183" s="23" t="s">
        <v>21</v>
      </c>
      <c r="F183" s="23" t="s">
        <v>20</v>
      </c>
      <c r="G183" s="23">
        <v>1200</v>
      </c>
      <c r="H183" s="24">
        <v>1</v>
      </c>
    </row>
    <row r="184" spans="2:8" x14ac:dyDescent="0.25">
      <c r="B184" s="21">
        <v>178</v>
      </c>
      <c r="C184" s="22">
        <v>43643</v>
      </c>
      <c r="D184" s="23" t="s">
        <v>9</v>
      </c>
      <c r="E184" s="23" t="s">
        <v>22</v>
      </c>
      <c r="F184" s="23" t="s">
        <v>23</v>
      </c>
      <c r="G184" s="23">
        <v>800</v>
      </c>
      <c r="H184" s="24">
        <v>1</v>
      </c>
    </row>
    <row r="185" spans="2:8" x14ac:dyDescent="0.25">
      <c r="B185" s="21">
        <v>179</v>
      </c>
      <c r="C185" s="22">
        <v>43644</v>
      </c>
      <c r="D185" s="23" t="s">
        <v>9</v>
      </c>
      <c r="E185" s="23" t="s">
        <v>12</v>
      </c>
      <c r="F185" s="23" t="s">
        <v>11</v>
      </c>
      <c r="G185" s="23">
        <v>900</v>
      </c>
      <c r="H185" s="24">
        <v>1</v>
      </c>
    </row>
    <row r="186" spans="2:8" x14ac:dyDescent="0.25">
      <c r="B186" s="21">
        <v>180</v>
      </c>
      <c r="C186" s="22">
        <v>43645</v>
      </c>
      <c r="D186" s="23" t="s">
        <v>9</v>
      </c>
      <c r="E186" s="23" t="s">
        <v>21</v>
      </c>
      <c r="F186" s="23" t="s">
        <v>20</v>
      </c>
      <c r="G186" s="23">
        <v>1200</v>
      </c>
      <c r="H186" s="24">
        <v>1</v>
      </c>
    </row>
    <row r="187" spans="2:8" x14ac:dyDescent="0.25">
      <c r="B187" s="21">
        <v>181</v>
      </c>
      <c r="C187" s="22">
        <v>43646</v>
      </c>
      <c r="D187" s="23" t="s">
        <v>9</v>
      </c>
      <c r="E187" s="23" t="s">
        <v>10</v>
      </c>
      <c r="F187" s="23" t="s">
        <v>11</v>
      </c>
      <c r="G187" s="23">
        <v>1100</v>
      </c>
      <c r="H187" s="24">
        <v>1</v>
      </c>
    </row>
    <row r="188" spans="2:8" x14ac:dyDescent="0.25">
      <c r="B188" s="21">
        <v>182</v>
      </c>
      <c r="C188" s="22">
        <v>43647</v>
      </c>
      <c r="D188" s="23" t="s">
        <v>9</v>
      </c>
      <c r="E188" s="23" t="s">
        <v>21</v>
      </c>
      <c r="F188" s="23" t="s">
        <v>20</v>
      </c>
      <c r="G188" s="23">
        <v>1200</v>
      </c>
      <c r="H188" s="24">
        <v>1</v>
      </c>
    </row>
    <row r="189" spans="2:8" x14ac:dyDescent="0.25">
      <c r="B189" s="21">
        <v>183</v>
      </c>
      <c r="C189" s="22">
        <v>43648</v>
      </c>
      <c r="D189" s="23" t="s">
        <v>9</v>
      </c>
      <c r="E189" s="23" t="s">
        <v>14</v>
      </c>
      <c r="F189" s="23" t="s">
        <v>11</v>
      </c>
      <c r="G189" s="23">
        <v>900</v>
      </c>
      <c r="H189" s="24">
        <v>1</v>
      </c>
    </row>
    <row r="190" spans="2:8" x14ac:dyDescent="0.25">
      <c r="B190" s="21">
        <v>184</v>
      </c>
      <c r="C190" s="22">
        <v>43649</v>
      </c>
      <c r="D190" s="23" t="s">
        <v>9</v>
      </c>
      <c r="E190" s="23" t="s">
        <v>10</v>
      </c>
      <c r="F190" s="23" t="s">
        <v>11</v>
      </c>
      <c r="G190" s="23">
        <v>1100</v>
      </c>
      <c r="H190" s="24">
        <v>2</v>
      </c>
    </row>
    <row r="191" spans="2:8" x14ac:dyDescent="0.25">
      <c r="B191" s="21">
        <v>185</v>
      </c>
      <c r="C191" s="22">
        <v>43650</v>
      </c>
      <c r="D191" s="23" t="s">
        <v>9</v>
      </c>
      <c r="E191" s="23" t="s">
        <v>21</v>
      </c>
      <c r="F191" s="23" t="s">
        <v>20</v>
      </c>
      <c r="G191" s="23">
        <v>1200</v>
      </c>
      <c r="H191" s="24">
        <v>1</v>
      </c>
    </row>
    <row r="192" spans="2:8" x14ac:dyDescent="0.25">
      <c r="B192" s="21">
        <v>186</v>
      </c>
      <c r="C192" s="22">
        <v>43651</v>
      </c>
      <c r="D192" s="23" t="s">
        <v>9</v>
      </c>
      <c r="E192" s="23" t="s">
        <v>10</v>
      </c>
      <c r="F192" s="23" t="s">
        <v>11</v>
      </c>
      <c r="G192" s="23">
        <v>1100</v>
      </c>
      <c r="H192" s="24">
        <v>1</v>
      </c>
    </row>
    <row r="193" spans="2:8" x14ac:dyDescent="0.25">
      <c r="B193" s="21">
        <v>187</v>
      </c>
      <c r="C193" s="22">
        <v>43652</v>
      </c>
      <c r="D193" s="23" t="s">
        <v>9</v>
      </c>
      <c r="E193" s="23" t="s">
        <v>12</v>
      </c>
      <c r="F193" s="23" t="s">
        <v>11</v>
      </c>
      <c r="G193" s="23">
        <v>900</v>
      </c>
      <c r="H193" s="24">
        <v>1</v>
      </c>
    </row>
    <row r="194" spans="2:8" x14ac:dyDescent="0.25">
      <c r="B194" s="21">
        <v>188</v>
      </c>
      <c r="C194" s="22">
        <v>43653</v>
      </c>
      <c r="D194" s="23" t="s">
        <v>9</v>
      </c>
      <c r="E194" s="23" t="s">
        <v>18</v>
      </c>
      <c r="F194" s="23" t="s">
        <v>17</v>
      </c>
      <c r="G194" s="23">
        <v>600</v>
      </c>
      <c r="H194" s="24">
        <v>1</v>
      </c>
    </row>
    <row r="195" spans="2:8" x14ac:dyDescent="0.25">
      <c r="B195" s="21">
        <v>189</v>
      </c>
      <c r="C195" s="22">
        <v>43654</v>
      </c>
      <c r="D195" s="23" t="s">
        <v>9</v>
      </c>
      <c r="E195" s="23" t="s">
        <v>22</v>
      </c>
      <c r="F195" s="23" t="s">
        <v>23</v>
      </c>
      <c r="G195" s="23">
        <v>900</v>
      </c>
      <c r="H195" s="24">
        <v>1</v>
      </c>
    </row>
    <row r="196" spans="2:8" x14ac:dyDescent="0.25">
      <c r="B196" s="21">
        <v>190</v>
      </c>
      <c r="C196" s="22">
        <v>43655</v>
      </c>
      <c r="D196" s="23" t="s">
        <v>9</v>
      </c>
      <c r="E196" s="23" t="s">
        <v>16</v>
      </c>
      <c r="F196" s="23" t="s">
        <v>17</v>
      </c>
      <c r="G196" s="23">
        <v>800</v>
      </c>
      <c r="H196" s="24">
        <v>1</v>
      </c>
    </row>
    <row r="197" spans="2:8" x14ac:dyDescent="0.25">
      <c r="B197" s="21">
        <v>191</v>
      </c>
      <c r="C197" s="22">
        <v>43656</v>
      </c>
      <c r="D197" s="23" t="s">
        <v>9</v>
      </c>
      <c r="E197" s="23" t="s">
        <v>10</v>
      </c>
      <c r="F197" s="23" t="s">
        <v>11</v>
      </c>
      <c r="G197" s="23">
        <v>1100</v>
      </c>
      <c r="H197" s="24">
        <v>1</v>
      </c>
    </row>
    <row r="198" spans="2:8" x14ac:dyDescent="0.25">
      <c r="B198" s="21">
        <v>192</v>
      </c>
      <c r="C198" s="22">
        <v>43657</v>
      </c>
      <c r="D198" s="23" t="s">
        <v>9</v>
      </c>
      <c r="E198" s="23" t="s">
        <v>14</v>
      </c>
      <c r="F198" s="23" t="s">
        <v>11</v>
      </c>
      <c r="G198" s="23">
        <v>900</v>
      </c>
      <c r="H198" s="24">
        <v>1</v>
      </c>
    </row>
    <row r="199" spans="2:8" x14ac:dyDescent="0.25">
      <c r="B199" s="21">
        <v>193</v>
      </c>
      <c r="C199" s="22">
        <v>43658</v>
      </c>
      <c r="D199" s="23" t="s">
        <v>9</v>
      </c>
      <c r="E199" s="23" t="s">
        <v>15</v>
      </c>
      <c r="F199" s="23" t="s">
        <v>11</v>
      </c>
      <c r="G199" s="23">
        <v>1000</v>
      </c>
      <c r="H199" s="24">
        <v>1</v>
      </c>
    </row>
    <row r="200" spans="2:8" x14ac:dyDescent="0.25">
      <c r="B200" s="21">
        <v>194</v>
      </c>
      <c r="C200" s="22">
        <v>43659</v>
      </c>
      <c r="D200" s="23" t="s">
        <v>9</v>
      </c>
      <c r="E200" s="23" t="s">
        <v>19</v>
      </c>
      <c r="F200" s="23" t="s">
        <v>20</v>
      </c>
      <c r="G200" s="23">
        <v>850</v>
      </c>
      <c r="H200" s="24">
        <v>1</v>
      </c>
    </row>
    <row r="201" spans="2:8" x14ac:dyDescent="0.25">
      <c r="B201" s="21">
        <v>195</v>
      </c>
      <c r="C201" s="22">
        <v>43660</v>
      </c>
      <c r="D201" s="23" t="s">
        <v>9</v>
      </c>
      <c r="E201" s="23" t="s">
        <v>18</v>
      </c>
      <c r="F201" s="23" t="s">
        <v>17</v>
      </c>
      <c r="G201" s="23">
        <v>600</v>
      </c>
      <c r="H201" s="24">
        <v>1</v>
      </c>
    </row>
    <row r="202" spans="2:8" x14ac:dyDescent="0.25">
      <c r="B202" s="21">
        <v>196</v>
      </c>
      <c r="C202" s="22">
        <v>43661</v>
      </c>
      <c r="D202" s="23" t="s">
        <v>9</v>
      </c>
      <c r="E202" s="23" t="s">
        <v>14</v>
      </c>
      <c r="F202" s="23" t="s">
        <v>11</v>
      </c>
      <c r="G202" s="23">
        <v>900</v>
      </c>
      <c r="H202" s="24">
        <v>1</v>
      </c>
    </row>
    <row r="203" spans="2:8" x14ac:dyDescent="0.25">
      <c r="B203" s="21">
        <v>197</v>
      </c>
      <c r="C203" s="22">
        <v>43662</v>
      </c>
      <c r="D203" s="23" t="s">
        <v>9</v>
      </c>
      <c r="E203" s="23" t="s">
        <v>15</v>
      </c>
      <c r="F203" s="23" t="s">
        <v>11</v>
      </c>
      <c r="G203" s="23">
        <v>1000</v>
      </c>
      <c r="H203" s="24">
        <v>1</v>
      </c>
    </row>
    <row r="204" spans="2:8" x14ac:dyDescent="0.25">
      <c r="B204" s="21">
        <v>198</v>
      </c>
      <c r="C204" s="22">
        <v>43663</v>
      </c>
      <c r="D204" s="23" t="s">
        <v>9</v>
      </c>
      <c r="E204" s="23" t="s">
        <v>14</v>
      </c>
      <c r="F204" s="23" t="s">
        <v>11</v>
      </c>
      <c r="G204" s="23">
        <v>900</v>
      </c>
      <c r="H204" s="24">
        <v>1</v>
      </c>
    </row>
    <row r="205" spans="2:8" x14ac:dyDescent="0.25">
      <c r="B205" s="21">
        <v>199</v>
      </c>
      <c r="C205" s="22">
        <v>43664</v>
      </c>
      <c r="D205" s="23" t="s">
        <v>9</v>
      </c>
      <c r="E205" s="23" t="s">
        <v>12</v>
      </c>
      <c r="F205" s="23" t="s">
        <v>11</v>
      </c>
      <c r="G205" s="23">
        <v>900</v>
      </c>
      <c r="H205" s="24">
        <v>1</v>
      </c>
    </row>
    <row r="206" spans="2:8" x14ac:dyDescent="0.25">
      <c r="B206" s="21">
        <v>200</v>
      </c>
      <c r="C206" s="22">
        <v>43665</v>
      </c>
      <c r="D206" s="23" t="s">
        <v>9</v>
      </c>
      <c r="E206" s="23" t="s">
        <v>18</v>
      </c>
      <c r="F206" s="23" t="s">
        <v>17</v>
      </c>
      <c r="G206" s="23">
        <v>600</v>
      </c>
      <c r="H206" s="24">
        <v>1</v>
      </c>
    </row>
    <row r="207" spans="2:8" x14ac:dyDescent="0.25">
      <c r="B207" s="21">
        <v>201</v>
      </c>
      <c r="C207" s="22">
        <v>43666</v>
      </c>
      <c r="D207" s="23" t="s">
        <v>9</v>
      </c>
      <c r="E207" s="23" t="s">
        <v>22</v>
      </c>
      <c r="F207" s="23" t="s">
        <v>23</v>
      </c>
      <c r="G207" s="23">
        <v>900</v>
      </c>
      <c r="H207" s="24">
        <v>1</v>
      </c>
    </row>
    <row r="208" spans="2:8" x14ac:dyDescent="0.25">
      <c r="B208" s="21">
        <v>202</v>
      </c>
      <c r="C208" s="22">
        <v>43667</v>
      </c>
      <c r="D208" s="23" t="s">
        <v>9</v>
      </c>
      <c r="E208" s="23" t="s">
        <v>22</v>
      </c>
      <c r="F208" s="23" t="s">
        <v>23</v>
      </c>
      <c r="G208" s="23">
        <v>800</v>
      </c>
      <c r="H208" s="24">
        <v>1</v>
      </c>
    </row>
    <row r="209" spans="2:8" x14ac:dyDescent="0.25">
      <c r="B209" s="21">
        <v>203</v>
      </c>
      <c r="C209" s="22">
        <v>43668</v>
      </c>
      <c r="D209" s="23" t="s">
        <v>9</v>
      </c>
      <c r="E209" s="23" t="s">
        <v>16</v>
      </c>
      <c r="F209" s="23" t="s">
        <v>17</v>
      </c>
      <c r="G209" s="23">
        <v>800</v>
      </c>
      <c r="H209" s="24">
        <v>1</v>
      </c>
    </row>
    <row r="210" spans="2:8" x14ac:dyDescent="0.25">
      <c r="B210" s="21">
        <v>204</v>
      </c>
      <c r="C210" s="22">
        <v>43669</v>
      </c>
      <c r="D210" s="23" t="s">
        <v>9</v>
      </c>
      <c r="E210" s="23" t="s">
        <v>18</v>
      </c>
      <c r="F210" s="23" t="s">
        <v>17</v>
      </c>
      <c r="G210" s="23">
        <v>600</v>
      </c>
      <c r="H210" s="24">
        <v>1</v>
      </c>
    </row>
    <row r="211" spans="2:8" x14ac:dyDescent="0.25">
      <c r="B211" s="21">
        <v>205</v>
      </c>
      <c r="C211" s="22">
        <v>43670</v>
      </c>
      <c r="D211" s="23" t="s">
        <v>9</v>
      </c>
      <c r="E211" s="23" t="s">
        <v>22</v>
      </c>
      <c r="F211" s="23" t="s">
        <v>23</v>
      </c>
      <c r="G211" s="23">
        <v>500</v>
      </c>
      <c r="H211" s="24">
        <v>1</v>
      </c>
    </row>
    <row r="212" spans="2:8" x14ac:dyDescent="0.25">
      <c r="B212" s="21">
        <v>206</v>
      </c>
      <c r="C212" s="22">
        <v>43671</v>
      </c>
      <c r="D212" s="23" t="s">
        <v>9</v>
      </c>
      <c r="E212" s="23" t="s">
        <v>14</v>
      </c>
      <c r="F212" s="23" t="s">
        <v>11</v>
      </c>
      <c r="G212" s="23">
        <v>900</v>
      </c>
      <c r="H212" s="24">
        <v>1</v>
      </c>
    </row>
    <row r="213" spans="2:8" x14ac:dyDescent="0.25">
      <c r="B213" s="21">
        <v>207</v>
      </c>
      <c r="C213" s="22">
        <v>43672</v>
      </c>
      <c r="D213" s="23" t="s">
        <v>9</v>
      </c>
      <c r="E213" s="23" t="s">
        <v>10</v>
      </c>
      <c r="F213" s="23" t="s">
        <v>11</v>
      </c>
      <c r="G213" s="23">
        <v>1100</v>
      </c>
      <c r="H213" s="24">
        <v>1</v>
      </c>
    </row>
    <row r="214" spans="2:8" x14ac:dyDescent="0.25">
      <c r="B214" s="21">
        <v>208</v>
      </c>
      <c r="C214" s="22">
        <v>43673</v>
      </c>
      <c r="D214" s="23" t="s">
        <v>9</v>
      </c>
      <c r="E214" s="23" t="s">
        <v>22</v>
      </c>
      <c r="F214" s="23" t="s">
        <v>23</v>
      </c>
      <c r="G214" s="23">
        <v>500</v>
      </c>
      <c r="H214" s="24">
        <v>1</v>
      </c>
    </row>
    <row r="215" spans="2:8" x14ac:dyDescent="0.25">
      <c r="B215" s="21">
        <v>209</v>
      </c>
      <c r="C215" s="22">
        <v>43674</v>
      </c>
      <c r="D215" s="23" t="s">
        <v>9</v>
      </c>
      <c r="E215" s="23" t="s">
        <v>18</v>
      </c>
      <c r="F215" s="23" t="s">
        <v>17</v>
      </c>
      <c r="G215" s="23">
        <v>600</v>
      </c>
      <c r="H215" s="24">
        <v>1</v>
      </c>
    </row>
    <row r="216" spans="2:8" x14ac:dyDescent="0.25">
      <c r="B216" s="21">
        <v>210</v>
      </c>
      <c r="C216" s="22">
        <v>43675</v>
      </c>
      <c r="D216" s="23" t="s">
        <v>9</v>
      </c>
      <c r="E216" s="23" t="s">
        <v>14</v>
      </c>
      <c r="F216" s="23" t="s">
        <v>11</v>
      </c>
      <c r="G216" s="23">
        <v>900</v>
      </c>
      <c r="H216" s="24">
        <v>1</v>
      </c>
    </row>
    <row r="217" spans="2:8" x14ac:dyDescent="0.25">
      <c r="B217" s="21">
        <v>211</v>
      </c>
      <c r="C217" s="22">
        <v>43676</v>
      </c>
      <c r="D217" s="23" t="s">
        <v>9</v>
      </c>
      <c r="E217" s="23" t="s">
        <v>22</v>
      </c>
      <c r="F217" s="23" t="s">
        <v>23</v>
      </c>
      <c r="G217" s="23">
        <v>500</v>
      </c>
      <c r="H217" s="24">
        <v>1</v>
      </c>
    </row>
    <row r="218" spans="2:8" x14ac:dyDescent="0.25">
      <c r="B218" s="21">
        <v>212</v>
      </c>
      <c r="C218" s="22">
        <v>43677</v>
      </c>
      <c r="D218" s="23" t="s">
        <v>9</v>
      </c>
      <c r="E218" s="23" t="s">
        <v>22</v>
      </c>
      <c r="F218" s="23" t="s">
        <v>23</v>
      </c>
      <c r="G218" s="23">
        <v>500</v>
      </c>
      <c r="H218" s="24">
        <v>1</v>
      </c>
    </row>
    <row r="219" spans="2:8" x14ac:dyDescent="0.25">
      <c r="B219" s="21">
        <v>213</v>
      </c>
      <c r="C219" s="22">
        <v>43678</v>
      </c>
      <c r="D219" s="23" t="s">
        <v>9</v>
      </c>
      <c r="E219" s="23" t="s">
        <v>18</v>
      </c>
      <c r="F219" s="23" t="s">
        <v>17</v>
      </c>
      <c r="G219" s="23">
        <v>600</v>
      </c>
      <c r="H219" s="24">
        <v>1</v>
      </c>
    </row>
    <row r="220" spans="2:8" x14ac:dyDescent="0.25">
      <c r="B220" s="21">
        <v>214</v>
      </c>
      <c r="C220" s="22">
        <v>43679</v>
      </c>
      <c r="D220" s="23" t="s">
        <v>9</v>
      </c>
      <c r="E220" s="23" t="s">
        <v>18</v>
      </c>
      <c r="F220" s="23" t="s">
        <v>17</v>
      </c>
      <c r="G220" s="23">
        <v>600</v>
      </c>
      <c r="H220" s="24">
        <v>1</v>
      </c>
    </row>
    <row r="221" spans="2:8" x14ac:dyDescent="0.25">
      <c r="B221" s="21">
        <v>215</v>
      </c>
      <c r="C221" s="22">
        <v>43680</v>
      </c>
      <c r="D221" s="23" t="s">
        <v>9</v>
      </c>
      <c r="E221" s="23" t="s">
        <v>16</v>
      </c>
      <c r="F221" s="23" t="s">
        <v>17</v>
      </c>
      <c r="G221" s="23">
        <v>800</v>
      </c>
      <c r="H221" s="24">
        <v>1</v>
      </c>
    </row>
    <row r="222" spans="2:8" x14ac:dyDescent="0.25">
      <c r="B222" s="21">
        <v>216</v>
      </c>
      <c r="C222" s="22">
        <v>43681</v>
      </c>
      <c r="D222" s="23" t="s">
        <v>9</v>
      </c>
      <c r="E222" s="23" t="s">
        <v>19</v>
      </c>
      <c r="F222" s="23" t="s">
        <v>20</v>
      </c>
      <c r="G222" s="23">
        <v>850</v>
      </c>
      <c r="H222" s="24">
        <v>1</v>
      </c>
    </row>
    <row r="223" spans="2:8" x14ac:dyDescent="0.25">
      <c r="B223" s="21">
        <v>217</v>
      </c>
      <c r="C223" s="22">
        <v>43682</v>
      </c>
      <c r="D223" s="23" t="s">
        <v>9</v>
      </c>
      <c r="E223" s="23" t="s">
        <v>22</v>
      </c>
      <c r="F223" s="23" t="s">
        <v>23</v>
      </c>
      <c r="G223" s="23">
        <v>500</v>
      </c>
      <c r="H223" s="24">
        <v>1</v>
      </c>
    </row>
    <row r="224" spans="2:8" x14ac:dyDescent="0.25">
      <c r="B224" s="21">
        <v>218</v>
      </c>
      <c r="C224" s="22">
        <v>43683</v>
      </c>
      <c r="D224" s="23" t="s">
        <v>9</v>
      </c>
      <c r="E224" s="23" t="s">
        <v>22</v>
      </c>
      <c r="F224" s="23" t="s">
        <v>23</v>
      </c>
      <c r="G224" s="23">
        <v>500</v>
      </c>
      <c r="H224" s="24">
        <v>1</v>
      </c>
    </row>
    <row r="225" spans="2:8" x14ac:dyDescent="0.25">
      <c r="B225" s="21">
        <v>219</v>
      </c>
      <c r="C225" s="22">
        <v>43684</v>
      </c>
      <c r="D225" s="23" t="s">
        <v>9</v>
      </c>
      <c r="E225" s="23" t="s">
        <v>10</v>
      </c>
      <c r="F225" s="23" t="s">
        <v>11</v>
      </c>
      <c r="G225" s="23">
        <v>1100</v>
      </c>
      <c r="H225" s="24">
        <v>1</v>
      </c>
    </row>
    <row r="226" spans="2:8" x14ac:dyDescent="0.25">
      <c r="B226" s="21">
        <v>220</v>
      </c>
      <c r="C226" s="22">
        <v>43685</v>
      </c>
      <c r="D226" s="23" t="s">
        <v>9</v>
      </c>
      <c r="E226" s="23" t="s">
        <v>22</v>
      </c>
      <c r="F226" s="23" t="s">
        <v>23</v>
      </c>
      <c r="G226" s="23">
        <v>500</v>
      </c>
      <c r="H226" s="24">
        <v>1</v>
      </c>
    </row>
    <row r="227" spans="2:8" x14ac:dyDescent="0.25">
      <c r="B227" s="21">
        <v>221</v>
      </c>
      <c r="C227" s="22">
        <v>43686</v>
      </c>
      <c r="D227" s="23" t="s">
        <v>9</v>
      </c>
      <c r="E227" s="23" t="s">
        <v>15</v>
      </c>
      <c r="F227" s="23" t="s">
        <v>11</v>
      </c>
      <c r="G227" s="23">
        <v>1000</v>
      </c>
      <c r="H227" s="24">
        <v>1</v>
      </c>
    </row>
    <row r="228" spans="2:8" x14ac:dyDescent="0.25">
      <c r="B228" s="21">
        <v>222</v>
      </c>
      <c r="C228" s="22">
        <v>43687</v>
      </c>
      <c r="D228" s="23" t="s">
        <v>9</v>
      </c>
      <c r="E228" s="23" t="s">
        <v>16</v>
      </c>
      <c r="F228" s="23" t="s">
        <v>17</v>
      </c>
      <c r="G228" s="23">
        <v>800</v>
      </c>
      <c r="H228" s="24">
        <v>1</v>
      </c>
    </row>
    <row r="229" spans="2:8" x14ac:dyDescent="0.25">
      <c r="B229" s="21">
        <v>223</v>
      </c>
      <c r="C229" s="22">
        <v>43688</v>
      </c>
      <c r="D229" s="23" t="s">
        <v>9</v>
      </c>
      <c r="E229" s="23" t="s">
        <v>24</v>
      </c>
      <c r="F229" s="23" t="s">
        <v>23</v>
      </c>
      <c r="G229" s="23">
        <v>600</v>
      </c>
      <c r="H229" s="24">
        <v>1</v>
      </c>
    </row>
    <row r="230" spans="2:8" x14ac:dyDescent="0.25">
      <c r="B230" s="21">
        <v>224</v>
      </c>
      <c r="C230" s="22">
        <v>43689</v>
      </c>
      <c r="D230" s="23" t="s">
        <v>9</v>
      </c>
      <c r="E230" s="23" t="s">
        <v>24</v>
      </c>
      <c r="F230" s="23" t="s">
        <v>23</v>
      </c>
      <c r="G230" s="23">
        <v>600</v>
      </c>
      <c r="H230" s="24">
        <v>1</v>
      </c>
    </row>
    <row r="231" spans="2:8" x14ac:dyDescent="0.25">
      <c r="B231" s="21">
        <v>225</v>
      </c>
      <c r="C231" s="22">
        <v>43690</v>
      </c>
      <c r="D231" s="23" t="s">
        <v>9</v>
      </c>
      <c r="E231" s="23" t="s">
        <v>19</v>
      </c>
      <c r="F231" s="23" t="s">
        <v>20</v>
      </c>
      <c r="G231" s="23">
        <v>850</v>
      </c>
      <c r="H231" s="24">
        <v>1</v>
      </c>
    </row>
    <row r="232" spans="2:8" x14ac:dyDescent="0.25">
      <c r="B232" s="21">
        <v>226</v>
      </c>
      <c r="C232" s="22">
        <v>43691</v>
      </c>
      <c r="D232" s="23" t="s">
        <v>9</v>
      </c>
      <c r="E232" s="23" t="s">
        <v>24</v>
      </c>
      <c r="F232" s="23" t="s">
        <v>23</v>
      </c>
      <c r="G232" s="23">
        <v>600</v>
      </c>
      <c r="H232" s="24">
        <v>1</v>
      </c>
    </row>
    <row r="233" spans="2:8" x14ac:dyDescent="0.25">
      <c r="B233" s="21">
        <v>227</v>
      </c>
      <c r="C233" s="22">
        <v>43692</v>
      </c>
      <c r="D233" s="23" t="s">
        <v>9</v>
      </c>
      <c r="E233" s="23" t="s">
        <v>18</v>
      </c>
      <c r="F233" s="23" t="s">
        <v>17</v>
      </c>
      <c r="G233" s="23">
        <v>600</v>
      </c>
      <c r="H233" s="24">
        <v>1</v>
      </c>
    </row>
    <row r="234" spans="2:8" x14ac:dyDescent="0.25">
      <c r="B234" s="21">
        <v>228</v>
      </c>
      <c r="C234" s="22">
        <v>43693</v>
      </c>
      <c r="D234" s="23" t="s">
        <v>9</v>
      </c>
      <c r="E234" s="23" t="s">
        <v>24</v>
      </c>
      <c r="F234" s="23" t="s">
        <v>23</v>
      </c>
      <c r="G234" s="23">
        <v>600</v>
      </c>
      <c r="H234" s="24">
        <v>1</v>
      </c>
    </row>
    <row r="235" spans="2:8" x14ac:dyDescent="0.25">
      <c r="B235" s="21">
        <v>229</v>
      </c>
      <c r="C235" s="22">
        <v>43694</v>
      </c>
      <c r="D235" s="23" t="s">
        <v>9</v>
      </c>
      <c r="E235" s="23" t="s">
        <v>10</v>
      </c>
      <c r="F235" s="23" t="s">
        <v>11</v>
      </c>
      <c r="G235" s="23">
        <v>1100</v>
      </c>
      <c r="H235" s="24">
        <v>1</v>
      </c>
    </row>
    <row r="236" spans="2:8" x14ac:dyDescent="0.25">
      <c r="B236" s="21">
        <v>230</v>
      </c>
      <c r="C236" s="22">
        <v>43695</v>
      </c>
      <c r="D236" s="23" t="s">
        <v>9</v>
      </c>
      <c r="E236" s="23" t="s">
        <v>18</v>
      </c>
      <c r="F236" s="23" t="s">
        <v>17</v>
      </c>
      <c r="G236" s="23">
        <v>600</v>
      </c>
      <c r="H236" s="24">
        <v>1</v>
      </c>
    </row>
    <row r="237" spans="2:8" x14ac:dyDescent="0.25">
      <c r="B237" s="21">
        <v>231</v>
      </c>
      <c r="C237" s="22">
        <v>43696</v>
      </c>
      <c r="D237" s="23" t="s">
        <v>9</v>
      </c>
      <c r="E237" s="23" t="s">
        <v>10</v>
      </c>
      <c r="F237" s="23" t="s">
        <v>11</v>
      </c>
      <c r="G237" s="23">
        <v>1100</v>
      </c>
      <c r="H237" s="24">
        <v>1</v>
      </c>
    </row>
    <row r="238" spans="2:8" x14ac:dyDescent="0.25">
      <c r="B238" s="21">
        <v>232</v>
      </c>
      <c r="C238" s="22">
        <v>43697</v>
      </c>
      <c r="D238" s="23" t="s">
        <v>9</v>
      </c>
      <c r="E238" s="23" t="s">
        <v>10</v>
      </c>
      <c r="F238" s="23" t="s">
        <v>11</v>
      </c>
      <c r="G238" s="23">
        <v>1100</v>
      </c>
      <c r="H238" s="24">
        <v>1</v>
      </c>
    </row>
    <row r="239" spans="2:8" x14ac:dyDescent="0.25">
      <c r="B239" s="21">
        <v>233</v>
      </c>
      <c r="C239" s="22">
        <v>43698</v>
      </c>
      <c r="D239" s="23" t="s">
        <v>9</v>
      </c>
      <c r="E239" s="23" t="s">
        <v>10</v>
      </c>
      <c r="F239" s="23" t="s">
        <v>11</v>
      </c>
      <c r="G239" s="23">
        <v>1100</v>
      </c>
      <c r="H239" s="24">
        <v>1</v>
      </c>
    </row>
    <row r="240" spans="2:8" x14ac:dyDescent="0.25">
      <c r="B240" s="21">
        <v>234</v>
      </c>
      <c r="C240" s="22">
        <v>43699</v>
      </c>
      <c r="D240" s="23" t="s">
        <v>9</v>
      </c>
      <c r="E240" s="23" t="s">
        <v>19</v>
      </c>
      <c r="F240" s="23" t="s">
        <v>20</v>
      </c>
      <c r="G240" s="23">
        <v>850</v>
      </c>
      <c r="H240" s="24">
        <v>1</v>
      </c>
    </row>
    <row r="241" spans="2:8" x14ac:dyDescent="0.25">
      <c r="B241" s="21">
        <v>235</v>
      </c>
      <c r="C241" s="22">
        <v>43700</v>
      </c>
      <c r="D241" s="23" t="s">
        <v>9</v>
      </c>
      <c r="E241" s="23" t="s">
        <v>18</v>
      </c>
      <c r="F241" s="23" t="s">
        <v>17</v>
      </c>
      <c r="G241" s="23">
        <v>600</v>
      </c>
      <c r="H241" s="24">
        <v>1</v>
      </c>
    </row>
    <row r="242" spans="2:8" x14ac:dyDescent="0.25">
      <c r="B242" s="21">
        <v>236</v>
      </c>
      <c r="C242" s="22">
        <v>43701</v>
      </c>
      <c r="D242" s="23" t="s">
        <v>9</v>
      </c>
      <c r="E242" s="23" t="s">
        <v>18</v>
      </c>
      <c r="F242" s="23" t="s">
        <v>17</v>
      </c>
      <c r="G242" s="23">
        <v>600</v>
      </c>
      <c r="H242" s="24">
        <v>1</v>
      </c>
    </row>
    <row r="243" spans="2:8" x14ac:dyDescent="0.25">
      <c r="B243" s="21">
        <v>237</v>
      </c>
      <c r="C243" s="22">
        <v>43702</v>
      </c>
      <c r="D243" s="23" t="s">
        <v>9</v>
      </c>
      <c r="E243" s="23" t="s">
        <v>16</v>
      </c>
      <c r="F243" s="23" t="s">
        <v>17</v>
      </c>
      <c r="G243" s="23">
        <v>800</v>
      </c>
      <c r="H243" s="24">
        <v>1</v>
      </c>
    </row>
    <row r="244" spans="2:8" x14ac:dyDescent="0.25">
      <c r="B244" s="21">
        <v>238</v>
      </c>
      <c r="C244" s="22">
        <v>43703</v>
      </c>
      <c r="D244" s="23" t="s">
        <v>9</v>
      </c>
      <c r="E244" s="23" t="s">
        <v>21</v>
      </c>
      <c r="F244" s="23" t="s">
        <v>20</v>
      </c>
      <c r="G244" s="23">
        <v>1200</v>
      </c>
      <c r="H244" s="24">
        <v>1</v>
      </c>
    </row>
    <row r="245" spans="2:8" x14ac:dyDescent="0.25">
      <c r="B245" s="21">
        <v>239</v>
      </c>
      <c r="C245" s="22">
        <v>43704</v>
      </c>
      <c r="D245" s="23" t="s">
        <v>9</v>
      </c>
      <c r="E245" s="23" t="s">
        <v>15</v>
      </c>
      <c r="F245" s="23" t="s">
        <v>11</v>
      </c>
      <c r="G245" s="23">
        <v>1000</v>
      </c>
      <c r="H245" s="24">
        <v>1</v>
      </c>
    </row>
    <row r="246" spans="2:8" x14ac:dyDescent="0.25">
      <c r="B246" s="21">
        <v>240</v>
      </c>
      <c r="C246" s="22">
        <v>43705</v>
      </c>
      <c r="D246" s="23" t="s">
        <v>9</v>
      </c>
      <c r="E246" s="23" t="s">
        <v>24</v>
      </c>
      <c r="F246" s="23" t="s">
        <v>23</v>
      </c>
      <c r="G246" s="23">
        <v>600</v>
      </c>
      <c r="H246" s="24">
        <v>1</v>
      </c>
    </row>
    <row r="247" spans="2:8" x14ac:dyDescent="0.25">
      <c r="B247" s="21">
        <v>241</v>
      </c>
      <c r="C247" s="22">
        <v>43706</v>
      </c>
      <c r="D247" s="23" t="s">
        <v>9</v>
      </c>
      <c r="E247" s="23" t="s">
        <v>14</v>
      </c>
      <c r="F247" s="23" t="s">
        <v>11</v>
      </c>
      <c r="G247" s="23">
        <v>900</v>
      </c>
      <c r="H247" s="24">
        <v>1</v>
      </c>
    </row>
    <row r="248" spans="2:8" x14ac:dyDescent="0.25">
      <c r="B248" s="21">
        <v>242</v>
      </c>
      <c r="C248" s="22">
        <v>43707</v>
      </c>
      <c r="D248" s="23" t="s">
        <v>9</v>
      </c>
      <c r="E248" s="23" t="s">
        <v>18</v>
      </c>
      <c r="F248" s="23" t="s">
        <v>17</v>
      </c>
      <c r="G248" s="23">
        <v>600</v>
      </c>
      <c r="H248" s="24">
        <v>1</v>
      </c>
    </row>
    <row r="249" spans="2:8" x14ac:dyDescent="0.25">
      <c r="B249" s="21">
        <v>243</v>
      </c>
      <c r="C249" s="22">
        <v>43708</v>
      </c>
      <c r="D249" s="23" t="s">
        <v>9</v>
      </c>
      <c r="E249" s="23" t="s">
        <v>12</v>
      </c>
      <c r="F249" s="23" t="s">
        <v>11</v>
      </c>
      <c r="G249" s="23">
        <v>900</v>
      </c>
      <c r="H249" s="24">
        <v>1</v>
      </c>
    </row>
    <row r="250" spans="2:8" x14ac:dyDescent="0.25">
      <c r="B250" s="21">
        <v>244</v>
      </c>
      <c r="C250" s="22">
        <v>43709</v>
      </c>
      <c r="D250" s="23" t="s">
        <v>9</v>
      </c>
      <c r="E250" s="23" t="s">
        <v>24</v>
      </c>
      <c r="F250" s="23" t="s">
        <v>23</v>
      </c>
      <c r="G250" s="23">
        <v>600</v>
      </c>
      <c r="H250" s="24">
        <v>1</v>
      </c>
    </row>
    <row r="251" spans="2:8" x14ac:dyDescent="0.25">
      <c r="B251" s="21">
        <v>245</v>
      </c>
      <c r="C251" s="22">
        <v>43710</v>
      </c>
      <c r="D251" s="23" t="s">
        <v>9</v>
      </c>
      <c r="E251" s="23" t="s">
        <v>19</v>
      </c>
      <c r="F251" s="23" t="s">
        <v>20</v>
      </c>
      <c r="G251" s="23">
        <v>850</v>
      </c>
      <c r="H251" s="24">
        <v>1</v>
      </c>
    </row>
    <row r="252" spans="2:8" x14ac:dyDescent="0.25">
      <c r="B252" s="21">
        <v>246</v>
      </c>
      <c r="C252" s="22">
        <v>43711</v>
      </c>
      <c r="D252" s="23" t="s">
        <v>9</v>
      </c>
      <c r="E252" s="23" t="s">
        <v>14</v>
      </c>
      <c r="F252" s="23" t="s">
        <v>11</v>
      </c>
      <c r="G252" s="23">
        <v>900</v>
      </c>
      <c r="H252" s="24">
        <v>1</v>
      </c>
    </row>
    <row r="253" spans="2:8" x14ac:dyDescent="0.25">
      <c r="B253" s="21">
        <v>247</v>
      </c>
      <c r="C253" s="22">
        <v>43712</v>
      </c>
      <c r="D253" s="23" t="s">
        <v>9</v>
      </c>
      <c r="E253" s="23" t="s">
        <v>10</v>
      </c>
      <c r="F253" s="23" t="s">
        <v>11</v>
      </c>
      <c r="G253" s="23">
        <v>1100</v>
      </c>
      <c r="H253" s="24">
        <v>1</v>
      </c>
    </row>
    <row r="254" spans="2:8" x14ac:dyDescent="0.25">
      <c r="B254" s="21">
        <v>248</v>
      </c>
      <c r="C254" s="22">
        <v>43713</v>
      </c>
      <c r="D254" s="23" t="s">
        <v>9</v>
      </c>
      <c r="E254" s="23" t="s">
        <v>14</v>
      </c>
      <c r="F254" s="23" t="s">
        <v>11</v>
      </c>
      <c r="G254" s="23">
        <v>900</v>
      </c>
      <c r="H254" s="24">
        <v>1</v>
      </c>
    </row>
    <row r="255" spans="2:8" x14ac:dyDescent="0.25">
      <c r="B255" s="21">
        <v>249</v>
      </c>
      <c r="C255" s="22">
        <v>43714</v>
      </c>
      <c r="D255" s="23" t="s">
        <v>9</v>
      </c>
      <c r="E255" s="23" t="s">
        <v>15</v>
      </c>
      <c r="F255" s="23" t="s">
        <v>11</v>
      </c>
      <c r="G255" s="23">
        <v>1000</v>
      </c>
      <c r="H255" s="24">
        <v>1</v>
      </c>
    </row>
    <row r="256" spans="2:8" x14ac:dyDescent="0.25">
      <c r="B256" s="21">
        <v>250</v>
      </c>
      <c r="C256" s="22">
        <v>43715</v>
      </c>
      <c r="D256" s="23" t="s">
        <v>9</v>
      </c>
      <c r="E256" s="23" t="s">
        <v>10</v>
      </c>
      <c r="F256" s="23" t="s">
        <v>11</v>
      </c>
      <c r="G256" s="23">
        <v>1100</v>
      </c>
      <c r="H256" s="24">
        <v>1</v>
      </c>
    </row>
    <row r="257" spans="2:8" x14ac:dyDescent="0.25">
      <c r="B257" s="21">
        <v>251</v>
      </c>
      <c r="C257" s="22">
        <v>43716</v>
      </c>
      <c r="D257" s="23" t="s">
        <v>9</v>
      </c>
      <c r="E257" s="23" t="s">
        <v>15</v>
      </c>
      <c r="F257" s="23" t="s">
        <v>11</v>
      </c>
      <c r="G257" s="23">
        <v>1000</v>
      </c>
      <c r="H257" s="24">
        <v>1</v>
      </c>
    </row>
    <row r="258" spans="2:8" x14ac:dyDescent="0.25">
      <c r="B258" s="21">
        <v>252</v>
      </c>
      <c r="C258" s="22">
        <v>43717</v>
      </c>
      <c r="D258" s="23" t="s">
        <v>9</v>
      </c>
      <c r="E258" s="23" t="s">
        <v>10</v>
      </c>
      <c r="F258" s="23" t="s">
        <v>11</v>
      </c>
      <c r="G258" s="23">
        <v>1100</v>
      </c>
      <c r="H258" s="24">
        <v>1</v>
      </c>
    </row>
    <row r="259" spans="2:8" x14ac:dyDescent="0.25">
      <c r="B259" s="21">
        <v>253</v>
      </c>
      <c r="C259" s="22">
        <v>43718</v>
      </c>
      <c r="D259" s="23" t="s">
        <v>9</v>
      </c>
      <c r="E259" s="23" t="s">
        <v>14</v>
      </c>
      <c r="F259" s="23" t="s">
        <v>11</v>
      </c>
      <c r="G259" s="23">
        <v>900</v>
      </c>
      <c r="H259" s="24">
        <v>1</v>
      </c>
    </row>
    <row r="260" spans="2:8" x14ac:dyDescent="0.25">
      <c r="B260" s="21">
        <v>254</v>
      </c>
      <c r="C260" s="22">
        <v>43719</v>
      </c>
      <c r="D260" s="23" t="s">
        <v>9</v>
      </c>
      <c r="E260" s="23" t="s">
        <v>12</v>
      </c>
      <c r="F260" s="23" t="s">
        <v>11</v>
      </c>
      <c r="G260" s="23">
        <v>900</v>
      </c>
      <c r="H260" s="24">
        <v>1</v>
      </c>
    </row>
    <row r="261" spans="2:8" x14ac:dyDescent="0.25">
      <c r="B261" s="21">
        <v>255</v>
      </c>
      <c r="C261" s="22">
        <v>43720</v>
      </c>
      <c r="D261" s="23" t="s">
        <v>9</v>
      </c>
      <c r="E261" s="23" t="s">
        <v>10</v>
      </c>
      <c r="F261" s="23" t="s">
        <v>11</v>
      </c>
      <c r="G261" s="23">
        <v>1100</v>
      </c>
      <c r="H261" s="24">
        <v>1</v>
      </c>
    </row>
    <row r="262" spans="2:8" x14ac:dyDescent="0.25">
      <c r="B262" s="21">
        <v>256</v>
      </c>
      <c r="C262" s="22">
        <v>43721</v>
      </c>
      <c r="D262" s="23" t="s">
        <v>9</v>
      </c>
      <c r="E262" s="23" t="s">
        <v>10</v>
      </c>
      <c r="F262" s="23" t="s">
        <v>11</v>
      </c>
      <c r="G262" s="23">
        <v>1100</v>
      </c>
      <c r="H262" s="24">
        <v>1</v>
      </c>
    </row>
    <row r="263" spans="2:8" x14ac:dyDescent="0.25">
      <c r="B263" s="21">
        <v>257</v>
      </c>
      <c r="C263" s="22">
        <v>43722</v>
      </c>
      <c r="D263" s="23" t="s">
        <v>9</v>
      </c>
      <c r="E263" s="23" t="s">
        <v>15</v>
      </c>
      <c r="F263" s="23" t="s">
        <v>11</v>
      </c>
      <c r="G263" s="23">
        <v>1000</v>
      </c>
      <c r="H263" s="24">
        <v>1</v>
      </c>
    </row>
    <row r="264" spans="2:8" x14ac:dyDescent="0.25">
      <c r="B264" s="21">
        <v>258</v>
      </c>
      <c r="C264" s="22">
        <v>43723</v>
      </c>
      <c r="D264" s="23" t="s">
        <v>9</v>
      </c>
      <c r="E264" s="23" t="s">
        <v>12</v>
      </c>
      <c r="F264" s="23" t="s">
        <v>11</v>
      </c>
      <c r="G264" s="23">
        <v>900</v>
      </c>
      <c r="H264" s="24">
        <v>1</v>
      </c>
    </row>
    <row r="265" spans="2:8" x14ac:dyDescent="0.25">
      <c r="B265" s="21">
        <v>259</v>
      </c>
      <c r="C265" s="22">
        <v>43724</v>
      </c>
      <c r="D265" s="23" t="s">
        <v>9</v>
      </c>
      <c r="E265" s="23" t="s">
        <v>18</v>
      </c>
      <c r="F265" s="23" t="s">
        <v>17</v>
      </c>
      <c r="G265" s="23">
        <v>600</v>
      </c>
      <c r="H265" s="24">
        <v>1</v>
      </c>
    </row>
    <row r="266" spans="2:8" x14ac:dyDescent="0.25">
      <c r="B266" s="21">
        <v>260</v>
      </c>
      <c r="C266" s="22">
        <v>43725</v>
      </c>
      <c r="D266" s="23" t="s">
        <v>9</v>
      </c>
      <c r="E266" s="23" t="s">
        <v>12</v>
      </c>
      <c r="F266" s="23" t="s">
        <v>11</v>
      </c>
      <c r="G266" s="23">
        <v>900</v>
      </c>
      <c r="H266" s="24">
        <v>1</v>
      </c>
    </row>
    <row r="267" spans="2:8" x14ac:dyDescent="0.25">
      <c r="B267" s="21">
        <v>261</v>
      </c>
      <c r="C267" s="22">
        <v>43726</v>
      </c>
      <c r="D267" s="23" t="s">
        <v>9</v>
      </c>
      <c r="E267" s="23" t="s">
        <v>18</v>
      </c>
      <c r="F267" s="23" t="s">
        <v>17</v>
      </c>
      <c r="G267" s="23">
        <v>600</v>
      </c>
      <c r="H267" s="24">
        <v>1</v>
      </c>
    </row>
    <row r="268" spans="2:8" x14ac:dyDescent="0.25">
      <c r="B268" s="21">
        <v>262</v>
      </c>
      <c r="C268" s="22">
        <v>43727</v>
      </c>
      <c r="D268" s="23" t="s">
        <v>9</v>
      </c>
      <c r="E268" s="23" t="s">
        <v>14</v>
      </c>
      <c r="F268" s="23" t="s">
        <v>11</v>
      </c>
      <c r="G268" s="23">
        <v>900</v>
      </c>
      <c r="H268" s="24">
        <v>1</v>
      </c>
    </row>
    <row r="269" spans="2:8" x14ac:dyDescent="0.25">
      <c r="B269" s="21">
        <v>263</v>
      </c>
      <c r="C269" s="22">
        <v>43728</v>
      </c>
      <c r="D269" s="23" t="s">
        <v>9</v>
      </c>
      <c r="E269" s="23" t="s">
        <v>10</v>
      </c>
      <c r="F269" s="23" t="s">
        <v>11</v>
      </c>
      <c r="G269" s="23">
        <v>1100</v>
      </c>
      <c r="H269" s="24">
        <v>2</v>
      </c>
    </row>
    <row r="270" spans="2:8" x14ac:dyDescent="0.25">
      <c r="B270" s="21">
        <v>264</v>
      </c>
      <c r="C270" s="22">
        <v>43729</v>
      </c>
      <c r="D270" s="23" t="s">
        <v>9</v>
      </c>
      <c r="E270" s="23" t="s">
        <v>18</v>
      </c>
      <c r="F270" s="23" t="s">
        <v>17</v>
      </c>
      <c r="G270" s="23">
        <v>600</v>
      </c>
      <c r="H270" s="24">
        <v>1</v>
      </c>
    </row>
    <row r="271" spans="2:8" x14ac:dyDescent="0.25">
      <c r="B271" s="21">
        <v>265</v>
      </c>
      <c r="C271" s="22">
        <v>43730</v>
      </c>
      <c r="D271" s="23" t="s">
        <v>9</v>
      </c>
      <c r="E271" s="23" t="s">
        <v>18</v>
      </c>
      <c r="F271" s="23" t="s">
        <v>17</v>
      </c>
      <c r="G271" s="23">
        <v>600</v>
      </c>
      <c r="H271" s="24">
        <v>1</v>
      </c>
    </row>
    <row r="272" spans="2:8" x14ac:dyDescent="0.25">
      <c r="B272" s="21">
        <v>266</v>
      </c>
      <c r="C272" s="22">
        <v>43731</v>
      </c>
      <c r="D272" s="23" t="s">
        <v>9</v>
      </c>
      <c r="E272" s="23" t="s">
        <v>14</v>
      </c>
      <c r="F272" s="23" t="s">
        <v>11</v>
      </c>
      <c r="G272" s="23">
        <v>900</v>
      </c>
      <c r="H272" s="24">
        <v>1</v>
      </c>
    </row>
    <row r="273" spans="2:8" x14ac:dyDescent="0.25">
      <c r="B273" s="21">
        <v>267</v>
      </c>
      <c r="C273" s="22">
        <v>43732</v>
      </c>
      <c r="D273" s="23" t="s">
        <v>9</v>
      </c>
      <c r="E273" s="23" t="s">
        <v>10</v>
      </c>
      <c r="F273" s="23" t="s">
        <v>11</v>
      </c>
      <c r="G273" s="23">
        <v>1100</v>
      </c>
      <c r="H273" s="24">
        <v>1</v>
      </c>
    </row>
    <row r="274" spans="2:8" x14ac:dyDescent="0.25">
      <c r="B274" s="21">
        <v>268</v>
      </c>
      <c r="C274" s="22">
        <v>43733</v>
      </c>
      <c r="D274" s="23" t="s">
        <v>9</v>
      </c>
      <c r="E274" s="23" t="s">
        <v>18</v>
      </c>
      <c r="F274" s="23" t="s">
        <v>17</v>
      </c>
      <c r="G274" s="23">
        <v>600</v>
      </c>
      <c r="H274" s="24">
        <v>1</v>
      </c>
    </row>
    <row r="275" spans="2:8" x14ac:dyDescent="0.25">
      <c r="B275" s="21">
        <v>269</v>
      </c>
      <c r="C275" s="22">
        <v>43734</v>
      </c>
      <c r="D275" s="23" t="s">
        <v>9</v>
      </c>
      <c r="E275" s="23" t="s">
        <v>24</v>
      </c>
      <c r="F275" s="23" t="s">
        <v>23</v>
      </c>
      <c r="G275" s="23">
        <v>600</v>
      </c>
      <c r="H275" s="24">
        <v>1</v>
      </c>
    </row>
    <row r="276" spans="2:8" x14ac:dyDescent="0.25">
      <c r="B276" s="21">
        <v>270</v>
      </c>
      <c r="C276" s="22">
        <v>43735</v>
      </c>
      <c r="D276" s="23" t="s">
        <v>9</v>
      </c>
      <c r="E276" s="23" t="s">
        <v>18</v>
      </c>
      <c r="F276" s="23" t="s">
        <v>17</v>
      </c>
      <c r="G276" s="23">
        <v>600</v>
      </c>
      <c r="H276" s="24">
        <v>1</v>
      </c>
    </row>
    <row r="277" spans="2:8" x14ac:dyDescent="0.25">
      <c r="B277" s="21">
        <v>271</v>
      </c>
      <c r="C277" s="22">
        <v>43736</v>
      </c>
      <c r="D277" s="23" t="s">
        <v>9</v>
      </c>
      <c r="E277" s="23" t="s">
        <v>24</v>
      </c>
      <c r="F277" s="23" t="s">
        <v>23</v>
      </c>
      <c r="G277" s="23">
        <v>600</v>
      </c>
      <c r="H277" s="24">
        <v>1</v>
      </c>
    </row>
    <row r="278" spans="2:8" x14ac:dyDescent="0.25">
      <c r="B278" s="21">
        <v>272</v>
      </c>
      <c r="C278" s="22">
        <v>43737</v>
      </c>
      <c r="D278" s="23" t="s">
        <v>9</v>
      </c>
      <c r="E278" s="23" t="s">
        <v>24</v>
      </c>
      <c r="F278" s="23" t="s">
        <v>23</v>
      </c>
      <c r="G278" s="23">
        <v>600</v>
      </c>
      <c r="H278" s="24">
        <v>2</v>
      </c>
    </row>
    <row r="279" spans="2:8" x14ac:dyDescent="0.25">
      <c r="B279" s="21">
        <v>273</v>
      </c>
      <c r="C279" s="22">
        <v>43738</v>
      </c>
      <c r="D279" s="23" t="s">
        <v>9</v>
      </c>
      <c r="E279" s="23" t="s">
        <v>18</v>
      </c>
      <c r="F279" s="23" t="s">
        <v>17</v>
      </c>
      <c r="G279" s="23">
        <v>600</v>
      </c>
      <c r="H279" s="24">
        <v>1</v>
      </c>
    </row>
    <row r="280" spans="2:8" x14ac:dyDescent="0.25">
      <c r="B280" s="21">
        <v>274</v>
      </c>
      <c r="C280" s="22">
        <v>43739</v>
      </c>
      <c r="D280" s="23" t="s">
        <v>9</v>
      </c>
      <c r="E280" s="23" t="s">
        <v>10</v>
      </c>
      <c r="F280" s="23" t="s">
        <v>11</v>
      </c>
      <c r="G280" s="23">
        <v>1100</v>
      </c>
      <c r="H280" s="24">
        <v>3</v>
      </c>
    </row>
    <row r="281" spans="2:8" x14ac:dyDescent="0.25">
      <c r="B281" s="21">
        <v>275</v>
      </c>
      <c r="C281" s="22">
        <v>43740</v>
      </c>
      <c r="D281" s="23" t="s">
        <v>9</v>
      </c>
      <c r="E281" s="23" t="s">
        <v>10</v>
      </c>
      <c r="F281" s="23" t="s">
        <v>11</v>
      </c>
      <c r="G281" s="23">
        <v>1100</v>
      </c>
      <c r="H281" s="24">
        <v>1</v>
      </c>
    </row>
    <row r="282" spans="2:8" x14ac:dyDescent="0.25">
      <c r="B282" s="21">
        <v>276</v>
      </c>
      <c r="C282" s="22">
        <v>43741</v>
      </c>
      <c r="D282" s="23" t="s">
        <v>9</v>
      </c>
      <c r="E282" s="23" t="s">
        <v>19</v>
      </c>
      <c r="F282" s="23" t="s">
        <v>20</v>
      </c>
      <c r="G282" s="23">
        <v>850</v>
      </c>
      <c r="H282" s="24">
        <v>1</v>
      </c>
    </row>
    <row r="283" spans="2:8" x14ac:dyDescent="0.25">
      <c r="B283" s="21">
        <v>277</v>
      </c>
      <c r="C283" s="22">
        <v>43742</v>
      </c>
      <c r="D283" s="23" t="s">
        <v>9</v>
      </c>
      <c r="E283" s="23" t="s">
        <v>21</v>
      </c>
      <c r="F283" s="23" t="s">
        <v>20</v>
      </c>
      <c r="G283" s="23">
        <v>1200</v>
      </c>
      <c r="H283" s="24">
        <v>1</v>
      </c>
    </row>
    <row r="284" spans="2:8" x14ac:dyDescent="0.25">
      <c r="B284" s="21">
        <v>278</v>
      </c>
      <c r="C284" s="22">
        <v>43743</v>
      </c>
      <c r="D284" s="23" t="s">
        <v>9</v>
      </c>
      <c r="E284" s="23" t="s">
        <v>16</v>
      </c>
      <c r="F284" s="23" t="s">
        <v>17</v>
      </c>
      <c r="G284" s="23">
        <v>800</v>
      </c>
      <c r="H284" s="24">
        <v>1</v>
      </c>
    </row>
    <row r="285" spans="2:8" x14ac:dyDescent="0.25">
      <c r="B285" s="21">
        <v>279</v>
      </c>
      <c r="C285" s="22">
        <v>43744</v>
      </c>
      <c r="D285" s="23" t="s">
        <v>9</v>
      </c>
      <c r="E285" s="23" t="s">
        <v>14</v>
      </c>
      <c r="F285" s="23" t="s">
        <v>11</v>
      </c>
      <c r="G285" s="23">
        <v>900</v>
      </c>
      <c r="H285" s="24">
        <v>1</v>
      </c>
    </row>
    <row r="286" spans="2:8" x14ac:dyDescent="0.25">
      <c r="B286" s="21">
        <v>280</v>
      </c>
      <c r="C286" s="22">
        <v>43745</v>
      </c>
      <c r="D286" s="23" t="s">
        <v>9</v>
      </c>
      <c r="E286" s="23" t="s">
        <v>10</v>
      </c>
      <c r="F286" s="23" t="s">
        <v>11</v>
      </c>
      <c r="G286" s="23">
        <v>1100</v>
      </c>
      <c r="H286" s="24">
        <v>1</v>
      </c>
    </row>
    <row r="287" spans="2:8" x14ac:dyDescent="0.25">
      <c r="B287" s="21">
        <v>281</v>
      </c>
      <c r="C287" s="22">
        <v>43746</v>
      </c>
      <c r="D287" s="23" t="s">
        <v>9</v>
      </c>
      <c r="E287" s="23" t="s">
        <v>12</v>
      </c>
      <c r="F287" s="23" t="s">
        <v>11</v>
      </c>
      <c r="G287" s="23">
        <v>900</v>
      </c>
      <c r="H287" s="24">
        <v>1</v>
      </c>
    </row>
    <row r="288" spans="2:8" x14ac:dyDescent="0.25">
      <c r="B288" s="21">
        <v>282</v>
      </c>
      <c r="C288" s="22">
        <v>43747</v>
      </c>
      <c r="D288" s="23" t="s">
        <v>9</v>
      </c>
      <c r="E288" s="23" t="s">
        <v>10</v>
      </c>
      <c r="F288" s="23" t="s">
        <v>11</v>
      </c>
      <c r="G288" s="23">
        <v>1100</v>
      </c>
      <c r="H288" s="24">
        <v>1</v>
      </c>
    </row>
    <row r="289" spans="2:8" x14ac:dyDescent="0.25">
      <c r="B289" s="21">
        <v>283</v>
      </c>
      <c r="C289" s="22">
        <v>43748</v>
      </c>
      <c r="D289" s="23" t="s">
        <v>9</v>
      </c>
      <c r="E289" s="23" t="s">
        <v>22</v>
      </c>
      <c r="F289" s="23" t="s">
        <v>23</v>
      </c>
      <c r="G289" s="23">
        <v>900</v>
      </c>
      <c r="H289" s="24">
        <v>1</v>
      </c>
    </row>
    <row r="290" spans="2:8" x14ac:dyDescent="0.25">
      <c r="B290" s="21">
        <v>284</v>
      </c>
      <c r="C290" s="22">
        <v>43749</v>
      </c>
      <c r="D290" s="23" t="s">
        <v>9</v>
      </c>
      <c r="E290" s="23" t="s">
        <v>22</v>
      </c>
      <c r="F290" s="23" t="s">
        <v>23</v>
      </c>
      <c r="G290" s="23">
        <v>500</v>
      </c>
      <c r="H290" s="24">
        <v>1</v>
      </c>
    </row>
    <row r="291" spans="2:8" x14ac:dyDescent="0.25">
      <c r="B291" s="21">
        <v>285</v>
      </c>
      <c r="C291" s="22">
        <v>43750</v>
      </c>
      <c r="D291" s="23" t="s">
        <v>9</v>
      </c>
      <c r="E291" s="23" t="s">
        <v>15</v>
      </c>
      <c r="F291" s="23" t="s">
        <v>11</v>
      </c>
      <c r="G291" s="23">
        <v>1000</v>
      </c>
      <c r="H291" s="24">
        <v>1</v>
      </c>
    </row>
    <row r="292" spans="2:8" x14ac:dyDescent="0.25">
      <c r="B292" s="21">
        <v>286</v>
      </c>
      <c r="C292" s="22">
        <v>43751</v>
      </c>
      <c r="D292" s="23" t="s">
        <v>9</v>
      </c>
      <c r="E292" s="23" t="s">
        <v>24</v>
      </c>
      <c r="F292" s="23" t="s">
        <v>23</v>
      </c>
      <c r="G292" s="23">
        <v>600</v>
      </c>
      <c r="H292" s="24">
        <v>1</v>
      </c>
    </row>
    <row r="293" spans="2:8" x14ac:dyDescent="0.25">
      <c r="B293" s="21">
        <v>287</v>
      </c>
      <c r="C293" s="22">
        <v>43752</v>
      </c>
      <c r="D293" s="23" t="s">
        <v>9</v>
      </c>
      <c r="E293" s="23" t="s">
        <v>12</v>
      </c>
      <c r="F293" s="23" t="s">
        <v>11</v>
      </c>
      <c r="G293" s="23">
        <v>900</v>
      </c>
      <c r="H293" s="24">
        <v>2</v>
      </c>
    </row>
    <row r="294" spans="2:8" x14ac:dyDescent="0.25">
      <c r="B294" s="21">
        <v>288</v>
      </c>
      <c r="C294" s="22">
        <v>43753</v>
      </c>
      <c r="D294" s="23" t="s">
        <v>9</v>
      </c>
      <c r="E294" s="23" t="s">
        <v>19</v>
      </c>
      <c r="F294" s="23" t="s">
        <v>20</v>
      </c>
      <c r="G294" s="23">
        <v>850</v>
      </c>
      <c r="H294" s="24">
        <v>1</v>
      </c>
    </row>
    <row r="295" spans="2:8" x14ac:dyDescent="0.25">
      <c r="B295" s="21">
        <v>289</v>
      </c>
      <c r="C295" s="22">
        <v>43754</v>
      </c>
      <c r="D295" s="23" t="s">
        <v>9</v>
      </c>
      <c r="E295" s="23" t="s">
        <v>16</v>
      </c>
      <c r="F295" s="23" t="s">
        <v>17</v>
      </c>
      <c r="G295" s="23">
        <v>800</v>
      </c>
      <c r="H295" s="24">
        <v>1</v>
      </c>
    </row>
    <row r="296" spans="2:8" x14ac:dyDescent="0.25">
      <c r="B296" s="21">
        <v>290</v>
      </c>
      <c r="C296" s="22">
        <v>43755</v>
      </c>
      <c r="D296" s="23" t="s">
        <v>9</v>
      </c>
      <c r="E296" s="23" t="s">
        <v>12</v>
      </c>
      <c r="F296" s="23" t="s">
        <v>11</v>
      </c>
      <c r="G296" s="23">
        <v>900</v>
      </c>
      <c r="H296" s="24">
        <v>1</v>
      </c>
    </row>
    <row r="297" spans="2:8" x14ac:dyDescent="0.25">
      <c r="B297" s="21">
        <v>291</v>
      </c>
      <c r="C297" s="22">
        <v>43756</v>
      </c>
      <c r="D297" s="23" t="s">
        <v>9</v>
      </c>
      <c r="E297" s="23" t="s">
        <v>12</v>
      </c>
      <c r="F297" s="23" t="s">
        <v>11</v>
      </c>
      <c r="G297" s="23">
        <v>900</v>
      </c>
      <c r="H297" s="24">
        <v>1</v>
      </c>
    </row>
    <row r="298" spans="2:8" x14ac:dyDescent="0.25">
      <c r="B298" s="21">
        <v>292</v>
      </c>
      <c r="C298" s="22">
        <v>43757</v>
      </c>
      <c r="D298" s="23" t="s">
        <v>9</v>
      </c>
      <c r="E298" s="23" t="s">
        <v>10</v>
      </c>
      <c r="F298" s="23" t="s">
        <v>11</v>
      </c>
      <c r="G298" s="23">
        <v>1100</v>
      </c>
      <c r="H298" s="24">
        <v>1</v>
      </c>
    </row>
    <row r="299" spans="2:8" x14ac:dyDescent="0.25">
      <c r="B299" s="21">
        <v>293</v>
      </c>
      <c r="C299" s="22">
        <v>43758</v>
      </c>
      <c r="D299" s="23" t="s">
        <v>9</v>
      </c>
      <c r="E299" s="23" t="s">
        <v>14</v>
      </c>
      <c r="F299" s="23" t="s">
        <v>11</v>
      </c>
      <c r="G299" s="23">
        <v>900</v>
      </c>
      <c r="H299" s="24">
        <v>1</v>
      </c>
    </row>
    <row r="300" spans="2:8" x14ac:dyDescent="0.25">
      <c r="B300" s="21">
        <v>294</v>
      </c>
      <c r="C300" s="22">
        <v>43759</v>
      </c>
      <c r="D300" s="23" t="s">
        <v>9</v>
      </c>
      <c r="E300" s="23" t="s">
        <v>18</v>
      </c>
      <c r="F300" s="23" t="s">
        <v>17</v>
      </c>
      <c r="G300" s="23">
        <v>600</v>
      </c>
      <c r="H300" s="24">
        <v>1</v>
      </c>
    </row>
    <row r="301" spans="2:8" x14ac:dyDescent="0.25">
      <c r="B301" s="21">
        <v>295</v>
      </c>
      <c r="C301" s="22">
        <v>43760</v>
      </c>
      <c r="D301" s="23" t="s">
        <v>9</v>
      </c>
      <c r="E301" s="23" t="s">
        <v>18</v>
      </c>
      <c r="F301" s="23" t="s">
        <v>17</v>
      </c>
      <c r="G301" s="23">
        <v>600</v>
      </c>
      <c r="H301" s="24">
        <v>1</v>
      </c>
    </row>
    <row r="302" spans="2:8" x14ac:dyDescent="0.25">
      <c r="B302" s="21">
        <v>296</v>
      </c>
      <c r="C302" s="22">
        <v>43761</v>
      </c>
      <c r="D302" s="23" t="s">
        <v>9</v>
      </c>
      <c r="E302" s="23" t="s">
        <v>14</v>
      </c>
      <c r="F302" s="23" t="s">
        <v>11</v>
      </c>
      <c r="G302" s="23">
        <v>900</v>
      </c>
      <c r="H302" s="24">
        <v>1</v>
      </c>
    </row>
    <row r="303" spans="2:8" x14ac:dyDescent="0.25">
      <c r="B303" s="21">
        <v>297</v>
      </c>
      <c r="C303" s="22">
        <v>43762</v>
      </c>
      <c r="D303" s="23" t="s">
        <v>9</v>
      </c>
      <c r="E303" s="23" t="s">
        <v>19</v>
      </c>
      <c r="F303" s="23" t="s">
        <v>20</v>
      </c>
      <c r="G303" s="23">
        <v>850</v>
      </c>
      <c r="H303" s="24">
        <v>1</v>
      </c>
    </row>
    <row r="304" spans="2:8" x14ac:dyDescent="0.25">
      <c r="B304" s="21">
        <v>298</v>
      </c>
      <c r="C304" s="22">
        <v>43763</v>
      </c>
      <c r="D304" s="23" t="s">
        <v>9</v>
      </c>
      <c r="E304" s="23" t="s">
        <v>14</v>
      </c>
      <c r="F304" s="23" t="s">
        <v>11</v>
      </c>
      <c r="G304" s="23">
        <v>900</v>
      </c>
      <c r="H304" s="24">
        <v>1</v>
      </c>
    </row>
    <row r="305" spans="2:8" x14ac:dyDescent="0.25">
      <c r="B305" s="21">
        <v>299</v>
      </c>
      <c r="C305" s="22">
        <v>43764</v>
      </c>
      <c r="D305" s="23" t="s">
        <v>9</v>
      </c>
      <c r="E305" s="23" t="s">
        <v>18</v>
      </c>
      <c r="F305" s="23" t="s">
        <v>17</v>
      </c>
      <c r="G305" s="23">
        <v>600</v>
      </c>
      <c r="H305" s="24">
        <v>1</v>
      </c>
    </row>
    <row r="306" spans="2:8" x14ac:dyDescent="0.25">
      <c r="B306" s="21">
        <v>300</v>
      </c>
      <c r="C306" s="22">
        <v>43765</v>
      </c>
      <c r="D306" s="23" t="s">
        <v>9</v>
      </c>
      <c r="E306" s="23" t="s">
        <v>18</v>
      </c>
      <c r="F306" s="23" t="s">
        <v>17</v>
      </c>
      <c r="G306" s="23">
        <v>600</v>
      </c>
      <c r="H306" s="24">
        <v>1</v>
      </c>
    </row>
    <row r="307" spans="2:8" x14ac:dyDescent="0.25">
      <c r="B307" s="21">
        <v>301</v>
      </c>
      <c r="C307" s="22">
        <v>43766</v>
      </c>
      <c r="D307" s="23" t="s">
        <v>9</v>
      </c>
      <c r="E307" s="23" t="s">
        <v>10</v>
      </c>
      <c r="F307" s="23" t="s">
        <v>11</v>
      </c>
      <c r="G307" s="23">
        <v>1100</v>
      </c>
      <c r="H307" s="24">
        <v>1</v>
      </c>
    </row>
    <row r="308" spans="2:8" x14ac:dyDescent="0.25">
      <c r="B308" s="21">
        <v>302</v>
      </c>
      <c r="C308" s="22">
        <v>43767</v>
      </c>
      <c r="D308" s="23" t="s">
        <v>9</v>
      </c>
      <c r="E308" s="23" t="s">
        <v>12</v>
      </c>
      <c r="F308" s="23" t="s">
        <v>11</v>
      </c>
      <c r="G308" s="23">
        <v>900</v>
      </c>
      <c r="H308" s="24">
        <v>1</v>
      </c>
    </row>
    <row r="309" spans="2:8" x14ac:dyDescent="0.25">
      <c r="B309" s="21">
        <v>303</v>
      </c>
      <c r="C309" s="22">
        <v>43768</v>
      </c>
      <c r="D309" s="23" t="s">
        <v>9</v>
      </c>
      <c r="E309" s="23" t="s">
        <v>10</v>
      </c>
      <c r="F309" s="23" t="s">
        <v>11</v>
      </c>
      <c r="G309" s="23">
        <v>1100</v>
      </c>
      <c r="H309" s="24">
        <v>1</v>
      </c>
    </row>
    <row r="310" spans="2:8" x14ac:dyDescent="0.25">
      <c r="B310" s="21">
        <v>304</v>
      </c>
      <c r="C310" s="22">
        <v>43769</v>
      </c>
      <c r="D310" s="23" t="s">
        <v>9</v>
      </c>
      <c r="E310" s="23" t="s">
        <v>18</v>
      </c>
      <c r="F310" s="23" t="s">
        <v>17</v>
      </c>
      <c r="G310" s="23">
        <v>600</v>
      </c>
      <c r="H310" s="24">
        <v>1</v>
      </c>
    </row>
    <row r="311" spans="2:8" x14ac:dyDescent="0.25">
      <c r="B311" s="21">
        <v>305</v>
      </c>
      <c r="C311" s="22">
        <v>43770</v>
      </c>
      <c r="D311" s="23" t="s">
        <v>9</v>
      </c>
      <c r="E311" s="23" t="s">
        <v>21</v>
      </c>
      <c r="F311" s="23" t="s">
        <v>20</v>
      </c>
      <c r="G311" s="23">
        <v>1200</v>
      </c>
      <c r="H311" s="24">
        <v>1</v>
      </c>
    </row>
    <row r="312" spans="2:8" x14ac:dyDescent="0.25">
      <c r="B312" s="21">
        <v>306</v>
      </c>
      <c r="C312" s="22">
        <v>43771</v>
      </c>
      <c r="D312" s="23" t="s">
        <v>9</v>
      </c>
      <c r="E312" s="23" t="s">
        <v>24</v>
      </c>
      <c r="F312" s="23" t="s">
        <v>23</v>
      </c>
      <c r="G312" s="23">
        <v>600</v>
      </c>
      <c r="H312" s="24">
        <v>1</v>
      </c>
    </row>
    <row r="313" spans="2:8" x14ac:dyDescent="0.25">
      <c r="B313" s="21">
        <v>307</v>
      </c>
      <c r="C313" s="22">
        <v>43772</v>
      </c>
      <c r="D313" s="23" t="s">
        <v>9</v>
      </c>
      <c r="E313" s="23" t="s">
        <v>10</v>
      </c>
      <c r="F313" s="23" t="s">
        <v>11</v>
      </c>
      <c r="G313" s="23">
        <v>1100</v>
      </c>
      <c r="H313" s="24">
        <v>1</v>
      </c>
    </row>
    <row r="314" spans="2:8" x14ac:dyDescent="0.25">
      <c r="B314" s="21">
        <v>308</v>
      </c>
      <c r="C314" s="22">
        <v>43773</v>
      </c>
      <c r="D314" s="23" t="s">
        <v>9</v>
      </c>
      <c r="E314" s="23" t="s">
        <v>22</v>
      </c>
      <c r="F314" s="23" t="s">
        <v>23</v>
      </c>
      <c r="G314" s="23">
        <v>500</v>
      </c>
      <c r="H314" s="24">
        <v>1</v>
      </c>
    </row>
    <row r="315" spans="2:8" x14ac:dyDescent="0.25">
      <c r="B315" s="21">
        <v>309</v>
      </c>
      <c r="C315" s="22">
        <v>43774</v>
      </c>
      <c r="D315" s="23" t="s">
        <v>9</v>
      </c>
      <c r="E315" s="23" t="s">
        <v>12</v>
      </c>
      <c r="F315" s="23" t="s">
        <v>11</v>
      </c>
      <c r="G315" s="23">
        <v>900</v>
      </c>
      <c r="H315" s="24">
        <v>1</v>
      </c>
    </row>
    <row r="316" spans="2:8" x14ac:dyDescent="0.25">
      <c r="B316" s="21">
        <v>310</v>
      </c>
      <c r="C316" s="22">
        <v>43775</v>
      </c>
      <c r="D316" s="23" t="s">
        <v>9</v>
      </c>
      <c r="E316" s="23" t="s">
        <v>19</v>
      </c>
      <c r="F316" s="23" t="s">
        <v>20</v>
      </c>
      <c r="G316" s="23">
        <v>850</v>
      </c>
      <c r="H316" s="24">
        <v>1</v>
      </c>
    </row>
    <row r="317" spans="2:8" x14ac:dyDescent="0.25">
      <c r="B317" s="21">
        <v>311</v>
      </c>
      <c r="C317" s="22">
        <v>43776</v>
      </c>
      <c r="D317" s="23" t="s">
        <v>9</v>
      </c>
      <c r="E317" s="23" t="s">
        <v>18</v>
      </c>
      <c r="F317" s="23" t="s">
        <v>17</v>
      </c>
      <c r="G317" s="23">
        <v>600</v>
      </c>
      <c r="H317" s="24">
        <v>1</v>
      </c>
    </row>
    <row r="318" spans="2:8" x14ac:dyDescent="0.25">
      <c r="B318" s="21">
        <v>312</v>
      </c>
      <c r="C318" s="22">
        <v>43777</v>
      </c>
      <c r="D318" s="23" t="s">
        <v>9</v>
      </c>
      <c r="E318" s="23" t="s">
        <v>10</v>
      </c>
      <c r="F318" s="23" t="s">
        <v>11</v>
      </c>
      <c r="G318" s="23">
        <v>1100</v>
      </c>
      <c r="H318" s="24">
        <v>1</v>
      </c>
    </row>
    <row r="319" spans="2:8" x14ac:dyDescent="0.25">
      <c r="B319" s="21">
        <v>313</v>
      </c>
      <c r="C319" s="22">
        <v>43778</v>
      </c>
      <c r="D319" s="23" t="s">
        <v>9</v>
      </c>
      <c r="E319" s="23" t="s">
        <v>22</v>
      </c>
      <c r="F319" s="23" t="s">
        <v>23</v>
      </c>
      <c r="G319" s="23">
        <v>500</v>
      </c>
      <c r="H319" s="24">
        <v>1</v>
      </c>
    </row>
    <row r="320" spans="2:8" x14ac:dyDescent="0.25">
      <c r="B320" s="21">
        <v>314</v>
      </c>
      <c r="C320" s="22">
        <v>43779</v>
      </c>
      <c r="D320" s="23" t="s">
        <v>9</v>
      </c>
      <c r="E320" s="23" t="s">
        <v>18</v>
      </c>
      <c r="F320" s="23" t="s">
        <v>17</v>
      </c>
      <c r="G320" s="23">
        <v>600</v>
      </c>
      <c r="H320" s="24">
        <v>1</v>
      </c>
    </row>
    <row r="321" spans="2:8" x14ac:dyDescent="0.25">
      <c r="B321" s="21">
        <v>315</v>
      </c>
      <c r="C321" s="22">
        <v>43780</v>
      </c>
      <c r="D321" s="23" t="s">
        <v>9</v>
      </c>
      <c r="E321" s="23" t="s">
        <v>15</v>
      </c>
      <c r="F321" s="23" t="s">
        <v>11</v>
      </c>
      <c r="G321" s="23">
        <v>1000</v>
      </c>
      <c r="H321" s="24">
        <v>1</v>
      </c>
    </row>
    <row r="322" spans="2:8" x14ac:dyDescent="0.25">
      <c r="B322" s="21">
        <v>316</v>
      </c>
      <c r="C322" s="22">
        <v>43781</v>
      </c>
      <c r="D322" s="23" t="s">
        <v>13</v>
      </c>
      <c r="E322" s="23" t="s">
        <v>18</v>
      </c>
      <c r="F322" s="23" t="s">
        <v>17</v>
      </c>
      <c r="G322" s="23">
        <v>600</v>
      </c>
      <c r="H322" s="24">
        <v>1</v>
      </c>
    </row>
    <row r="323" spans="2:8" x14ac:dyDescent="0.25">
      <c r="B323" s="21">
        <v>317</v>
      </c>
      <c r="C323" s="22">
        <v>43782</v>
      </c>
      <c r="D323" s="23" t="s">
        <v>13</v>
      </c>
      <c r="E323" s="23" t="s">
        <v>10</v>
      </c>
      <c r="F323" s="23" t="s">
        <v>11</v>
      </c>
      <c r="G323" s="23">
        <v>1100</v>
      </c>
      <c r="H323" s="24">
        <v>1</v>
      </c>
    </row>
    <row r="324" spans="2:8" x14ac:dyDescent="0.25">
      <c r="B324" s="21">
        <v>318</v>
      </c>
      <c r="C324" s="22">
        <v>43783</v>
      </c>
      <c r="D324" s="23" t="s">
        <v>13</v>
      </c>
      <c r="E324" s="23" t="s">
        <v>22</v>
      </c>
      <c r="F324" s="23" t="s">
        <v>23</v>
      </c>
      <c r="G324" s="23">
        <v>500</v>
      </c>
      <c r="H324" s="24">
        <v>1</v>
      </c>
    </row>
    <row r="325" spans="2:8" x14ac:dyDescent="0.25">
      <c r="B325" s="21">
        <v>319</v>
      </c>
      <c r="C325" s="22">
        <v>43784</v>
      </c>
      <c r="D325" s="23" t="s">
        <v>13</v>
      </c>
      <c r="E325" s="23" t="s">
        <v>10</v>
      </c>
      <c r="F325" s="23" t="s">
        <v>11</v>
      </c>
      <c r="G325" s="23">
        <v>1100</v>
      </c>
      <c r="H325" s="24">
        <v>2</v>
      </c>
    </row>
    <row r="326" spans="2:8" x14ac:dyDescent="0.25">
      <c r="B326" s="21">
        <v>320</v>
      </c>
      <c r="C326" s="22">
        <v>43785</v>
      </c>
      <c r="D326" s="23" t="s">
        <v>13</v>
      </c>
      <c r="E326" s="23" t="s">
        <v>18</v>
      </c>
      <c r="F326" s="23" t="s">
        <v>17</v>
      </c>
      <c r="G326" s="23">
        <v>600</v>
      </c>
      <c r="H326" s="24">
        <v>1</v>
      </c>
    </row>
    <row r="327" spans="2:8" x14ac:dyDescent="0.25">
      <c r="B327" s="21">
        <v>321</v>
      </c>
      <c r="C327" s="22">
        <v>43786</v>
      </c>
      <c r="D327" s="23" t="s">
        <v>13</v>
      </c>
      <c r="E327" s="23" t="s">
        <v>16</v>
      </c>
      <c r="F327" s="23" t="s">
        <v>17</v>
      </c>
      <c r="G327" s="23">
        <v>800</v>
      </c>
      <c r="H327" s="24">
        <v>1</v>
      </c>
    </row>
    <row r="328" spans="2:8" x14ac:dyDescent="0.25">
      <c r="B328" s="21">
        <v>322</v>
      </c>
      <c r="C328" s="22">
        <v>43787</v>
      </c>
      <c r="D328" s="23" t="s">
        <v>13</v>
      </c>
      <c r="E328" s="23" t="s">
        <v>14</v>
      </c>
      <c r="F328" s="23" t="s">
        <v>11</v>
      </c>
      <c r="G328" s="23">
        <v>900</v>
      </c>
      <c r="H328" s="24">
        <v>1</v>
      </c>
    </row>
    <row r="329" spans="2:8" x14ac:dyDescent="0.25">
      <c r="B329" s="21">
        <v>323</v>
      </c>
      <c r="C329" s="22">
        <v>43788</v>
      </c>
      <c r="D329" s="23" t="s">
        <v>13</v>
      </c>
      <c r="E329" s="23" t="s">
        <v>24</v>
      </c>
      <c r="F329" s="23" t="s">
        <v>23</v>
      </c>
      <c r="G329" s="23">
        <v>600</v>
      </c>
      <c r="H329" s="24">
        <v>1</v>
      </c>
    </row>
    <row r="330" spans="2:8" x14ac:dyDescent="0.25">
      <c r="B330" s="21">
        <v>324</v>
      </c>
      <c r="C330" s="22">
        <v>43789</v>
      </c>
      <c r="D330" s="23" t="s">
        <v>13</v>
      </c>
      <c r="E330" s="23" t="s">
        <v>10</v>
      </c>
      <c r="F330" s="23" t="s">
        <v>11</v>
      </c>
      <c r="G330" s="23">
        <v>1100</v>
      </c>
      <c r="H330" s="24">
        <v>2</v>
      </c>
    </row>
    <row r="331" spans="2:8" x14ac:dyDescent="0.25">
      <c r="B331" s="21">
        <v>325</v>
      </c>
      <c r="C331" s="22">
        <v>43790</v>
      </c>
      <c r="D331" s="23" t="s">
        <v>9</v>
      </c>
      <c r="E331" s="23" t="s">
        <v>18</v>
      </c>
      <c r="F331" s="23" t="s">
        <v>17</v>
      </c>
      <c r="G331" s="23">
        <v>600</v>
      </c>
      <c r="H331" s="24">
        <v>1</v>
      </c>
    </row>
    <row r="332" spans="2:8" x14ac:dyDescent="0.25">
      <c r="B332" s="21">
        <v>326</v>
      </c>
      <c r="C332" s="22">
        <v>43791</v>
      </c>
      <c r="D332" s="23" t="s">
        <v>9</v>
      </c>
      <c r="E332" s="23" t="s">
        <v>10</v>
      </c>
      <c r="F332" s="23" t="s">
        <v>11</v>
      </c>
      <c r="G332" s="23">
        <v>1100</v>
      </c>
      <c r="H332" s="24">
        <v>1</v>
      </c>
    </row>
    <row r="333" spans="2:8" x14ac:dyDescent="0.25">
      <c r="B333" s="21">
        <v>327</v>
      </c>
      <c r="C333" s="22">
        <v>43792</v>
      </c>
      <c r="D333" s="23" t="s">
        <v>9</v>
      </c>
      <c r="E333" s="23" t="s">
        <v>15</v>
      </c>
      <c r="F333" s="23" t="s">
        <v>11</v>
      </c>
      <c r="G333" s="23">
        <v>1000</v>
      </c>
      <c r="H333" s="24">
        <v>1</v>
      </c>
    </row>
    <row r="334" spans="2:8" x14ac:dyDescent="0.25">
      <c r="B334" s="21">
        <v>328</v>
      </c>
      <c r="C334" s="22">
        <v>43793</v>
      </c>
      <c r="D334" s="23" t="s">
        <v>9</v>
      </c>
      <c r="E334" s="23" t="s">
        <v>10</v>
      </c>
      <c r="F334" s="23" t="s">
        <v>11</v>
      </c>
      <c r="G334" s="23">
        <v>1100</v>
      </c>
      <c r="H334" s="24">
        <v>1</v>
      </c>
    </row>
    <row r="335" spans="2:8" x14ac:dyDescent="0.25">
      <c r="B335" s="21">
        <v>329</v>
      </c>
      <c r="C335" s="22">
        <v>43794</v>
      </c>
      <c r="D335" s="23" t="s">
        <v>9</v>
      </c>
      <c r="E335" s="23" t="s">
        <v>21</v>
      </c>
      <c r="F335" s="23" t="s">
        <v>20</v>
      </c>
      <c r="G335" s="23">
        <v>1200</v>
      </c>
      <c r="H335" s="24">
        <v>1</v>
      </c>
    </row>
    <row r="336" spans="2:8" x14ac:dyDescent="0.25">
      <c r="B336" s="21">
        <v>330</v>
      </c>
      <c r="C336" s="22">
        <v>43795</v>
      </c>
      <c r="D336" s="23" t="s">
        <v>9</v>
      </c>
      <c r="E336" s="23" t="s">
        <v>14</v>
      </c>
      <c r="F336" s="23" t="s">
        <v>11</v>
      </c>
      <c r="G336" s="23">
        <v>900</v>
      </c>
      <c r="H336" s="24">
        <v>1</v>
      </c>
    </row>
    <row r="337" spans="2:8" x14ac:dyDescent="0.25">
      <c r="B337" s="21">
        <v>331</v>
      </c>
      <c r="C337" s="22">
        <v>43796</v>
      </c>
      <c r="D337" s="23" t="s">
        <v>9</v>
      </c>
      <c r="E337" s="23" t="s">
        <v>24</v>
      </c>
      <c r="F337" s="23" t="s">
        <v>23</v>
      </c>
      <c r="G337" s="23">
        <v>600</v>
      </c>
      <c r="H337" s="24">
        <v>1</v>
      </c>
    </row>
    <row r="338" spans="2:8" x14ac:dyDescent="0.25">
      <c r="B338" s="21">
        <v>332</v>
      </c>
      <c r="C338" s="22">
        <v>43797</v>
      </c>
      <c r="D338" s="23" t="s">
        <v>9</v>
      </c>
      <c r="E338" s="23" t="s">
        <v>10</v>
      </c>
      <c r="F338" s="23" t="s">
        <v>11</v>
      </c>
      <c r="G338" s="23">
        <v>1100</v>
      </c>
      <c r="H338" s="24">
        <v>2</v>
      </c>
    </row>
    <row r="339" spans="2:8" x14ac:dyDescent="0.25">
      <c r="B339" s="21">
        <v>333</v>
      </c>
      <c r="C339" s="22">
        <v>43798</v>
      </c>
      <c r="D339" s="23" t="s">
        <v>9</v>
      </c>
      <c r="E339" s="23" t="s">
        <v>15</v>
      </c>
      <c r="F339" s="23" t="s">
        <v>11</v>
      </c>
      <c r="G339" s="23">
        <v>1000</v>
      </c>
      <c r="H339" s="24">
        <v>1</v>
      </c>
    </row>
    <row r="340" spans="2:8" x14ac:dyDescent="0.25">
      <c r="B340" s="21">
        <v>334</v>
      </c>
      <c r="C340" s="22">
        <v>43799</v>
      </c>
      <c r="D340" s="23" t="s">
        <v>9</v>
      </c>
      <c r="E340" s="23" t="s">
        <v>15</v>
      </c>
      <c r="F340" s="23" t="s">
        <v>11</v>
      </c>
      <c r="G340" s="23">
        <v>1000</v>
      </c>
      <c r="H340" s="24">
        <v>1</v>
      </c>
    </row>
    <row r="341" spans="2:8" x14ac:dyDescent="0.25">
      <c r="B341" s="21">
        <v>335</v>
      </c>
      <c r="C341" s="22">
        <v>43800</v>
      </c>
      <c r="D341" s="23" t="s">
        <v>9</v>
      </c>
      <c r="E341" s="23" t="s">
        <v>22</v>
      </c>
      <c r="F341" s="23" t="s">
        <v>23</v>
      </c>
      <c r="G341" s="23">
        <v>500</v>
      </c>
      <c r="H341" s="24">
        <v>1</v>
      </c>
    </row>
    <row r="342" spans="2:8" x14ac:dyDescent="0.25">
      <c r="B342" s="21">
        <v>336</v>
      </c>
      <c r="C342" s="22">
        <v>43801</v>
      </c>
      <c r="D342" s="23" t="s">
        <v>9</v>
      </c>
      <c r="E342" s="23" t="s">
        <v>15</v>
      </c>
      <c r="F342" s="23" t="s">
        <v>11</v>
      </c>
      <c r="G342" s="23">
        <v>1000</v>
      </c>
      <c r="H342" s="24">
        <v>1</v>
      </c>
    </row>
    <row r="343" spans="2:8" x14ac:dyDescent="0.25">
      <c r="B343" s="21">
        <v>337</v>
      </c>
      <c r="C343" s="22">
        <v>43802</v>
      </c>
      <c r="D343" s="23" t="s">
        <v>9</v>
      </c>
      <c r="E343" s="23" t="s">
        <v>21</v>
      </c>
      <c r="F343" s="23" t="s">
        <v>20</v>
      </c>
      <c r="G343" s="23">
        <v>1200</v>
      </c>
      <c r="H343" s="24">
        <v>1</v>
      </c>
    </row>
    <row r="344" spans="2:8" x14ac:dyDescent="0.25">
      <c r="B344" s="21">
        <v>338</v>
      </c>
      <c r="C344" s="22">
        <v>43803</v>
      </c>
      <c r="D344" s="23" t="s">
        <v>9</v>
      </c>
      <c r="E344" s="23" t="s">
        <v>21</v>
      </c>
      <c r="F344" s="23" t="s">
        <v>20</v>
      </c>
      <c r="G344" s="23"/>
      <c r="H344" s="24">
        <v>1</v>
      </c>
    </row>
    <row r="345" spans="2:8" x14ac:dyDescent="0.25">
      <c r="B345" s="21">
        <v>339</v>
      </c>
      <c r="C345" s="22">
        <v>43804</v>
      </c>
      <c r="D345" s="23" t="s">
        <v>9</v>
      </c>
      <c r="E345" s="23" t="s">
        <v>12</v>
      </c>
      <c r="F345" s="23" t="s">
        <v>11</v>
      </c>
      <c r="G345" s="23"/>
      <c r="H345" s="24">
        <v>1</v>
      </c>
    </row>
    <row r="346" spans="2:8" x14ac:dyDescent="0.25">
      <c r="B346" s="21">
        <v>340</v>
      </c>
      <c r="C346" s="22">
        <v>43805</v>
      </c>
      <c r="D346" s="23" t="s">
        <v>9</v>
      </c>
      <c r="E346" s="23" t="s">
        <v>15</v>
      </c>
      <c r="F346" s="23" t="s">
        <v>11</v>
      </c>
      <c r="G346" s="23"/>
      <c r="H346" s="24">
        <v>1</v>
      </c>
    </row>
    <row r="347" spans="2:8" x14ac:dyDescent="0.25">
      <c r="B347" s="21">
        <v>341</v>
      </c>
      <c r="C347" s="22">
        <v>43806</v>
      </c>
      <c r="D347" s="23" t="s">
        <v>9</v>
      </c>
      <c r="E347" s="23" t="s">
        <v>18</v>
      </c>
      <c r="F347" s="23" t="s">
        <v>17</v>
      </c>
      <c r="G347" s="23"/>
      <c r="H347" s="24">
        <v>1</v>
      </c>
    </row>
    <row r="348" spans="2:8" x14ac:dyDescent="0.25">
      <c r="B348" s="21">
        <v>342</v>
      </c>
      <c r="C348" s="22">
        <v>43807</v>
      </c>
      <c r="D348" s="23" t="s">
        <v>9</v>
      </c>
      <c r="E348" s="23" t="s">
        <v>18</v>
      </c>
      <c r="F348" s="23" t="s">
        <v>17</v>
      </c>
      <c r="G348" s="23"/>
      <c r="H348" s="24">
        <v>1</v>
      </c>
    </row>
    <row r="349" spans="2:8" x14ac:dyDescent="0.25">
      <c r="B349" s="21">
        <v>343</v>
      </c>
      <c r="C349" s="22">
        <v>43808</v>
      </c>
      <c r="D349" s="23" t="s">
        <v>9</v>
      </c>
      <c r="E349" s="23" t="s">
        <v>15</v>
      </c>
      <c r="F349" s="23" t="s">
        <v>11</v>
      </c>
      <c r="G349" s="23"/>
      <c r="H349" s="24">
        <v>1</v>
      </c>
    </row>
    <row r="350" spans="2:8" x14ac:dyDescent="0.25">
      <c r="B350" s="21">
        <v>344</v>
      </c>
      <c r="C350" s="22">
        <v>43809</v>
      </c>
      <c r="D350" s="23" t="s">
        <v>9</v>
      </c>
      <c r="E350" s="23" t="s">
        <v>14</v>
      </c>
      <c r="F350" s="23" t="s">
        <v>11</v>
      </c>
      <c r="G350" s="23">
        <v>900</v>
      </c>
      <c r="H350" s="24">
        <v>2</v>
      </c>
    </row>
    <row r="351" spans="2:8" x14ac:dyDescent="0.25">
      <c r="B351" s="21">
        <v>345</v>
      </c>
      <c r="C351" s="22">
        <v>43810</v>
      </c>
      <c r="D351" s="23" t="s">
        <v>55</v>
      </c>
      <c r="E351" s="23" t="s">
        <v>10</v>
      </c>
      <c r="F351" s="23" t="s">
        <v>11</v>
      </c>
      <c r="G351" s="23">
        <v>1100</v>
      </c>
      <c r="H351" s="24">
        <v>2</v>
      </c>
    </row>
    <row r="352" spans="2:8" x14ac:dyDescent="0.25">
      <c r="B352" s="21">
        <v>346</v>
      </c>
      <c r="C352" s="22">
        <v>43811</v>
      </c>
      <c r="D352" s="23" t="s">
        <v>56</v>
      </c>
      <c r="E352" s="23" t="s">
        <v>14</v>
      </c>
      <c r="F352" s="23" t="s">
        <v>11</v>
      </c>
      <c r="G352" s="23">
        <v>900</v>
      </c>
      <c r="H352" s="24">
        <v>2</v>
      </c>
    </row>
    <row r="353" spans="2:8" x14ac:dyDescent="0.25">
      <c r="B353" s="21">
        <v>347</v>
      </c>
      <c r="C353" s="22">
        <v>43812</v>
      </c>
      <c r="D353" s="23" t="s">
        <v>55</v>
      </c>
      <c r="E353" s="23" t="s">
        <v>22</v>
      </c>
      <c r="F353" s="23" t="s">
        <v>23</v>
      </c>
      <c r="G353" s="23">
        <v>800</v>
      </c>
      <c r="H353" s="24">
        <v>1</v>
      </c>
    </row>
    <row r="354" spans="2:8" x14ac:dyDescent="0.25">
      <c r="B354" s="21">
        <v>348</v>
      </c>
      <c r="C354" s="22">
        <v>43813</v>
      </c>
      <c r="D354" s="23" t="s">
        <v>9</v>
      </c>
      <c r="E354" s="23" t="s">
        <v>10</v>
      </c>
      <c r="F354" s="23" t="s">
        <v>11</v>
      </c>
      <c r="G354" s="23">
        <v>1100</v>
      </c>
      <c r="H354" s="24">
        <v>1</v>
      </c>
    </row>
    <row r="355" spans="2:8" x14ac:dyDescent="0.25">
      <c r="B355" s="21">
        <v>349</v>
      </c>
      <c r="C355" s="22">
        <v>43814</v>
      </c>
      <c r="D355" s="23" t="s">
        <v>9</v>
      </c>
      <c r="E355" s="23" t="s">
        <v>24</v>
      </c>
      <c r="F355" s="23" t="s">
        <v>23</v>
      </c>
      <c r="G355" s="23">
        <v>600</v>
      </c>
      <c r="H355" s="24">
        <v>1</v>
      </c>
    </row>
    <row r="356" spans="2:8" x14ac:dyDescent="0.25">
      <c r="B356" s="21">
        <v>350</v>
      </c>
      <c r="C356" s="22">
        <v>43815</v>
      </c>
      <c r="D356" s="23" t="s">
        <v>13</v>
      </c>
      <c r="E356" s="23" t="s">
        <v>10</v>
      </c>
      <c r="F356" s="23" t="s">
        <v>11</v>
      </c>
      <c r="G356" s="23">
        <v>1100</v>
      </c>
      <c r="H356" s="24">
        <v>3</v>
      </c>
    </row>
    <row r="357" spans="2:8" x14ac:dyDescent="0.25">
      <c r="B357" s="21">
        <v>351</v>
      </c>
      <c r="C357" s="22">
        <v>43816</v>
      </c>
      <c r="D357" s="23" t="s">
        <v>13</v>
      </c>
      <c r="E357" s="23" t="s">
        <v>19</v>
      </c>
      <c r="F357" s="23" t="s">
        <v>20</v>
      </c>
      <c r="G357" s="23">
        <v>850</v>
      </c>
      <c r="H357" s="24">
        <v>1</v>
      </c>
    </row>
    <row r="358" spans="2:8" x14ac:dyDescent="0.25">
      <c r="B358" s="21">
        <v>352</v>
      </c>
      <c r="C358" s="22">
        <v>43817</v>
      </c>
      <c r="D358" s="23" t="s">
        <v>13</v>
      </c>
      <c r="E358" s="23" t="s">
        <v>24</v>
      </c>
      <c r="F358" s="23" t="s">
        <v>23</v>
      </c>
      <c r="G358" s="23">
        <v>600</v>
      </c>
      <c r="H358" s="24">
        <v>1</v>
      </c>
    </row>
    <row r="359" spans="2:8" x14ac:dyDescent="0.25">
      <c r="B359" s="21">
        <v>353</v>
      </c>
      <c r="C359" s="22">
        <v>43818</v>
      </c>
      <c r="D359" s="23" t="s">
        <v>13</v>
      </c>
      <c r="E359" s="23" t="s">
        <v>24</v>
      </c>
      <c r="F359" s="23" t="s">
        <v>23</v>
      </c>
      <c r="G359" s="23">
        <v>600</v>
      </c>
      <c r="H359" s="24">
        <v>1</v>
      </c>
    </row>
    <row r="360" spans="2:8" x14ac:dyDescent="0.25">
      <c r="B360" s="21">
        <v>354</v>
      </c>
      <c r="C360" s="22">
        <v>43819</v>
      </c>
      <c r="D360" s="23" t="s">
        <v>9</v>
      </c>
      <c r="E360" s="23" t="s">
        <v>10</v>
      </c>
      <c r="F360" s="23" t="s">
        <v>11</v>
      </c>
      <c r="G360" s="23">
        <v>1100</v>
      </c>
      <c r="H360" s="24">
        <v>1</v>
      </c>
    </row>
    <row r="361" spans="2:8" x14ac:dyDescent="0.25">
      <c r="B361" s="21">
        <v>355</v>
      </c>
      <c r="C361" s="22">
        <v>43820</v>
      </c>
      <c r="D361" s="23" t="s">
        <v>9</v>
      </c>
      <c r="E361" s="23" t="s">
        <v>15</v>
      </c>
      <c r="F361" s="23" t="s">
        <v>11</v>
      </c>
      <c r="G361" s="23">
        <v>1000</v>
      </c>
      <c r="H361" s="24">
        <v>1</v>
      </c>
    </row>
    <row r="362" spans="2:8" x14ac:dyDescent="0.25">
      <c r="B362" s="21">
        <v>356</v>
      </c>
      <c r="C362" s="22">
        <v>43821</v>
      </c>
      <c r="D362" s="23" t="s">
        <v>9</v>
      </c>
      <c r="E362" s="23" t="s">
        <v>14</v>
      </c>
      <c r="F362" s="23" t="s">
        <v>11</v>
      </c>
      <c r="G362" s="23">
        <v>900</v>
      </c>
      <c r="H362" s="24">
        <v>1</v>
      </c>
    </row>
    <row r="363" spans="2:8" x14ac:dyDescent="0.25">
      <c r="B363" s="21">
        <v>357</v>
      </c>
      <c r="C363" s="22">
        <v>43822</v>
      </c>
      <c r="D363" s="23" t="s">
        <v>9</v>
      </c>
      <c r="E363" s="23" t="s">
        <v>24</v>
      </c>
      <c r="F363" s="23" t="s">
        <v>23</v>
      </c>
      <c r="G363" s="23">
        <v>600</v>
      </c>
      <c r="H363" s="24">
        <v>1</v>
      </c>
    </row>
    <row r="364" spans="2:8" x14ac:dyDescent="0.25">
      <c r="B364" s="21">
        <v>358</v>
      </c>
      <c r="C364" s="22">
        <v>43823</v>
      </c>
      <c r="D364" s="23" t="s">
        <v>9</v>
      </c>
      <c r="E364" s="23" t="s">
        <v>14</v>
      </c>
      <c r="F364" s="23" t="s">
        <v>11</v>
      </c>
      <c r="G364" s="23">
        <v>900</v>
      </c>
      <c r="H364" s="24">
        <v>1</v>
      </c>
    </row>
    <row r="365" spans="2:8" x14ac:dyDescent="0.25">
      <c r="B365" s="21">
        <v>359</v>
      </c>
      <c r="C365" s="22">
        <v>43824</v>
      </c>
      <c r="D365" s="23" t="s">
        <v>9</v>
      </c>
      <c r="E365" s="23" t="s">
        <v>18</v>
      </c>
      <c r="F365" s="23" t="s">
        <v>17</v>
      </c>
      <c r="G365" s="23">
        <v>600</v>
      </c>
      <c r="H365" s="24">
        <v>1</v>
      </c>
    </row>
    <row r="366" spans="2:8" x14ac:dyDescent="0.25">
      <c r="B366" s="21">
        <v>360</v>
      </c>
      <c r="C366" s="22">
        <v>43825</v>
      </c>
      <c r="D366" s="23" t="s">
        <v>9</v>
      </c>
      <c r="E366" s="23" t="s">
        <v>12</v>
      </c>
      <c r="F366" s="23" t="s">
        <v>11</v>
      </c>
      <c r="G366" s="23">
        <v>900</v>
      </c>
      <c r="H366" s="24">
        <v>1</v>
      </c>
    </row>
    <row r="367" spans="2:8" x14ac:dyDescent="0.25">
      <c r="B367" s="21">
        <v>361</v>
      </c>
      <c r="C367" s="22">
        <v>43826</v>
      </c>
      <c r="D367" s="23" t="s">
        <v>9</v>
      </c>
      <c r="E367" s="23" t="s">
        <v>18</v>
      </c>
      <c r="F367" s="23" t="s">
        <v>17</v>
      </c>
      <c r="G367" s="23">
        <v>600</v>
      </c>
      <c r="H367" s="24">
        <v>1</v>
      </c>
    </row>
    <row r="368" spans="2:8" x14ac:dyDescent="0.25">
      <c r="B368" s="21">
        <v>362</v>
      </c>
      <c r="C368" s="22">
        <v>43827</v>
      </c>
      <c r="D368" s="23" t="s">
        <v>9</v>
      </c>
      <c r="E368" s="23" t="s">
        <v>14</v>
      </c>
      <c r="F368" s="23" t="s">
        <v>11</v>
      </c>
      <c r="G368" s="23">
        <v>900</v>
      </c>
      <c r="H368" s="24">
        <v>1</v>
      </c>
    </row>
    <row r="369" spans="2:8" x14ac:dyDescent="0.25">
      <c r="B369" s="21">
        <v>363</v>
      </c>
      <c r="C369" s="22">
        <v>43828</v>
      </c>
      <c r="D369" s="23" t="s">
        <v>9</v>
      </c>
      <c r="E369" s="23" t="s">
        <v>24</v>
      </c>
      <c r="F369" s="23" t="s">
        <v>23</v>
      </c>
      <c r="G369" s="23">
        <v>600</v>
      </c>
      <c r="H369" s="24">
        <v>1</v>
      </c>
    </row>
    <row r="370" spans="2:8" x14ac:dyDescent="0.25">
      <c r="B370" s="21">
        <v>364</v>
      </c>
      <c r="C370" s="22">
        <v>43829</v>
      </c>
      <c r="D370" s="23" t="s">
        <v>9</v>
      </c>
      <c r="E370" s="23" t="s">
        <v>10</v>
      </c>
      <c r="F370" s="23" t="s">
        <v>11</v>
      </c>
      <c r="G370" s="23">
        <v>1100</v>
      </c>
      <c r="H370" s="24">
        <v>2</v>
      </c>
    </row>
    <row r="371" spans="2:8" x14ac:dyDescent="0.25">
      <c r="B371" s="21">
        <v>365</v>
      </c>
      <c r="C371" s="22">
        <v>43830</v>
      </c>
      <c r="D371" s="23" t="s">
        <v>9</v>
      </c>
      <c r="E371" s="23" t="s">
        <v>10</v>
      </c>
      <c r="F371" s="23" t="s">
        <v>11</v>
      </c>
      <c r="G371" s="23">
        <v>1100</v>
      </c>
      <c r="H371" s="24">
        <v>1</v>
      </c>
    </row>
    <row r="372" spans="2:8" x14ac:dyDescent="0.25">
      <c r="B372" s="21">
        <v>366</v>
      </c>
      <c r="C372" s="22">
        <v>43831</v>
      </c>
      <c r="D372" s="23" t="s">
        <v>9</v>
      </c>
      <c r="E372" s="23" t="s">
        <v>10</v>
      </c>
      <c r="F372" s="23" t="s">
        <v>11</v>
      </c>
      <c r="G372" s="23">
        <v>1100</v>
      </c>
      <c r="H372" s="24">
        <v>1</v>
      </c>
    </row>
    <row r="373" spans="2:8" x14ac:dyDescent="0.25">
      <c r="B373" s="21">
        <v>367</v>
      </c>
      <c r="C373" s="22">
        <v>43832</v>
      </c>
      <c r="D373" s="23" t="s">
        <v>9</v>
      </c>
      <c r="E373" s="23" t="s">
        <v>18</v>
      </c>
      <c r="F373" s="23" t="s">
        <v>17</v>
      </c>
      <c r="G373" s="23">
        <v>600</v>
      </c>
      <c r="H373" s="24">
        <v>2</v>
      </c>
    </row>
    <row r="374" spans="2:8" x14ac:dyDescent="0.25">
      <c r="B374" s="21">
        <v>368</v>
      </c>
      <c r="C374" s="22">
        <v>43833</v>
      </c>
      <c r="D374" s="23" t="s">
        <v>9</v>
      </c>
      <c r="E374" s="23" t="s">
        <v>10</v>
      </c>
      <c r="F374" s="23" t="s">
        <v>11</v>
      </c>
      <c r="G374" s="23">
        <v>1100</v>
      </c>
      <c r="H374" s="24">
        <v>1</v>
      </c>
    </row>
    <row r="375" spans="2:8" x14ac:dyDescent="0.25">
      <c r="B375" s="21">
        <v>369</v>
      </c>
      <c r="C375" s="22">
        <v>43834</v>
      </c>
      <c r="D375" s="23" t="s">
        <v>9</v>
      </c>
      <c r="E375" s="23" t="s">
        <v>24</v>
      </c>
      <c r="F375" s="23" t="s">
        <v>23</v>
      </c>
      <c r="G375" s="23">
        <v>600</v>
      </c>
      <c r="H375" s="24">
        <v>1</v>
      </c>
    </row>
    <row r="376" spans="2:8" x14ac:dyDescent="0.25">
      <c r="B376" s="21">
        <v>370</v>
      </c>
      <c r="C376" s="22">
        <v>43835</v>
      </c>
      <c r="D376" s="23" t="s">
        <v>9</v>
      </c>
      <c r="E376" s="23" t="s">
        <v>10</v>
      </c>
      <c r="F376" s="23" t="s">
        <v>11</v>
      </c>
      <c r="G376" s="23">
        <v>1100</v>
      </c>
      <c r="H376" s="24">
        <v>1</v>
      </c>
    </row>
    <row r="377" spans="2:8" x14ac:dyDescent="0.25">
      <c r="B377" s="21">
        <v>371</v>
      </c>
      <c r="C377" s="22">
        <v>43836</v>
      </c>
      <c r="D377" s="23" t="s">
        <v>13</v>
      </c>
      <c r="E377" s="23" t="s">
        <v>18</v>
      </c>
      <c r="F377" s="23" t="s">
        <v>17</v>
      </c>
      <c r="G377" s="23">
        <v>600</v>
      </c>
      <c r="H377" s="24">
        <v>1</v>
      </c>
    </row>
    <row r="378" spans="2:8" x14ac:dyDescent="0.25">
      <c r="B378" s="21">
        <v>372</v>
      </c>
      <c r="C378" s="22">
        <v>43837</v>
      </c>
      <c r="D378" s="23" t="s">
        <v>13</v>
      </c>
      <c r="E378" s="23" t="s">
        <v>10</v>
      </c>
      <c r="F378" s="23" t="s">
        <v>11</v>
      </c>
      <c r="G378" s="23">
        <v>1100</v>
      </c>
      <c r="H378" s="24">
        <v>1</v>
      </c>
    </row>
    <row r="379" spans="2:8" x14ac:dyDescent="0.25">
      <c r="B379" s="21">
        <v>373</v>
      </c>
      <c r="C379" s="22">
        <v>43838</v>
      </c>
      <c r="D379" s="23" t="s">
        <v>13</v>
      </c>
      <c r="E379" s="23" t="s">
        <v>14</v>
      </c>
      <c r="F379" s="23" t="s">
        <v>11</v>
      </c>
      <c r="G379" s="23">
        <v>900</v>
      </c>
      <c r="H379" s="24">
        <v>1</v>
      </c>
    </row>
    <row r="380" spans="2:8" x14ac:dyDescent="0.25">
      <c r="B380" s="21">
        <v>374</v>
      </c>
      <c r="C380" s="22">
        <v>43839</v>
      </c>
      <c r="D380" s="23" t="s">
        <v>13</v>
      </c>
      <c r="E380" s="23" t="s">
        <v>21</v>
      </c>
      <c r="F380" s="23" t="s">
        <v>20</v>
      </c>
      <c r="G380" s="23">
        <v>1200</v>
      </c>
      <c r="H380" s="24">
        <v>1</v>
      </c>
    </row>
    <row r="381" spans="2:8" x14ac:dyDescent="0.25">
      <c r="B381" s="21">
        <v>375</v>
      </c>
      <c r="C381" s="22">
        <v>43840</v>
      </c>
      <c r="D381" s="23" t="s">
        <v>13</v>
      </c>
      <c r="E381" s="23" t="s">
        <v>22</v>
      </c>
      <c r="F381" s="23" t="s">
        <v>23</v>
      </c>
      <c r="G381" s="23">
        <v>500</v>
      </c>
      <c r="H381" s="24">
        <v>1</v>
      </c>
    </row>
    <row r="382" spans="2:8" x14ac:dyDescent="0.25">
      <c r="B382" s="21">
        <v>376</v>
      </c>
      <c r="C382" s="22">
        <v>43841</v>
      </c>
      <c r="D382" s="23" t="s">
        <v>13</v>
      </c>
      <c r="E382" s="23" t="s">
        <v>18</v>
      </c>
      <c r="F382" s="23" t="s">
        <v>17</v>
      </c>
      <c r="G382" s="23">
        <v>600</v>
      </c>
      <c r="H382" s="24">
        <v>1</v>
      </c>
    </row>
    <row r="383" spans="2:8" x14ac:dyDescent="0.25">
      <c r="B383" s="21">
        <v>377</v>
      </c>
      <c r="C383" s="22">
        <v>43842</v>
      </c>
      <c r="D383" s="23" t="s">
        <v>13</v>
      </c>
      <c r="E383" s="23" t="s">
        <v>18</v>
      </c>
      <c r="F383" s="23" t="s">
        <v>17</v>
      </c>
      <c r="G383" s="23">
        <v>600</v>
      </c>
      <c r="H383" s="24">
        <v>1</v>
      </c>
    </row>
    <row r="384" spans="2:8" x14ac:dyDescent="0.25">
      <c r="B384" s="21">
        <v>378</v>
      </c>
      <c r="C384" s="22">
        <v>43843</v>
      </c>
      <c r="D384" s="23" t="s">
        <v>13</v>
      </c>
      <c r="E384" s="23" t="s">
        <v>10</v>
      </c>
      <c r="F384" s="23" t="s">
        <v>11</v>
      </c>
      <c r="G384" s="23">
        <v>1100</v>
      </c>
      <c r="H384" s="24">
        <v>1</v>
      </c>
    </row>
    <row r="385" spans="2:8" x14ac:dyDescent="0.25">
      <c r="B385" s="21">
        <v>379</v>
      </c>
      <c r="C385" s="22">
        <v>43844</v>
      </c>
      <c r="D385" s="23" t="s">
        <v>13</v>
      </c>
      <c r="E385" s="23" t="s">
        <v>10</v>
      </c>
      <c r="F385" s="23" t="s">
        <v>11</v>
      </c>
      <c r="G385" s="23">
        <v>1100</v>
      </c>
      <c r="H385" s="24">
        <v>1</v>
      </c>
    </row>
    <row r="386" spans="2:8" x14ac:dyDescent="0.25">
      <c r="B386" s="21">
        <v>380</v>
      </c>
      <c r="C386" s="22">
        <v>43845</v>
      </c>
      <c r="D386" s="23" t="s">
        <v>9</v>
      </c>
      <c r="E386" s="23" t="s">
        <v>22</v>
      </c>
      <c r="F386" s="23" t="s">
        <v>23</v>
      </c>
      <c r="G386" s="23">
        <v>900</v>
      </c>
      <c r="H386" s="24">
        <v>1</v>
      </c>
    </row>
    <row r="387" spans="2:8" x14ac:dyDescent="0.25">
      <c r="B387" s="21">
        <v>381</v>
      </c>
      <c r="C387" s="22">
        <v>43846</v>
      </c>
      <c r="D387" s="23" t="s">
        <v>9</v>
      </c>
      <c r="E387" s="23" t="s">
        <v>24</v>
      </c>
      <c r="F387" s="23" t="s">
        <v>23</v>
      </c>
      <c r="G387" s="23">
        <v>600</v>
      </c>
      <c r="H387" s="24">
        <v>1</v>
      </c>
    </row>
    <row r="388" spans="2:8" x14ac:dyDescent="0.25">
      <c r="B388" s="21">
        <v>382</v>
      </c>
      <c r="C388" s="22">
        <v>43847</v>
      </c>
      <c r="D388" s="23" t="s">
        <v>13</v>
      </c>
      <c r="E388" s="23" t="s">
        <v>10</v>
      </c>
      <c r="F388" s="23" t="s">
        <v>11</v>
      </c>
      <c r="G388" s="23">
        <v>1100</v>
      </c>
      <c r="H388" s="24">
        <v>1</v>
      </c>
    </row>
    <row r="389" spans="2:8" x14ac:dyDescent="0.25">
      <c r="B389" s="21">
        <v>383</v>
      </c>
      <c r="C389" s="22">
        <v>43848</v>
      </c>
      <c r="D389" s="23" t="s">
        <v>13</v>
      </c>
      <c r="E389" s="23" t="s">
        <v>18</v>
      </c>
      <c r="F389" s="23" t="s">
        <v>17</v>
      </c>
      <c r="G389" s="23">
        <v>600</v>
      </c>
      <c r="H389" s="24">
        <v>1</v>
      </c>
    </row>
    <row r="390" spans="2:8" x14ac:dyDescent="0.25">
      <c r="B390" s="21">
        <v>384</v>
      </c>
      <c r="C390" s="22">
        <v>43849</v>
      </c>
      <c r="D390" s="23" t="s">
        <v>13</v>
      </c>
      <c r="E390" s="23" t="s">
        <v>14</v>
      </c>
      <c r="F390" s="23" t="s">
        <v>11</v>
      </c>
      <c r="G390" s="23">
        <v>900</v>
      </c>
      <c r="H390" s="24">
        <v>1</v>
      </c>
    </row>
    <row r="391" spans="2:8" x14ac:dyDescent="0.25">
      <c r="B391" s="21">
        <v>385</v>
      </c>
      <c r="C391" s="22">
        <v>43850</v>
      </c>
      <c r="D391" s="23" t="s">
        <v>13</v>
      </c>
      <c r="E391" s="23" t="s">
        <v>18</v>
      </c>
      <c r="F391" s="23" t="s">
        <v>17</v>
      </c>
      <c r="G391" s="23">
        <v>600</v>
      </c>
      <c r="H391" s="24">
        <v>1</v>
      </c>
    </row>
    <row r="392" spans="2:8" x14ac:dyDescent="0.25">
      <c r="B392" s="21">
        <v>386</v>
      </c>
      <c r="C392" s="22">
        <v>43851</v>
      </c>
      <c r="D392" s="23" t="s">
        <v>9</v>
      </c>
      <c r="E392" s="23" t="s">
        <v>18</v>
      </c>
      <c r="F392" s="23" t="s">
        <v>17</v>
      </c>
      <c r="G392" s="23">
        <v>600</v>
      </c>
      <c r="H392" s="24">
        <v>1</v>
      </c>
    </row>
    <row r="393" spans="2:8" x14ac:dyDescent="0.25">
      <c r="B393" s="21">
        <v>387</v>
      </c>
      <c r="C393" s="22">
        <v>43852</v>
      </c>
      <c r="D393" s="23" t="s">
        <v>9</v>
      </c>
      <c r="E393" s="23" t="s">
        <v>18</v>
      </c>
      <c r="F393" s="23" t="s">
        <v>17</v>
      </c>
      <c r="G393" s="23">
        <v>600</v>
      </c>
      <c r="H393" s="24">
        <v>1</v>
      </c>
    </row>
    <row r="394" spans="2:8" x14ac:dyDescent="0.25">
      <c r="B394" s="21">
        <v>388</v>
      </c>
      <c r="C394" s="22">
        <v>43853</v>
      </c>
      <c r="D394" s="23" t="s">
        <v>9</v>
      </c>
      <c r="E394" s="23" t="s">
        <v>22</v>
      </c>
      <c r="F394" s="23" t="s">
        <v>23</v>
      </c>
      <c r="G394" s="23">
        <v>500</v>
      </c>
      <c r="H394" s="24">
        <v>1</v>
      </c>
    </row>
    <row r="395" spans="2:8" x14ac:dyDescent="0.25">
      <c r="B395" s="21">
        <v>389</v>
      </c>
      <c r="C395" s="22">
        <v>43854</v>
      </c>
      <c r="D395" s="23" t="s">
        <v>9</v>
      </c>
      <c r="E395" s="23" t="s">
        <v>18</v>
      </c>
      <c r="F395" s="23" t="s">
        <v>17</v>
      </c>
      <c r="G395" s="23">
        <v>600</v>
      </c>
      <c r="H395" s="24">
        <v>1</v>
      </c>
    </row>
    <row r="396" spans="2:8" x14ac:dyDescent="0.25">
      <c r="B396" s="21">
        <v>390</v>
      </c>
      <c r="C396" s="22">
        <v>43855</v>
      </c>
      <c r="D396" s="23" t="s">
        <v>56</v>
      </c>
      <c r="E396" s="23" t="s">
        <v>14</v>
      </c>
      <c r="F396" s="23" t="s">
        <v>11</v>
      </c>
      <c r="G396" s="23">
        <v>900</v>
      </c>
      <c r="H396" s="24">
        <v>1</v>
      </c>
    </row>
    <row r="397" spans="2:8" x14ac:dyDescent="0.25">
      <c r="B397" s="21">
        <v>391</v>
      </c>
      <c r="C397" s="22">
        <v>43856</v>
      </c>
      <c r="D397" s="23" t="s">
        <v>9</v>
      </c>
      <c r="E397" s="23" t="s">
        <v>21</v>
      </c>
      <c r="F397" s="23" t="s">
        <v>20</v>
      </c>
      <c r="G397" s="23">
        <v>1200</v>
      </c>
      <c r="H397" s="24">
        <v>2</v>
      </c>
    </row>
    <row r="398" spans="2:8" x14ac:dyDescent="0.25">
      <c r="B398" s="21">
        <v>392</v>
      </c>
      <c r="C398" s="22">
        <v>43857</v>
      </c>
      <c r="D398" s="23" t="s">
        <v>9</v>
      </c>
      <c r="E398" s="23" t="s">
        <v>10</v>
      </c>
      <c r="F398" s="23" t="s">
        <v>11</v>
      </c>
      <c r="G398" s="23">
        <v>1100</v>
      </c>
      <c r="H398" s="24">
        <v>1</v>
      </c>
    </row>
    <row r="399" spans="2:8" x14ac:dyDescent="0.25">
      <c r="B399" s="21">
        <v>393</v>
      </c>
      <c r="C399" s="22">
        <v>43858</v>
      </c>
      <c r="D399" s="23" t="s">
        <v>9</v>
      </c>
      <c r="E399" s="23" t="s">
        <v>16</v>
      </c>
      <c r="F399" s="23" t="s">
        <v>17</v>
      </c>
      <c r="G399" s="23">
        <v>800</v>
      </c>
      <c r="H399" s="24">
        <v>1</v>
      </c>
    </row>
    <row r="400" spans="2:8" x14ac:dyDescent="0.25">
      <c r="B400" s="21">
        <v>394</v>
      </c>
      <c r="C400" s="22">
        <v>43859</v>
      </c>
      <c r="D400" s="23" t="s">
        <v>9</v>
      </c>
      <c r="E400" s="23" t="s">
        <v>16</v>
      </c>
      <c r="F400" s="23" t="s">
        <v>17</v>
      </c>
      <c r="G400" s="23">
        <v>800</v>
      </c>
      <c r="H400" s="24">
        <v>1</v>
      </c>
    </row>
    <row r="401" spans="2:8" x14ac:dyDescent="0.25">
      <c r="B401" s="21">
        <v>395</v>
      </c>
      <c r="C401" s="22">
        <v>43860</v>
      </c>
      <c r="D401" s="23" t="s">
        <v>9</v>
      </c>
      <c r="E401" s="23" t="s">
        <v>10</v>
      </c>
      <c r="F401" s="23" t="s">
        <v>11</v>
      </c>
      <c r="G401" s="23">
        <v>1100</v>
      </c>
      <c r="H401" s="24">
        <v>1</v>
      </c>
    </row>
    <row r="402" spans="2:8" x14ac:dyDescent="0.25">
      <c r="B402" s="21">
        <v>396</v>
      </c>
      <c r="C402" s="22">
        <v>43861</v>
      </c>
      <c r="D402" s="23" t="s">
        <v>9</v>
      </c>
      <c r="E402" s="23" t="s">
        <v>15</v>
      </c>
      <c r="F402" s="23" t="s">
        <v>11</v>
      </c>
      <c r="G402" s="23">
        <v>1000</v>
      </c>
      <c r="H402" s="24">
        <v>1</v>
      </c>
    </row>
    <row r="403" spans="2:8" x14ac:dyDescent="0.25">
      <c r="B403" s="21">
        <v>397</v>
      </c>
      <c r="C403" s="22">
        <v>43862</v>
      </c>
      <c r="D403" s="23" t="s">
        <v>9</v>
      </c>
      <c r="E403" s="23" t="s">
        <v>22</v>
      </c>
      <c r="F403" s="23" t="s">
        <v>23</v>
      </c>
      <c r="G403" s="23">
        <v>500</v>
      </c>
      <c r="H403" s="24">
        <v>1</v>
      </c>
    </row>
    <row r="404" spans="2:8" x14ac:dyDescent="0.25">
      <c r="B404" s="21">
        <v>398</v>
      </c>
      <c r="C404" s="22">
        <v>43863</v>
      </c>
      <c r="D404" s="23" t="s">
        <v>9</v>
      </c>
      <c r="E404" s="23" t="s">
        <v>12</v>
      </c>
      <c r="F404" s="23" t="s">
        <v>11</v>
      </c>
      <c r="G404" s="23">
        <v>900</v>
      </c>
      <c r="H404" s="24">
        <v>1</v>
      </c>
    </row>
    <row r="405" spans="2:8" x14ac:dyDescent="0.25">
      <c r="B405" s="21">
        <v>399</v>
      </c>
      <c r="C405" s="22">
        <v>43864</v>
      </c>
      <c r="D405" s="23" t="s">
        <v>9</v>
      </c>
      <c r="E405" s="23" t="s">
        <v>18</v>
      </c>
      <c r="F405" s="23" t="s">
        <v>17</v>
      </c>
      <c r="G405" s="23">
        <v>600</v>
      </c>
      <c r="H405" s="24">
        <v>1</v>
      </c>
    </row>
    <row r="406" spans="2:8" x14ac:dyDescent="0.25">
      <c r="B406" s="21">
        <v>400</v>
      </c>
      <c r="C406" s="22">
        <v>43865</v>
      </c>
      <c r="D406" s="23" t="s">
        <v>9</v>
      </c>
      <c r="E406" s="23" t="s">
        <v>12</v>
      </c>
      <c r="F406" s="23" t="s">
        <v>11</v>
      </c>
      <c r="G406" s="23">
        <v>900</v>
      </c>
      <c r="H406" s="24">
        <v>1</v>
      </c>
    </row>
    <row r="407" spans="2:8" x14ac:dyDescent="0.25">
      <c r="B407" s="21">
        <v>401</v>
      </c>
      <c r="C407" s="22">
        <v>43866</v>
      </c>
      <c r="D407" s="23" t="s">
        <v>9</v>
      </c>
      <c r="E407" s="23" t="s">
        <v>21</v>
      </c>
      <c r="F407" s="23" t="s">
        <v>20</v>
      </c>
      <c r="G407" s="23">
        <v>1200</v>
      </c>
      <c r="H407" s="24">
        <v>1</v>
      </c>
    </row>
    <row r="408" spans="2:8" x14ac:dyDescent="0.25">
      <c r="B408" s="21">
        <v>402</v>
      </c>
      <c r="C408" s="22">
        <v>43867</v>
      </c>
      <c r="D408" s="23" t="s">
        <v>9</v>
      </c>
      <c r="E408" s="23" t="s">
        <v>10</v>
      </c>
      <c r="F408" s="23" t="s">
        <v>11</v>
      </c>
      <c r="G408" s="23">
        <v>1100</v>
      </c>
      <c r="H408" s="24">
        <v>1</v>
      </c>
    </row>
    <row r="409" spans="2:8" x14ac:dyDescent="0.25">
      <c r="B409" s="21">
        <v>403</v>
      </c>
      <c r="C409" s="22">
        <v>43868</v>
      </c>
      <c r="D409" s="23" t="s">
        <v>9</v>
      </c>
      <c r="E409" s="23" t="s">
        <v>16</v>
      </c>
      <c r="F409" s="23" t="s">
        <v>17</v>
      </c>
      <c r="G409" s="23">
        <v>800</v>
      </c>
      <c r="H409" s="24">
        <v>1</v>
      </c>
    </row>
    <row r="410" spans="2:8" x14ac:dyDescent="0.25">
      <c r="B410" s="21">
        <v>404</v>
      </c>
      <c r="C410" s="22">
        <v>43869</v>
      </c>
      <c r="D410" s="23" t="s">
        <v>9</v>
      </c>
      <c r="E410" s="23" t="s">
        <v>12</v>
      </c>
      <c r="F410" s="23" t="s">
        <v>11</v>
      </c>
      <c r="G410" s="23">
        <v>900</v>
      </c>
      <c r="H410" s="24">
        <v>1</v>
      </c>
    </row>
    <row r="411" spans="2:8" x14ac:dyDescent="0.25">
      <c r="B411" s="21">
        <v>405</v>
      </c>
      <c r="C411" s="22">
        <v>43870</v>
      </c>
      <c r="D411" s="23" t="s">
        <v>9</v>
      </c>
      <c r="E411" s="23" t="s">
        <v>10</v>
      </c>
      <c r="F411" s="23" t="s">
        <v>11</v>
      </c>
      <c r="G411" s="23">
        <v>1100</v>
      </c>
      <c r="H411" s="24">
        <v>1</v>
      </c>
    </row>
    <row r="412" spans="2:8" x14ac:dyDescent="0.25">
      <c r="B412" s="21">
        <v>406</v>
      </c>
      <c r="C412" s="22">
        <v>43871</v>
      </c>
      <c r="D412" s="23" t="s">
        <v>57</v>
      </c>
      <c r="E412" s="23" t="s">
        <v>16</v>
      </c>
      <c r="F412" s="23" t="s">
        <v>17</v>
      </c>
      <c r="G412" s="23">
        <v>800</v>
      </c>
      <c r="H412" s="24">
        <v>1</v>
      </c>
    </row>
    <row r="413" spans="2:8" x14ac:dyDescent="0.25">
      <c r="B413" s="21">
        <v>407</v>
      </c>
      <c r="C413" s="22">
        <v>43872</v>
      </c>
      <c r="D413" s="23" t="s">
        <v>9</v>
      </c>
      <c r="E413" s="23" t="s">
        <v>19</v>
      </c>
      <c r="F413" s="23" t="s">
        <v>20</v>
      </c>
      <c r="G413" s="23"/>
      <c r="H413" s="24">
        <v>1</v>
      </c>
    </row>
    <row r="414" spans="2:8" x14ac:dyDescent="0.25">
      <c r="B414" s="21">
        <v>408</v>
      </c>
      <c r="C414" s="22">
        <v>43873</v>
      </c>
      <c r="D414" s="23" t="s">
        <v>9</v>
      </c>
      <c r="E414" s="23" t="s">
        <v>14</v>
      </c>
      <c r="F414" s="23" t="s">
        <v>11</v>
      </c>
      <c r="G414" s="23"/>
      <c r="H414" s="24">
        <v>1</v>
      </c>
    </row>
    <row r="415" spans="2:8" x14ac:dyDescent="0.25">
      <c r="B415" s="21">
        <v>409</v>
      </c>
      <c r="C415" s="22">
        <v>43874</v>
      </c>
      <c r="D415" s="23" t="s">
        <v>9</v>
      </c>
      <c r="E415" s="23" t="s">
        <v>10</v>
      </c>
      <c r="F415" s="23" t="s">
        <v>11</v>
      </c>
      <c r="G415" s="23"/>
      <c r="H415" s="24">
        <v>1</v>
      </c>
    </row>
    <row r="416" spans="2:8" x14ac:dyDescent="0.25">
      <c r="B416" s="21">
        <v>410</v>
      </c>
      <c r="C416" s="22">
        <v>43875</v>
      </c>
      <c r="D416" s="23" t="s">
        <v>9</v>
      </c>
      <c r="E416" s="23" t="s">
        <v>18</v>
      </c>
      <c r="F416" s="23" t="s">
        <v>17</v>
      </c>
      <c r="G416" s="23">
        <v>600</v>
      </c>
      <c r="H416" s="24">
        <v>1</v>
      </c>
    </row>
    <row r="417" spans="2:8" x14ac:dyDescent="0.25">
      <c r="B417" s="21">
        <v>411</v>
      </c>
      <c r="C417" s="22">
        <v>43876</v>
      </c>
      <c r="D417" s="23" t="s">
        <v>9</v>
      </c>
      <c r="E417" s="23" t="s">
        <v>21</v>
      </c>
      <c r="F417" s="23" t="s">
        <v>20</v>
      </c>
      <c r="G417" s="23">
        <v>1200</v>
      </c>
      <c r="H417" s="24">
        <v>1</v>
      </c>
    </row>
    <row r="418" spans="2:8" x14ac:dyDescent="0.25">
      <c r="B418" s="21">
        <v>412</v>
      </c>
      <c r="C418" s="22">
        <v>43877</v>
      </c>
      <c r="D418" s="23" t="s">
        <v>9</v>
      </c>
      <c r="E418" s="23" t="s">
        <v>18</v>
      </c>
      <c r="F418" s="23" t="s">
        <v>17</v>
      </c>
      <c r="G418" s="23">
        <v>600</v>
      </c>
      <c r="H418" s="24">
        <v>1</v>
      </c>
    </row>
    <row r="419" spans="2:8" x14ac:dyDescent="0.25">
      <c r="B419" s="21">
        <v>413</v>
      </c>
      <c r="C419" s="22">
        <v>43878</v>
      </c>
      <c r="D419" s="23" t="s">
        <v>9</v>
      </c>
      <c r="E419" s="23" t="s">
        <v>18</v>
      </c>
      <c r="F419" s="23" t="s">
        <v>17</v>
      </c>
      <c r="G419" s="23">
        <v>600</v>
      </c>
      <c r="H419" s="24">
        <v>1</v>
      </c>
    </row>
    <row r="420" spans="2:8" x14ac:dyDescent="0.25">
      <c r="B420" s="21">
        <v>414</v>
      </c>
      <c r="C420" s="22">
        <v>43879</v>
      </c>
      <c r="D420" s="23" t="s">
        <v>9</v>
      </c>
      <c r="E420" s="23" t="s">
        <v>10</v>
      </c>
      <c r="F420" s="23" t="s">
        <v>11</v>
      </c>
      <c r="G420" s="23">
        <v>1100</v>
      </c>
      <c r="H420" s="24">
        <v>1</v>
      </c>
    </row>
    <row r="421" spans="2:8" x14ac:dyDescent="0.25">
      <c r="B421" s="21">
        <v>415</v>
      </c>
      <c r="C421" s="22">
        <v>43880</v>
      </c>
      <c r="D421" s="23" t="s">
        <v>9</v>
      </c>
      <c r="E421" s="23" t="s">
        <v>12</v>
      </c>
      <c r="F421" s="23" t="s">
        <v>11</v>
      </c>
      <c r="G421" s="23">
        <v>900</v>
      </c>
      <c r="H421" s="24">
        <v>1</v>
      </c>
    </row>
    <row r="422" spans="2:8" x14ac:dyDescent="0.25">
      <c r="B422" s="21">
        <v>416</v>
      </c>
      <c r="C422" s="22">
        <v>43881</v>
      </c>
      <c r="D422" s="23" t="s">
        <v>9</v>
      </c>
      <c r="E422" s="23" t="s">
        <v>15</v>
      </c>
      <c r="F422" s="23" t="s">
        <v>11</v>
      </c>
      <c r="G422" s="23">
        <v>1000</v>
      </c>
      <c r="H422" s="24">
        <v>1</v>
      </c>
    </row>
    <row r="423" spans="2:8" x14ac:dyDescent="0.25">
      <c r="B423" s="21">
        <v>417</v>
      </c>
      <c r="C423" s="22">
        <v>43882</v>
      </c>
      <c r="D423" s="23" t="s">
        <v>9</v>
      </c>
      <c r="E423" s="23" t="s">
        <v>12</v>
      </c>
      <c r="F423" s="23" t="s">
        <v>11</v>
      </c>
      <c r="G423" s="23">
        <v>900</v>
      </c>
      <c r="H423" s="24">
        <v>1</v>
      </c>
    </row>
    <row r="424" spans="2:8" x14ac:dyDescent="0.25">
      <c r="B424" s="21">
        <v>418</v>
      </c>
      <c r="C424" s="22">
        <v>43883</v>
      </c>
      <c r="D424" s="23" t="s">
        <v>9</v>
      </c>
      <c r="E424" s="23" t="s">
        <v>18</v>
      </c>
      <c r="F424" s="23" t="s">
        <v>17</v>
      </c>
      <c r="G424" s="23">
        <v>600</v>
      </c>
      <c r="H424" s="24">
        <v>1</v>
      </c>
    </row>
    <row r="425" spans="2:8" x14ac:dyDescent="0.25">
      <c r="B425" s="21">
        <v>419</v>
      </c>
      <c r="C425" s="22">
        <v>43884</v>
      </c>
      <c r="D425" s="23" t="s">
        <v>9</v>
      </c>
      <c r="E425" s="23" t="s">
        <v>19</v>
      </c>
      <c r="F425" s="23" t="s">
        <v>20</v>
      </c>
      <c r="G425" s="23">
        <v>850</v>
      </c>
      <c r="H425" s="24">
        <v>1</v>
      </c>
    </row>
    <row r="426" spans="2:8" x14ac:dyDescent="0.25">
      <c r="B426" s="21">
        <v>420</v>
      </c>
      <c r="C426" s="22">
        <v>43885</v>
      </c>
      <c r="D426" s="23" t="s">
        <v>9</v>
      </c>
      <c r="E426" s="23" t="s">
        <v>22</v>
      </c>
      <c r="F426" s="23" t="s">
        <v>23</v>
      </c>
      <c r="G426" s="23">
        <v>500</v>
      </c>
      <c r="H426" s="24">
        <v>1</v>
      </c>
    </row>
    <row r="427" spans="2:8" x14ac:dyDescent="0.25">
      <c r="B427" s="21">
        <v>421</v>
      </c>
      <c r="C427" s="22">
        <v>43886</v>
      </c>
      <c r="D427" s="23" t="s">
        <v>9</v>
      </c>
      <c r="E427" s="23" t="s">
        <v>15</v>
      </c>
      <c r="F427" s="23" t="s">
        <v>11</v>
      </c>
      <c r="G427" s="23">
        <v>1000</v>
      </c>
      <c r="H427" s="24">
        <v>1</v>
      </c>
    </row>
    <row r="428" spans="2:8" x14ac:dyDescent="0.25">
      <c r="B428" s="21">
        <v>422</v>
      </c>
      <c r="C428" s="22">
        <v>43887</v>
      </c>
      <c r="D428" s="23" t="s">
        <v>9</v>
      </c>
      <c r="E428" s="23" t="s">
        <v>10</v>
      </c>
      <c r="F428" s="23" t="s">
        <v>11</v>
      </c>
      <c r="G428" s="23">
        <v>1100</v>
      </c>
      <c r="H428" s="24">
        <v>1</v>
      </c>
    </row>
    <row r="429" spans="2:8" x14ac:dyDescent="0.25">
      <c r="B429" s="21">
        <v>423</v>
      </c>
      <c r="C429" s="22">
        <v>43888</v>
      </c>
      <c r="D429" s="23" t="s">
        <v>9</v>
      </c>
      <c r="E429" s="23" t="s">
        <v>10</v>
      </c>
      <c r="F429" s="23" t="s">
        <v>11</v>
      </c>
      <c r="G429" s="23">
        <v>1100</v>
      </c>
      <c r="H429" s="24">
        <v>2</v>
      </c>
    </row>
    <row r="430" spans="2:8" x14ac:dyDescent="0.25">
      <c r="B430" s="21">
        <v>424</v>
      </c>
      <c r="C430" s="22">
        <v>43889</v>
      </c>
      <c r="D430" s="23" t="s">
        <v>9</v>
      </c>
      <c r="E430" s="23" t="s">
        <v>14</v>
      </c>
      <c r="F430" s="23" t="s">
        <v>11</v>
      </c>
      <c r="G430" s="23">
        <v>900</v>
      </c>
      <c r="H430" s="24">
        <v>1</v>
      </c>
    </row>
    <row r="431" spans="2:8" x14ac:dyDescent="0.25">
      <c r="B431" s="21">
        <v>425</v>
      </c>
      <c r="C431" s="22">
        <v>43890</v>
      </c>
      <c r="D431" s="23" t="s">
        <v>9</v>
      </c>
      <c r="E431" s="23" t="s">
        <v>14</v>
      </c>
      <c r="F431" s="23" t="s">
        <v>11</v>
      </c>
      <c r="G431" s="23">
        <v>900</v>
      </c>
      <c r="H431" s="24">
        <v>1</v>
      </c>
    </row>
    <row r="432" spans="2:8" x14ac:dyDescent="0.25">
      <c r="B432" s="21">
        <v>426</v>
      </c>
      <c r="C432" s="22">
        <v>43891</v>
      </c>
      <c r="D432" s="23" t="s">
        <v>9</v>
      </c>
      <c r="E432" s="23" t="s">
        <v>18</v>
      </c>
      <c r="F432" s="23" t="s">
        <v>17</v>
      </c>
      <c r="G432" s="23">
        <v>600</v>
      </c>
      <c r="H432" s="24">
        <v>1</v>
      </c>
    </row>
    <row r="433" spans="2:8" x14ac:dyDescent="0.25">
      <c r="B433" s="21">
        <v>427</v>
      </c>
      <c r="C433" s="22">
        <v>43892</v>
      </c>
      <c r="D433" s="23" t="s">
        <v>9</v>
      </c>
      <c r="E433" s="23" t="s">
        <v>22</v>
      </c>
      <c r="F433" s="23" t="s">
        <v>23</v>
      </c>
      <c r="G433" s="23">
        <v>900</v>
      </c>
      <c r="H433" s="24">
        <v>1</v>
      </c>
    </row>
    <row r="434" spans="2:8" x14ac:dyDescent="0.25">
      <c r="B434" s="21">
        <v>428</v>
      </c>
      <c r="C434" s="22">
        <v>43893</v>
      </c>
      <c r="D434" s="23" t="s">
        <v>9</v>
      </c>
      <c r="E434" s="23" t="s">
        <v>10</v>
      </c>
      <c r="F434" s="23" t="s">
        <v>11</v>
      </c>
      <c r="G434" s="23">
        <v>1100</v>
      </c>
      <c r="H434" s="24">
        <v>1</v>
      </c>
    </row>
    <row r="435" spans="2:8" x14ac:dyDescent="0.25">
      <c r="B435" s="21">
        <v>429</v>
      </c>
      <c r="C435" s="22">
        <v>43894</v>
      </c>
      <c r="D435" s="23" t="s">
        <v>9</v>
      </c>
      <c r="E435" s="23" t="s">
        <v>18</v>
      </c>
      <c r="F435" s="23" t="s">
        <v>17</v>
      </c>
      <c r="G435" s="23">
        <v>600</v>
      </c>
      <c r="H435" s="24">
        <v>1</v>
      </c>
    </row>
    <row r="436" spans="2:8" x14ac:dyDescent="0.25">
      <c r="B436" s="21">
        <v>430</v>
      </c>
      <c r="C436" s="22">
        <v>43895</v>
      </c>
      <c r="D436" s="23" t="s">
        <v>9</v>
      </c>
      <c r="E436" s="23" t="s">
        <v>18</v>
      </c>
      <c r="F436" s="23" t="s">
        <v>17</v>
      </c>
      <c r="G436" s="23">
        <v>600</v>
      </c>
      <c r="H436" s="24">
        <v>1</v>
      </c>
    </row>
    <row r="437" spans="2:8" x14ac:dyDescent="0.25">
      <c r="B437" s="21">
        <v>431</v>
      </c>
      <c r="C437" s="22">
        <v>43896</v>
      </c>
      <c r="D437" s="23" t="s">
        <v>9</v>
      </c>
      <c r="E437" s="23" t="s">
        <v>22</v>
      </c>
      <c r="F437" s="23" t="s">
        <v>23</v>
      </c>
      <c r="G437" s="23">
        <v>500</v>
      </c>
      <c r="H437" s="24">
        <v>1</v>
      </c>
    </row>
    <row r="438" spans="2:8" x14ac:dyDescent="0.25">
      <c r="B438" s="21">
        <v>432</v>
      </c>
      <c r="C438" s="22">
        <v>43897</v>
      </c>
      <c r="D438" s="23" t="s">
        <v>9</v>
      </c>
      <c r="E438" s="23" t="s">
        <v>14</v>
      </c>
      <c r="F438" s="23" t="s">
        <v>11</v>
      </c>
      <c r="G438" s="23">
        <v>900</v>
      </c>
      <c r="H438" s="24">
        <v>1</v>
      </c>
    </row>
    <row r="439" spans="2:8" x14ac:dyDescent="0.25">
      <c r="B439" s="21">
        <v>433</v>
      </c>
      <c r="C439" s="22">
        <v>43898</v>
      </c>
      <c r="D439" s="23" t="s">
        <v>9</v>
      </c>
      <c r="E439" s="23" t="s">
        <v>21</v>
      </c>
      <c r="F439" s="23" t="s">
        <v>20</v>
      </c>
      <c r="G439" s="23">
        <v>1200</v>
      </c>
      <c r="H439" s="24">
        <v>1</v>
      </c>
    </row>
    <row r="440" spans="2:8" x14ac:dyDescent="0.25">
      <c r="B440" s="21">
        <v>434</v>
      </c>
      <c r="C440" s="22">
        <v>43899</v>
      </c>
      <c r="D440" s="23" t="s">
        <v>9</v>
      </c>
      <c r="E440" s="23" t="s">
        <v>18</v>
      </c>
      <c r="F440" s="23" t="s">
        <v>17</v>
      </c>
      <c r="G440" s="23">
        <v>600</v>
      </c>
      <c r="H440" s="24">
        <v>2</v>
      </c>
    </row>
    <row r="441" spans="2:8" x14ac:dyDescent="0.25">
      <c r="B441" s="21">
        <v>435</v>
      </c>
      <c r="C441" s="22">
        <v>43900</v>
      </c>
      <c r="D441" s="23" t="s">
        <v>9</v>
      </c>
      <c r="E441" s="23" t="s">
        <v>14</v>
      </c>
      <c r="F441" s="23" t="s">
        <v>11</v>
      </c>
      <c r="G441" s="23">
        <v>900</v>
      </c>
      <c r="H441" s="24">
        <v>1</v>
      </c>
    </row>
    <row r="442" spans="2:8" x14ac:dyDescent="0.25">
      <c r="B442" s="21">
        <v>436</v>
      </c>
      <c r="C442" s="22">
        <v>43901</v>
      </c>
      <c r="D442" s="23" t="s">
        <v>9</v>
      </c>
      <c r="E442" s="23" t="s">
        <v>10</v>
      </c>
      <c r="F442" s="23" t="s">
        <v>11</v>
      </c>
      <c r="G442" s="23">
        <v>1100</v>
      </c>
      <c r="H442" s="24">
        <v>2</v>
      </c>
    </row>
    <row r="443" spans="2:8" x14ac:dyDescent="0.25">
      <c r="B443" s="21">
        <v>437</v>
      </c>
      <c r="C443" s="22">
        <v>43902</v>
      </c>
      <c r="D443" s="23" t="s">
        <v>9</v>
      </c>
      <c r="E443" s="23" t="s">
        <v>24</v>
      </c>
      <c r="F443" s="23" t="s">
        <v>23</v>
      </c>
      <c r="G443" s="23">
        <v>600</v>
      </c>
      <c r="H443" s="24">
        <v>1</v>
      </c>
    </row>
    <row r="444" spans="2:8" x14ac:dyDescent="0.25">
      <c r="B444" s="21">
        <v>438</v>
      </c>
      <c r="C444" s="22">
        <v>43903</v>
      </c>
      <c r="D444" s="23" t="s">
        <v>9</v>
      </c>
      <c r="E444" s="23" t="s">
        <v>18</v>
      </c>
      <c r="F444" s="23" t="s">
        <v>17</v>
      </c>
      <c r="G444" s="23">
        <v>600</v>
      </c>
      <c r="H444" s="24">
        <v>1</v>
      </c>
    </row>
    <row r="445" spans="2:8" x14ac:dyDescent="0.25">
      <c r="B445" s="21">
        <v>439</v>
      </c>
      <c r="C445" s="22">
        <v>43904</v>
      </c>
      <c r="D445" s="23" t="s">
        <v>9</v>
      </c>
      <c r="E445" s="23" t="s">
        <v>24</v>
      </c>
      <c r="F445" s="23" t="s">
        <v>23</v>
      </c>
      <c r="G445" s="23">
        <v>300</v>
      </c>
      <c r="H445" s="24">
        <v>2</v>
      </c>
    </row>
    <row r="446" spans="2:8" x14ac:dyDescent="0.25">
      <c r="B446" s="21">
        <v>440</v>
      </c>
      <c r="C446" s="22">
        <v>43905</v>
      </c>
      <c r="D446" s="23" t="s">
        <v>9</v>
      </c>
      <c r="E446" s="23" t="s">
        <v>10</v>
      </c>
      <c r="F446" s="23" t="s">
        <v>11</v>
      </c>
      <c r="G446" s="23">
        <v>1100</v>
      </c>
      <c r="H446" s="24">
        <v>2</v>
      </c>
    </row>
    <row r="447" spans="2:8" x14ac:dyDescent="0.25">
      <c r="B447" s="21">
        <v>441</v>
      </c>
      <c r="C447" s="22">
        <v>43906</v>
      </c>
      <c r="D447" s="23" t="s">
        <v>9</v>
      </c>
      <c r="E447" s="23" t="s">
        <v>15</v>
      </c>
      <c r="F447" s="23" t="s">
        <v>11</v>
      </c>
      <c r="G447" s="23">
        <v>1000</v>
      </c>
      <c r="H447" s="24">
        <v>1</v>
      </c>
    </row>
    <row r="448" spans="2:8" x14ac:dyDescent="0.25">
      <c r="B448" s="21">
        <v>442</v>
      </c>
      <c r="C448" s="22">
        <v>43907</v>
      </c>
      <c r="D448" s="23" t="s">
        <v>9</v>
      </c>
      <c r="E448" s="23" t="s">
        <v>18</v>
      </c>
      <c r="F448" s="23" t="s">
        <v>17</v>
      </c>
      <c r="G448" s="23">
        <v>600</v>
      </c>
      <c r="H448" s="24">
        <v>1</v>
      </c>
    </row>
    <row r="449" spans="2:8" x14ac:dyDescent="0.25">
      <c r="B449" s="21">
        <v>443</v>
      </c>
      <c r="C449" s="22">
        <v>43908</v>
      </c>
      <c r="D449" s="23" t="s">
        <v>9</v>
      </c>
      <c r="E449" s="23" t="s">
        <v>14</v>
      </c>
      <c r="F449" s="23" t="s">
        <v>11</v>
      </c>
      <c r="G449" s="23">
        <v>900</v>
      </c>
      <c r="H449" s="24">
        <v>1</v>
      </c>
    </row>
    <row r="450" spans="2:8" x14ac:dyDescent="0.25">
      <c r="B450" s="21">
        <v>444</v>
      </c>
      <c r="C450" s="22">
        <v>43909</v>
      </c>
      <c r="D450" s="23" t="s">
        <v>9</v>
      </c>
      <c r="E450" s="23" t="s">
        <v>21</v>
      </c>
      <c r="F450" s="23" t="s">
        <v>20</v>
      </c>
      <c r="G450" s="23">
        <v>1200</v>
      </c>
      <c r="H450" s="24">
        <v>1</v>
      </c>
    </row>
    <row r="451" spans="2:8" x14ac:dyDescent="0.25">
      <c r="B451" s="21">
        <v>445</v>
      </c>
      <c r="C451" s="22">
        <v>43910</v>
      </c>
      <c r="D451" s="23" t="s">
        <v>9</v>
      </c>
      <c r="E451" s="23" t="s">
        <v>10</v>
      </c>
      <c r="F451" s="23" t="s">
        <v>11</v>
      </c>
      <c r="G451" s="23">
        <v>1100</v>
      </c>
      <c r="H451" s="24">
        <v>1</v>
      </c>
    </row>
    <row r="452" spans="2:8" x14ac:dyDescent="0.25">
      <c r="B452" s="21">
        <v>446</v>
      </c>
      <c r="C452" s="22">
        <v>43911</v>
      </c>
      <c r="D452" s="23" t="s">
        <v>9</v>
      </c>
      <c r="E452" s="23" t="s">
        <v>19</v>
      </c>
      <c r="F452" s="23" t="s">
        <v>20</v>
      </c>
      <c r="G452" s="23">
        <v>850</v>
      </c>
      <c r="H452" s="24">
        <v>1</v>
      </c>
    </row>
    <row r="453" spans="2:8" x14ac:dyDescent="0.25">
      <c r="B453" s="21">
        <v>447</v>
      </c>
      <c r="C453" s="22">
        <v>43912</v>
      </c>
      <c r="D453" s="23" t="s">
        <v>9</v>
      </c>
      <c r="E453" s="23" t="s">
        <v>10</v>
      </c>
      <c r="F453" s="23" t="s">
        <v>11</v>
      </c>
      <c r="G453" s="23">
        <v>1100</v>
      </c>
      <c r="H453" s="24">
        <v>1</v>
      </c>
    </row>
    <row r="454" spans="2:8" x14ac:dyDescent="0.25">
      <c r="B454" s="21">
        <v>448</v>
      </c>
      <c r="C454" s="22">
        <v>43913</v>
      </c>
      <c r="D454" s="23" t="s">
        <v>9</v>
      </c>
      <c r="E454" s="23" t="s">
        <v>10</v>
      </c>
      <c r="F454" s="23" t="s">
        <v>11</v>
      </c>
      <c r="G454" s="23">
        <v>1100</v>
      </c>
      <c r="H454" s="24">
        <v>2</v>
      </c>
    </row>
    <row r="455" spans="2:8" x14ac:dyDescent="0.25">
      <c r="B455" s="21">
        <v>449</v>
      </c>
      <c r="C455" s="22">
        <v>43914</v>
      </c>
      <c r="D455" s="23" t="s">
        <v>9</v>
      </c>
      <c r="E455" s="23" t="s">
        <v>14</v>
      </c>
      <c r="F455" s="23" t="s">
        <v>11</v>
      </c>
      <c r="G455" s="23">
        <v>900</v>
      </c>
      <c r="H455" s="24">
        <v>1</v>
      </c>
    </row>
    <row r="456" spans="2:8" x14ac:dyDescent="0.25">
      <c r="B456" s="21">
        <v>450</v>
      </c>
      <c r="C456" s="22">
        <v>43915</v>
      </c>
      <c r="D456" s="23" t="s">
        <v>9</v>
      </c>
      <c r="E456" s="23" t="s">
        <v>18</v>
      </c>
      <c r="F456" s="23" t="s">
        <v>17</v>
      </c>
      <c r="G456" s="23">
        <v>600</v>
      </c>
      <c r="H456" s="24">
        <v>1</v>
      </c>
    </row>
    <row r="457" spans="2:8" x14ac:dyDescent="0.25">
      <c r="B457" s="21">
        <v>451</v>
      </c>
      <c r="C457" s="22">
        <v>43916</v>
      </c>
      <c r="D457" s="23" t="s">
        <v>9</v>
      </c>
      <c r="E457" s="23" t="s">
        <v>18</v>
      </c>
      <c r="F457" s="23" t="s">
        <v>17</v>
      </c>
      <c r="G457" s="23">
        <v>600</v>
      </c>
      <c r="H457" s="24">
        <v>1</v>
      </c>
    </row>
    <row r="458" spans="2:8" x14ac:dyDescent="0.25">
      <c r="B458" s="21">
        <v>452</v>
      </c>
      <c r="C458" s="22">
        <v>43917</v>
      </c>
      <c r="D458" s="23" t="s">
        <v>9</v>
      </c>
      <c r="E458" s="23" t="s">
        <v>21</v>
      </c>
      <c r="F458" s="23" t="s">
        <v>20</v>
      </c>
      <c r="G458" s="23">
        <v>1200</v>
      </c>
      <c r="H458" s="24">
        <v>1</v>
      </c>
    </row>
    <row r="459" spans="2:8" x14ac:dyDescent="0.25">
      <c r="B459" s="21">
        <v>453</v>
      </c>
      <c r="C459" s="22">
        <v>43918</v>
      </c>
      <c r="D459" s="23" t="s">
        <v>9</v>
      </c>
      <c r="E459" s="23" t="s">
        <v>14</v>
      </c>
      <c r="F459" s="23" t="s">
        <v>11</v>
      </c>
      <c r="G459" s="23">
        <v>900</v>
      </c>
      <c r="H459" s="24">
        <v>1</v>
      </c>
    </row>
    <row r="460" spans="2:8" x14ac:dyDescent="0.25">
      <c r="B460" s="21">
        <v>454</v>
      </c>
      <c r="C460" s="22">
        <v>43919</v>
      </c>
      <c r="D460" s="23" t="s">
        <v>9</v>
      </c>
      <c r="E460" s="23" t="s">
        <v>16</v>
      </c>
      <c r="F460" s="23" t="s">
        <v>17</v>
      </c>
      <c r="G460" s="23">
        <v>800</v>
      </c>
      <c r="H460" s="24">
        <v>1</v>
      </c>
    </row>
    <row r="461" spans="2:8" x14ac:dyDescent="0.25">
      <c r="B461" s="21">
        <v>455</v>
      </c>
      <c r="C461" s="22">
        <v>43920</v>
      </c>
      <c r="D461" s="23" t="s">
        <v>9</v>
      </c>
      <c r="E461" s="23" t="s">
        <v>14</v>
      </c>
      <c r="F461" s="23" t="s">
        <v>11</v>
      </c>
      <c r="G461" s="23">
        <v>900</v>
      </c>
      <c r="H461" s="24">
        <v>1</v>
      </c>
    </row>
    <row r="462" spans="2:8" x14ac:dyDescent="0.25">
      <c r="B462" s="21">
        <v>456</v>
      </c>
      <c r="C462" s="22">
        <v>43921</v>
      </c>
      <c r="D462" s="23" t="s">
        <v>9</v>
      </c>
      <c r="E462" s="23" t="s">
        <v>10</v>
      </c>
      <c r="F462" s="23" t="s">
        <v>11</v>
      </c>
      <c r="G462" s="23">
        <v>1100</v>
      </c>
      <c r="H462" s="24">
        <v>1</v>
      </c>
    </row>
    <row r="463" spans="2:8" x14ac:dyDescent="0.25">
      <c r="B463" s="21">
        <v>457</v>
      </c>
      <c r="C463" s="22">
        <v>43922</v>
      </c>
      <c r="D463" s="23" t="s">
        <v>9</v>
      </c>
      <c r="E463" s="23" t="s">
        <v>24</v>
      </c>
      <c r="F463" s="23" t="s">
        <v>23</v>
      </c>
      <c r="G463" s="23">
        <v>600</v>
      </c>
      <c r="H463" s="24">
        <v>1</v>
      </c>
    </row>
    <row r="464" spans="2:8" x14ac:dyDescent="0.25">
      <c r="B464" s="21">
        <v>458</v>
      </c>
      <c r="C464" s="22">
        <v>43923</v>
      </c>
      <c r="D464" s="23" t="s">
        <v>9</v>
      </c>
      <c r="E464" s="23" t="s">
        <v>10</v>
      </c>
      <c r="F464" s="23" t="s">
        <v>11</v>
      </c>
      <c r="G464" s="23">
        <v>1100</v>
      </c>
      <c r="H464" s="24">
        <v>1</v>
      </c>
    </row>
    <row r="465" spans="2:8" x14ac:dyDescent="0.25">
      <c r="B465" s="21">
        <v>459</v>
      </c>
      <c r="C465" s="22">
        <v>43924</v>
      </c>
      <c r="D465" s="23" t="s">
        <v>9</v>
      </c>
      <c r="E465" s="23" t="s">
        <v>16</v>
      </c>
      <c r="F465" s="23" t="s">
        <v>17</v>
      </c>
      <c r="G465" s="23">
        <v>800</v>
      </c>
      <c r="H465" s="24">
        <v>1</v>
      </c>
    </row>
    <row r="466" spans="2:8" x14ac:dyDescent="0.25">
      <c r="B466" s="21">
        <v>460</v>
      </c>
      <c r="C466" s="22">
        <v>43925</v>
      </c>
      <c r="D466" s="23" t="s">
        <v>9</v>
      </c>
      <c r="E466" s="23" t="s">
        <v>14</v>
      </c>
      <c r="F466" s="23" t="s">
        <v>11</v>
      </c>
      <c r="G466" s="23">
        <v>900</v>
      </c>
      <c r="H466" s="24">
        <v>1</v>
      </c>
    </row>
    <row r="467" spans="2:8" x14ac:dyDescent="0.25">
      <c r="B467" s="21">
        <v>461</v>
      </c>
      <c r="C467" s="22">
        <v>43926</v>
      </c>
      <c r="D467" s="23" t="s">
        <v>9</v>
      </c>
      <c r="E467" s="23" t="s">
        <v>10</v>
      </c>
      <c r="F467" s="23" t="s">
        <v>11</v>
      </c>
      <c r="G467" s="23">
        <v>1100</v>
      </c>
      <c r="H467" s="24">
        <v>1</v>
      </c>
    </row>
    <row r="468" spans="2:8" x14ac:dyDescent="0.25">
      <c r="B468" s="21">
        <v>462</v>
      </c>
      <c r="C468" s="22">
        <v>43927</v>
      </c>
      <c r="D468" s="23" t="s">
        <v>9</v>
      </c>
      <c r="E468" s="23" t="s">
        <v>14</v>
      </c>
      <c r="F468" s="23" t="s">
        <v>11</v>
      </c>
      <c r="G468" s="23">
        <v>900</v>
      </c>
      <c r="H468" s="24">
        <v>1</v>
      </c>
    </row>
    <row r="469" spans="2:8" x14ac:dyDescent="0.25">
      <c r="B469" s="21">
        <v>463</v>
      </c>
      <c r="C469" s="22">
        <v>43928</v>
      </c>
      <c r="D469" s="23" t="s">
        <v>9</v>
      </c>
      <c r="E469" s="23" t="s">
        <v>18</v>
      </c>
      <c r="F469" s="23" t="s">
        <v>17</v>
      </c>
      <c r="G469" s="23">
        <v>600</v>
      </c>
      <c r="H469" s="24">
        <v>1</v>
      </c>
    </row>
    <row r="470" spans="2:8" x14ac:dyDescent="0.25">
      <c r="B470" s="21">
        <v>464</v>
      </c>
      <c r="C470" s="22">
        <v>43929</v>
      </c>
      <c r="D470" s="23" t="s">
        <v>9</v>
      </c>
      <c r="E470" s="23" t="s">
        <v>10</v>
      </c>
      <c r="F470" s="23" t="s">
        <v>11</v>
      </c>
      <c r="G470" s="23">
        <v>1100</v>
      </c>
      <c r="H470" s="24">
        <v>1</v>
      </c>
    </row>
    <row r="471" spans="2:8" x14ac:dyDescent="0.25">
      <c r="B471" s="21">
        <v>465</v>
      </c>
      <c r="C471" s="22">
        <v>43930</v>
      </c>
      <c r="D471" s="23" t="s">
        <v>9</v>
      </c>
      <c r="E471" s="23" t="s">
        <v>10</v>
      </c>
      <c r="F471" s="23" t="s">
        <v>11</v>
      </c>
      <c r="G471" s="23">
        <v>1100</v>
      </c>
      <c r="H471" s="24">
        <v>2</v>
      </c>
    </row>
    <row r="472" spans="2:8" x14ac:dyDescent="0.25">
      <c r="B472" s="21">
        <v>466</v>
      </c>
      <c r="C472" s="22">
        <v>43931</v>
      </c>
      <c r="D472" s="23" t="s">
        <v>9</v>
      </c>
      <c r="E472" s="23" t="s">
        <v>10</v>
      </c>
      <c r="F472" s="23" t="s">
        <v>11</v>
      </c>
      <c r="G472" s="23">
        <v>1100</v>
      </c>
      <c r="H472" s="24">
        <v>1</v>
      </c>
    </row>
    <row r="473" spans="2:8" x14ac:dyDescent="0.25">
      <c r="B473" s="21">
        <v>467</v>
      </c>
      <c r="C473" s="22">
        <v>43932</v>
      </c>
      <c r="D473" s="23" t="s">
        <v>9</v>
      </c>
      <c r="E473" s="23" t="s">
        <v>10</v>
      </c>
      <c r="F473" s="23" t="s">
        <v>11</v>
      </c>
      <c r="G473" s="23">
        <v>1100</v>
      </c>
      <c r="H473" s="24">
        <v>1</v>
      </c>
    </row>
    <row r="474" spans="2:8" x14ac:dyDescent="0.25">
      <c r="B474" s="21">
        <v>468</v>
      </c>
      <c r="C474" s="22">
        <v>43933</v>
      </c>
      <c r="D474" s="23" t="s">
        <v>9</v>
      </c>
      <c r="E474" s="23" t="s">
        <v>10</v>
      </c>
      <c r="F474" s="23" t="s">
        <v>11</v>
      </c>
      <c r="G474" s="23">
        <v>1100</v>
      </c>
      <c r="H474" s="24">
        <v>1</v>
      </c>
    </row>
    <row r="475" spans="2:8" x14ac:dyDescent="0.25">
      <c r="B475" s="21">
        <v>469</v>
      </c>
      <c r="C475" s="22">
        <v>43934</v>
      </c>
      <c r="D475" s="23" t="s">
        <v>9</v>
      </c>
      <c r="E475" s="23" t="s">
        <v>18</v>
      </c>
      <c r="F475" s="23" t="s">
        <v>17</v>
      </c>
      <c r="G475" s="23">
        <v>600</v>
      </c>
      <c r="H475" s="24">
        <v>1</v>
      </c>
    </row>
    <row r="476" spans="2:8" x14ac:dyDescent="0.25">
      <c r="B476" s="21">
        <v>470</v>
      </c>
      <c r="C476" s="22">
        <v>43935</v>
      </c>
      <c r="D476" s="23" t="s">
        <v>9</v>
      </c>
      <c r="E476" s="23" t="s">
        <v>10</v>
      </c>
      <c r="F476" s="23" t="s">
        <v>11</v>
      </c>
      <c r="G476" s="23">
        <v>1100</v>
      </c>
      <c r="H476" s="24">
        <v>1</v>
      </c>
    </row>
    <row r="477" spans="2:8" x14ac:dyDescent="0.25">
      <c r="B477" s="21">
        <v>471</v>
      </c>
      <c r="C477" s="22">
        <v>43936</v>
      </c>
      <c r="D477" s="23" t="s">
        <v>9</v>
      </c>
      <c r="E477" s="23" t="s">
        <v>18</v>
      </c>
      <c r="F477" s="23" t="s">
        <v>17</v>
      </c>
      <c r="G477" s="23">
        <v>600</v>
      </c>
      <c r="H477" s="24">
        <v>1</v>
      </c>
    </row>
    <row r="478" spans="2:8" x14ac:dyDescent="0.25">
      <c r="B478" s="21">
        <v>472</v>
      </c>
      <c r="C478" s="22">
        <v>43937</v>
      </c>
      <c r="D478" s="23" t="s">
        <v>9</v>
      </c>
      <c r="E478" s="23" t="s">
        <v>14</v>
      </c>
      <c r="F478" s="23" t="s">
        <v>11</v>
      </c>
      <c r="G478" s="23">
        <v>900</v>
      </c>
      <c r="H478" s="24">
        <v>1</v>
      </c>
    </row>
    <row r="479" spans="2:8" x14ac:dyDescent="0.25">
      <c r="B479" s="21">
        <v>473</v>
      </c>
      <c r="C479" s="22">
        <v>43938</v>
      </c>
      <c r="D479" s="23" t="s">
        <v>9</v>
      </c>
      <c r="E479" s="23" t="s">
        <v>10</v>
      </c>
      <c r="F479" s="23" t="s">
        <v>11</v>
      </c>
      <c r="G479" s="23">
        <v>1100</v>
      </c>
      <c r="H479" s="24">
        <v>1</v>
      </c>
    </row>
    <row r="480" spans="2:8" x14ac:dyDescent="0.25">
      <c r="B480" s="21">
        <v>474</v>
      </c>
      <c r="C480" s="22">
        <v>43939</v>
      </c>
      <c r="D480" s="23" t="s">
        <v>9</v>
      </c>
      <c r="E480" s="23" t="s">
        <v>18</v>
      </c>
      <c r="F480" s="23" t="s">
        <v>17</v>
      </c>
      <c r="G480" s="23">
        <v>600</v>
      </c>
      <c r="H480" s="24">
        <v>1</v>
      </c>
    </row>
    <row r="481" spans="2:8" x14ac:dyDescent="0.25">
      <c r="B481" s="21">
        <v>475</v>
      </c>
      <c r="C481" s="22">
        <v>43940</v>
      </c>
      <c r="D481" s="23" t="s">
        <v>9</v>
      </c>
      <c r="E481" s="23" t="s">
        <v>18</v>
      </c>
      <c r="F481" s="23" t="s">
        <v>17</v>
      </c>
      <c r="G481" s="23">
        <v>600</v>
      </c>
      <c r="H481" s="24">
        <v>1</v>
      </c>
    </row>
    <row r="482" spans="2:8" x14ac:dyDescent="0.25">
      <c r="B482" s="21">
        <v>476</v>
      </c>
      <c r="C482" s="22">
        <v>43941</v>
      </c>
      <c r="D482" s="23" t="s">
        <v>9</v>
      </c>
      <c r="E482" s="23" t="s">
        <v>19</v>
      </c>
      <c r="F482" s="23" t="s">
        <v>20</v>
      </c>
      <c r="G482" s="23">
        <v>850</v>
      </c>
      <c r="H482" s="24">
        <v>1</v>
      </c>
    </row>
    <row r="483" spans="2:8" x14ac:dyDescent="0.25">
      <c r="B483" s="21">
        <v>477</v>
      </c>
      <c r="C483" s="22">
        <v>43942</v>
      </c>
      <c r="D483" s="23" t="s">
        <v>9</v>
      </c>
      <c r="E483" s="23" t="s">
        <v>18</v>
      </c>
      <c r="F483" s="23" t="s">
        <v>17</v>
      </c>
      <c r="G483" s="23">
        <v>600</v>
      </c>
      <c r="H483" s="24">
        <v>1</v>
      </c>
    </row>
    <row r="484" spans="2:8" x14ac:dyDescent="0.25">
      <c r="B484" s="21">
        <v>478</v>
      </c>
      <c r="C484" s="22">
        <v>43943</v>
      </c>
      <c r="D484" s="23" t="s">
        <v>9</v>
      </c>
      <c r="E484" s="23" t="s">
        <v>10</v>
      </c>
      <c r="F484" s="23" t="s">
        <v>11</v>
      </c>
      <c r="G484" s="23">
        <v>1100</v>
      </c>
      <c r="H484" s="24">
        <v>1</v>
      </c>
    </row>
    <row r="485" spans="2:8" x14ac:dyDescent="0.25">
      <c r="B485" s="21">
        <v>479</v>
      </c>
      <c r="C485" s="22">
        <v>43944</v>
      </c>
      <c r="D485" s="23" t="s">
        <v>9</v>
      </c>
      <c r="E485" s="23" t="s">
        <v>24</v>
      </c>
      <c r="F485" s="23" t="s">
        <v>23</v>
      </c>
      <c r="G485" s="23">
        <v>300</v>
      </c>
      <c r="H485" s="24">
        <v>1</v>
      </c>
    </row>
    <row r="486" spans="2:8" x14ac:dyDescent="0.25">
      <c r="B486" s="21">
        <v>480</v>
      </c>
      <c r="C486" s="22">
        <v>43945</v>
      </c>
      <c r="D486" s="23" t="s">
        <v>9</v>
      </c>
      <c r="E486" s="23" t="s">
        <v>24</v>
      </c>
      <c r="F486" s="23" t="s">
        <v>23</v>
      </c>
      <c r="G486" s="23">
        <v>300</v>
      </c>
      <c r="H486" s="24">
        <v>1</v>
      </c>
    </row>
    <row r="487" spans="2:8" x14ac:dyDescent="0.25">
      <c r="B487" s="21">
        <v>481</v>
      </c>
      <c r="C487" s="22">
        <v>43946</v>
      </c>
      <c r="D487" s="23" t="s">
        <v>9</v>
      </c>
      <c r="E487" s="23" t="s">
        <v>18</v>
      </c>
      <c r="F487" s="23" t="s">
        <v>17</v>
      </c>
      <c r="G487" s="23">
        <v>600</v>
      </c>
      <c r="H487" s="24">
        <v>1</v>
      </c>
    </row>
    <row r="488" spans="2:8" x14ac:dyDescent="0.25">
      <c r="B488" s="21">
        <v>482</v>
      </c>
      <c r="C488" s="22">
        <v>43947</v>
      </c>
      <c r="D488" s="23" t="s">
        <v>9</v>
      </c>
      <c r="E488" s="23" t="s">
        <v>22</v>
      </c>
      <c r="F488" s="23" t="s">
        <v>23</v>
      </c>
      <c r="G488" s="23">
        <v>800</v>
      </c>
      <c r="H488" s="24">
        <v>1</v>
      </c>
    </row>
    <row r="489" spans="2:8" x14ac:dyDescent="0.25">
      <c r="B489" s="21">
        <v>483</v>
      </c>
      <c r="C489" s="22">
        <v>43948</v>
      </c>
      <c r="D489" s="23" t="s">
        <v>9</v>
      </c>
      <c r="E489" s="23" t="s">
        <v>18</v>
      </c>
      <c r="F489" s="23" t="s">
        <v>17</v>
      </c>
      <c r="G489" s="23">
        <v>600</v>
      </c>
      <c r="H489" s="24">
        <v>1</v>
      </c>
    </row>
    <row r="490" spans="2:8" x14ac:dyDescent="0.25">
      <c r="B490" s="21">
        <v>484</v>
      </c>
      <c r="C490" s="22">
        <v>43949</v>
      </c>
      <c r="D490" s="23" t="s">
        <v>9</v>
      </c>
      <c r="E490" s="23" t="s">
        <v>22</v>
      </c>
      <c r="F490" s="23" t="s">
        <v>23</v>
      </c>
      <c r="G490" s="23">
        <v>500</v>
      </c>
      <c r="H490" s="24">
        <v>1</v>
      </c>
    </row>
    <row r="491" spans="2:8" x14ac:dyDescent="0.25">
      <c r="B491" s="21">
        <v>485</v>
      </c>
      <c r="C491" s="22">
        <v>43950</v>
      </c>
      <c r="D491" s="23" t="s">
        <v>9</v>
      </c>
      <c r="E491" s="23" t="s">
        <v>10</v>
      </c>
      <c r="F491" s="23" t="s">
        <v>11</v>
      </c>
      <c r="G491" s="23">
        <v>1100</v>
      </c>
      <c r="H491" s="24">
        <v>1</v>
      </c>
    </row>
    <row r="492" spans="2:8" x14ac:dyDescent="0.25">
      <c r="B492" s="21">
        <v>486</v>
      </c>
      <c r="C492" s="22">
        <v>43951</v>
      </c>
      <c r="D492" s="23" t="s">
        <v>9</v>
      </c>
      <c r="E492" s="23" t="s">
        <v>18</v>
      </c>
      <c r="F492" s="23" t="s">
        <v>17</v>
      </c>
      <c r="G492" s="23">
        <v>600</v>
      </c>
      <c r="H492" s="24">
        <v>1</v>
      </c>
    </row>
    <row r="493" spans="2:8" x14ac:dyDescent="0.25">
      <c r="B493" s="21">
        <v>487</v>
      </c>
      <c r="C493" s="22">
        <v>43952</v>
      </c>
      <c r="D493" s="23" t="s">
        <v>9</v>
      </c>
      <c r="E493" s="23" t="s">
        <v>12</v>
      </c>
      <c r="F493" s="23" t="s">
        <v>11</v>
      </c>
      <c r="G493" s="23">
        <v>900</v>
      </c>
      <c r="H493" s="24">
        <v>1</v>
      </c>
    </row>
    <row r="494" spans="2:8" x14ac:dyDescent="0.25">
      <c r="B494" s="21">
        <v>488</v>
      </c>
      <c r="C494" s="22">
        <v>43953</v>
      </c>
      <c r="D494" s="23" t="s">
        <v>9</v>
      </c>
      <c r="E494" s="23" t="s">
        <v>10</v>
      </c>
      <c r="F494" s="23" t="s">
        <v>11</v>
      </c>
      <c r="G494" s="23">
        <v>1100</v>
      </c>
      <c r="H494" s="24">
        <v>1</v>
      </c>
    </row>
    <row r="495" spans="2:8" x14ac:dyDescent="0.25">
      <c r="B495" s="21">
        <v>489</v>
      </c>
      <c r="C495" s="22">
        <v>43954</v>
      </c>
      <c r="D495" s="23" t="s">
        <v>9</v>
      </c>
      <c r="E495" s="23" t="s">
        <v>21</v>
      </c>
      <c r="F495" s="23" t="s">
        <v>20</v>
      </c>
      <c r="G495" s="23">
        <v>1200</v>
      </c>
      <c r="H495" s="24">
        <v>1</v>
      </c>
    </row>
    <row r="496" spans="2:8" x14ac:dyDescent="0.25">
      <c r="B496" s="21">
        <v>490</v>
      </c>
      <c r="C496" s="22">
        <v>43955</v>
      </c>
      <c r="D496" s="23" t="s">
        <v>9</v>
      </c>
      <c r="E496" s="23" t="s">
        <v>10</v>
      </c>
      <c r="F496" s="23" t="s">
        <v>11</v>
      </c>
      <c r="G496" s="23">
        <v>1100</v>
      </c>
      <c r="H496" s="24">
        <v>1</v>
      </c>
    </row>
    <row r="497" spans="2:8" x14ac:dyDescent="0.25">
      <c r="B497" s="21">
        <v>491</v>
      </c>
      <c r="C497" s="22">
        <v>43956</v>
      </c>
      <c r="D497" s="23" t="s">
        <v>9</v>
      </c>
      <c r="E497" s="23" t="s">
        <v>12</v>
      </c>
      <c r="F497" s="23" t="s">
        <v>11</v>
      </c>
      <c r="G497" s="23">
        <v>900</v>
      </c>
      <c r="H497" s="24">
        <v>1</v>
      </c>
    </row>
    <row r="498" spans="2:8" x14ac:dyDescent="0.25">
      <c r="B498" s="21">
        <v>492</v>
      </c>
      <c r="C498" s="22">
        <v>43957</v>
      </c>
      <c r="D498" s="23" t="s">
        <v>9</v>
      </c>
      <c r="E498" s="23" t="s">
        <v>22</v>
      </c>
      <c r="F498" s="23" t="s">
        <v>23</v>
      </c>
      <c r="G498" s="23">
        <v>900</v>
      </c>
      <c r="H498" s="24">
        <v>1</v>
      </c>
    </row>
    <row r="499" spans="2:8" x14ac:dyDescent="0.25">
      <c r="B499" s="21">
        <v>493</v>
      </c>
      <c r="C499" s="22">
        <v>43958</v>
      </c>
      <c r="D499" s="23" t="s">
        <v>9</v>
      </c>
      <c r="E499" s="23" t="s">
        <v>24</v>
      </c>
      <c r="F499" s="23" t="s">
        <v>23</v>
      </c>
      <c r="G499" s="23">
        <v>600</v>
      </c>
      <c r="H499" s="24">
        <v>1</v>
      </c>
    </row>
    <row r="500" spans="2:8" x14ac:dyDescent="0.25">
      <c r="B500" s="21">
        <v>494</v>
      </c>
      <c r="C500" s="22">
        <v>43959</v>
      </c>
      <c r="D500" s="23" t="s">
        <v>9</v>
      </c>
      <c r="E500" s="23" t="s">
        <v>10</v>
      </c>
      <c r="F500" s="23" t="s">
        <v>11</v>
      </c>
      <c r="G500" s="23">
        <v>1100</v>
      </c>
      <c r="H500" s="24">
        <v>1</v>
      </c>
    </row>
    <row r="501" spans="2:8" x14ac:dyDescent="0.25">
      <c r="B501" s="21">
        <v>495</v>
      </c>
      <c r="C501" s="22">
        <v>43960</v>
      </c>
      <c r="D501" s="23" t="s">
        <v>9</v>
      </c>
      <c r="E501" s="23" t="s">
        <v>10</v>
      </c>
      <c r="F501" s="23" t="s">
        <v>11</v>
      </c>
      <c r="G501" s="23">
        <v>1100</v>
      </c>
      <c r="H501" s="24">
        <v>1</v>
      </c>
    </row>
    <row r="502" spans="2:8" x14ac:dyDescent="0.25">
      <c r="B502" s="21">
        <v>496</v>
      </c>
      <c r="C502" s="22">
        <v>43961</v>
      </c>
      <c r="D502" s="23" t="s">
        <v>9</v>
      </c>
      <c r="E502" s="23" t="s">
        <v>22</v>
      </c>
      <c r="F502" s="23" t="s">
        <v>23</v>
      </c>
      <c r="G502" s="23">
        <v>500</v>
      </c>
      <c r="H502" s="24">
        <v>1</v>
      </c>
    </row>
    <row r="503" spans="2:8" x14ac:dyDescent="0.25">
      <c r="B503" s="21">
        <v>497</v>
      </c>
      <c r="C503" s="22">
        <v>43962</v>
      </c>
      <c r="D503" s="23" t="s">
        <v>9</v>
      </c>
      <c r="E503" s="23" t="s">
        <v>19</v>
      </c>
      <c r="F503" s="23" t="s">
        <v>20</v>
      </c>
      <c r="G503" s="23">
        <v>850</v>
      </c>
      <c r="H503" s="24">
        <v>1</v>
      </c>
    </row>
    <row r="504" spans="2:8" x14ac:dyDescent="0.25">
      <c r="B504" s="21">
        <v>498</v>
      </c>
      <c r="C504" s="22">
        <v>43963</v>
      </c>
      <c r="D504" s="23" t="s">
        <v>9</v>
      </c>
      <c r="E504" s="23" t="s">
        <v>10</v>
      </c>
      <c r="F504" s="23" t="s">
        <v>11</v>
      </c>
      <c r="G504" s="23">
        <v>1100</v>
      </c>
      <c r="H504" s="24">
        <v>1</v>
      </c>
    </row>
    <row r="505" spans="2:8" x14ac:dyDescent="0.25">
      <c r="B505" s="21">
        <v>499</v>
      </c>
      <c r="C505" s="22">
        <v>43964</v>
      </c>
      <c r="D505" s="23" t="s">
        <v>9</v>
      </c>
      <c r="E505" s="23" t="s">
        <v>24</v>
      </c>
      <c r="F505" s="23" t="s">
        <v>23</v>
      </c>
      <c r="G505" s="23">
        <v>300</v>
      </c>
      <c r="H505" s="24">
        <v>1</v>
      </c>
    </row>
    <row r="506" spans="2:8" x14ac:dyDescent="0.25">
      <c r="B506" s="21">
        <v>500</v>
      </c>
      <c r="C506" s="22">
        <v>43965</v>
      </c>
      <c r="D506" s="23" t="s">
        <v>9</v>
      </c>
      <c r="E506" s="23" t="s">
        <v>16</v>
      </c>
      <c r="F506" s="23" t="s">
        <v>17</v>
      </c>
      <c r="G506" s="23">
        <v>800</v>
      </c>
      <c r="H506" s="24">
        <v>1</v>
      </c>
    </row>
    <row r="507" spans="2:8" x14ac:dyDescent="0.25">
      <c r="B507" s="21">
        <v>501</v>
      </c>
      <c r="C507" s="22">
        <v>43966</v>
      </c>
      <c r="D507" s="23" t="s">
        <v>9</v>
      </c>
      <c r="E507" s="23" t="s">
        <v>12</v>
      </c>
      <c r="F507" s="23" t="s">
        <v>11</v>
      </c>
      <c r="G507" s="23">
        <v>900</v>
      </c>
      <c r="H507" s="24">
        <v>1</v>
      </c>
    </row>
    <row r="508" spans="2:8" x14ac:dyDescent="0.25">
      <c r="B508" s="21">
        <v>502</v>
      </c>
      <c r="C508" s="22">
        <v>43967</v>
      </c>
      <c r="D508" s="23" t="s">
        <v>9</v>
      </c>
      <c r="E508" s="23" t="s">
        <v>10</v>
      </c>
      <c r="F508" s="23" t="s">
        <v>11</v>
      </c>
      <c r="G508" s="23">
        <v>1100</v>
      </c>
      <c r="H508" s="24">
        <v>1</v>
      </c>
    </row>
    <row r="509" spans="2:8" x14ac:dyDescent="0.25">
      <c r="B509" s="21">
        <v>503</v>
      </c>
      <c r="C509" s="22">
        <v>43968</v>
      </c>
      <c r="D509" s="23" t="s">
        <v>9</v>
      </c>
      <c r="E509" s="23" t="s">
        <v>22</v>
      </c>
      <c r="F509" s="23" t="s">
        <v>23</v>
      </c>
      <c r="G509" s="23">
        <v>500</v>
      </c>
      <c r="H509" s="24">
        <v>1</v>
      </c>
    </row>
    <row r="510" spans="2:8" x14ac:dyDescent="0.25">
      <c r="B510" s="21">
        <v>504</v>
      </c>
      <c r="C510" s="22">
        <v>43969</v>
      </c>
      <c r="D510" s="23" t="s">
        <v>9</v>
      </c>
      <c r="E510" s="23" t="s">
        <v>18</v>
      </c>
      <c r="F510" s="23" t="s">
        <v>17</v>
      </c>
      <c r="G510" s="23">
        <v>600</v>
      </c>
      <c r="H510" s="24">
        <v>1</v>
      </c>
    </row>
    <row r="511" spans="2:8" x14ac:dyDescent="0.25">
      <c r="B511" s="21">
        <v>505</v>
      </c>
      <c r="C511" s="22">
        <v>43970</v>
      </c>
      <c r="D511" s="23" t="s">
        <v>9</v>
      </c>
      <c r="E511" s="23" t="s">
        <v>14</v>
      </c>
      <c r="F511" s="23" t="s">
        <v>11</v>
      </c>
      <c r="G511" s="23">
        <v>900</v>
      </c>
      <c r="H511" s="24">
        <v>1</v>
      </c>
    </row>
    <row r="512" spans="2:8" x14ac:dyDescent="0.25">
      <c r="B512" s="21">
        <v>506</v>
      </c>
      <c r="C512" s="22">
        <v>43971</v>
      </c>
      <c r="D512" s="23" t="s">
        <v>9</v>
      </c>
      <c r="E512" s="23" t="s">
        <v>24</v>
      </c>
      <c r="F512" s="23" t="s">
        <v>23</v>
      </c>
      <c r="G512" s="23">
        <v>600</v>
      </c>
      <c r="H512" s="24">
        <v>1</v>
      </c>
    </row>
    <row r="513" spans="2:8" x14ac:dyDescent="0.25">
      <c r="B513" s="21">
        <v>507</v>
      </c>
      <c r="C513" s="22">
        <v>43972</v>
      </c>
      <c r="D513" s="23" t="s">
        <v>9</v>
      </c>
      <c r="E513" s="23" t="s">
        <v>18</v>
      </c>
      <c r="F513" s="23" t="s">
        <v>17</v>
      </c>
      <c r="G513" s="23">
        <v>600</v>
      </c>
      <c r="H513" s="24">
        <v>1</v>
      </c>
    </row>
    <row r="514" spans="2:8" x14ac:dyDescent="0.25">
      <c r="B514" s="21">
        <v>508</v>
      </c>
      <c r="C514" s="22">
        <v>43973</v>
      </c>
      <c r="D514" s="23" t="s">
        <v>9</v>
      </c>
      <c r="E514" s="23" t="s">
        <v>10</v>
      </c>
      <c r="F514" s="23" t="s">
        <v>11</v>
      </c>
      <c r="G514" s="23">
        <v>1100</v>
      </c>
      <c r="H514" s="24">
        <v>1</v>
      </c>
    </row>
    <row r="515" spans="2:8" x14ac:dyDescent="0.25">
      <c r="B515" s="21">
        <v>509</v>
      </c>
      <c r="C515" s="22">
        <v>43974</v>
      </c>
      <c r="D515" s="23" t="s">
        <v>9</v>
      </c>
      <c r="E515" s="23" t="s">
        <v>10</v>
      </c>
      <c r="F515" s="23" t="s">
        <v>11</v>
      </c>
      <c r="G515" s="23">
        <v>1100</v>
      </c>
      <c r="H515" s="24">
        <v>2</v>
      </c>
    </row>
    <row r="516" spans="2:8" x14ac:dyDescent="0.25">
      <c r="B516" s="21">
        <v>510</v>
      </c>
      <c r="C516" s="22">
        <v>43975</v>
      </c>
      <c r="D516" s="23" t="s">
        <v>9</v>
      </c>
      <c r="E516" s="23" t="s">
        <v>10</v>
      </c>
      <c r="F516" s="23" t="s">
        <v>11</v>
      </c>
      <c r="G516" s="23">
        <v>1100</v>
      </c>
      <c r="H516" s="24">
        <v>1</v>
      </c>
    </row>
    <row r="517" spans="2:8" x14ac:dyDescent="0.25">
      <c r="B517" s="21">
        <v>511</v>
      </c>
      <c r="C517" s="22">
        <v>43976</v>
      </c>
      <c r="D517" s="23" t="s">
        <v>9</v>
      </c>
      <c r="E517" s="23" t="s">
        <v>19</v>
      </c>
      <c r="F517" s="23" t="s">
        <v>20</v>
      </c>
      <c r="G517" s="23">
        <v>850</v>
      </c>
      <c r="H517" s="24">
        <v>1</v>
      </c>
    </row>
    <row r="518" spans="2:8" x14ac:dyDescent="0.25">
      <c r="B518" s="21">
        <v>512</v>
      </c>
      <c r="C518" s="22">
        <v>43977</v>
      </c>
      <c r="D518" s="23" t="s">
        <v>9</v>
      </c>
      <c r="E518" s="23" t="s">
        <v>10</v>
      </c>
      <c r="F518" s="23" t="s">
        <v>11</v>
      </c>
      <c r="G518" s="23">
        <v>1100</v>
      </c>
      <c r="H518" s="24">
        <v>1</v>
      </c>
    </row>
    <row r="519" spans="2:8" x14ac:dyDescent="0.25">
      <c r="B519" s="21">
        <v>513</v>
      </c>
      <c r="C519" s="22">
        <v>43978</v>
      </c>
      <c r="D519" s="23" t="s">
        <v>9</v>
      </c>
      <c r="E519" s="23" t="s">
        <v>12</v>
      </c>
      <c r="F519" s="23" t="s">
        <v>11</v>
      </c>
      <c r="G519" s="23">
        <v>900</v>
      </c>
      <c r="H519" s="24">
        <v>1</v>
      </c>
    </row>
    <row r="520" spans="2:8" x14ac:dyDescent="0.25">
      <c r="B520" s="21">
        <v>514</v>
      </c>
      <c r="C520" s="22">
        <v>43979</v>
      </c>
      <c r="D520" s="23" t="s">
        <v>9</v>
      </c>
      <c r="E520" s="23" t="s">
        <v>14</v>
      </c>
      <c r="F520" s="23" t="s">
        <v>11</v>
      </c>
      <c r="G520" s="23">
        <v>900</v>
      </c>
      <c r="H520" s="24">
        <v>1</v>
      </c>
    </row>
    <row r="521" spans="2:8" x14ac:dyDescent="0.25">
      <c r="B521" s="21">
        <v>515</v>
      </c>
      <c r="C521" s="22">
        <v>43980</v>
      </c>
      <c r="D521" s="23" t="s">
        <v>9</v>
      </c>
      <c r="E521" s="23" t="s">
        <v>12</v>
      </c>
      <c r="F521" s="23" t="s">
        <v>11</v>
      </c>
      <c r="G521" s="23">
        <v>900</v>
      </c>
      <c r="H521" s="24">
        <v>1</v>
      </c>
    </row>
    <row r="522" spans="2:8" x14ac:dyDescent="0.25">
      <c r="B522" s="21">
        <v>516</v>
      </c>
      <c r="C522" s="22">
        <v>43981</v>
      </c>
      <c r="D522" s="23" t="s">
        <v>9</v>
      </c>
      <c r="E522" s="23" t="s">
        <v>15</v>
      </c>
      <c r="F522" s="23" t="s">
        <v>11</v>
      </c>
      <c r="G522" s="23">
        <v>1000</v>
      </c>
      <c r="H522" s="24">
        <v>1</v>
      </c>
    </row>
    <row r="523" spans="2:8" x14ac:dyDescent="0.25">
      <c r="B523" s="21">
        <v>517</v>
      </c>
      <c r="C523" s="22">
        <v>43982</v>
      </c>
      <c r="D523" s="23" t="s">
        <v>9</v>
      </c>
      <c r="E523" s="23" t="s">
        <v>21</v>
      </c>
      <c r="F523" s="23" t="s">
        <v>20</v>
      </c>
      <c r="G523" s="23">
        <v>1200</v>
      </c>
      <c r="H523" s="24">
        <v>1</v>
      </c>
    </row>
    <row r="524" spans="2:8" x14ac:dyDescent="0.25">
      <c r="B524" s="21">
        <v>518</v>
      </c>
      <c r="C524" s="22">
        <v>43983</v>
      </c>
      <c r="D524" s="23" t="s">
        <v>9</v>
      </c>
      <c r="E524" s="23" t="s">
        <v>14</v>
      </c>
      <c r="F524" s="23" t="s">
        <v>11</v>
      </c>
      <c r="G524" s="23">
        <v>900</v>
      </c>
      <c r="H524" s="24">
        <v>1</v>
      </c>
    </row>
    <row r="525" spans="2:8" x14ac:dyDescent="0.25">
      <c r="B525" s="21">
        <v>519</v>
      </c>
      <c r="C525" s="22">
        <v>43984</v>
      </c>
      <c r="D525" s="23" t="s">
        <v>9</v>
      </c>
      <c r="E525" s="23" t="s">
        <v>18</v>
      </c>
      <c r="F525" s="23" t="s">
        <v>17</v>
      </c>
      <c r="G525" s="23">
        <v>600</v>
      </c>
      <c r="H525" s="24">
        <v>1</v>
      </c>
    </row>
    <row r="526" spans="2:8" x14ac:dyDescent="0.25">
      <c r="B526" s="21">
        <v>520</v>
      </c>
      <c r="C526" s="22">
        <v>43985</v>
      </c>
      <c r="D526" s="23" t="s">
        <v>9</v>
      </c>
      <c r="E526" s="23" t="s">
        <v>24</v>
      </c>
      <c r="F526" s="23" t="s">
        <v>23</v>
      </c>
      <c r="G526" s="23">
        <v>600</v>
      </c>
      <c r="H526" s="24">
        <v>1</v>
      </c>
    </row>
    <row r="527" spans="2:8" x14ac:dyDescent="0.25">
      <c r="B527" s="21">
        <v>521</v>
      </c>
      <c r="C527" s="22">
        <v>43986</v>
      </c>
      <c r="D527" s="23" t="s">
        <v>9</v>
      </c>
      <c r="E527" s="23" t="s">
        <v>16</v>
      </c>
      <c r="F527" s="23" t="s">
        <v>17</v>
      </c>
      <c r="G527" s="23">
        <v>800</v>
      </c>
      <c r="H527" s="24">
        <v>1</v>
      </c>
    </row>
    <row r="528" spans="2:8" x14ac:dyDescent="0.25">
      <c r="B528" s="21">
        <v>522</v>
      </c>
      <c r="C528" s="22">
        <v>43987</v>
      </c>
      <c r="D528" s="23" t="s">
        <v>9</v>
      </c>
      <c r="E528" s="23" t="s">
        <v>24</v>
      </c>
      <c r="F528" s="23" t="s">
        <v>23</v>
      </c>
      <c r="G528" s="23">
        <v>600</v>
      </c>
      <c r="H528" s="24">
        <v>1</v>
      </c>
    </row>
    <row r="529" spans="2:8" x14ac:dyDescent="0.25">
      <c r="B529" s="21">
        <v>523</v>
      </c>
      <c r="C529" s="22">
        <v>43988</v>
      </c>
      <c r="D529" s="23" t="s">
        <v>9</v>
      </c>
      <c r="E529" s="23" t="s">
        <v>10</v>
      </c>
      <c r="F529" s="23" t="s">
        <v>11</v>
      </c>
      <c r="G529" s="23">
        <v>1100</v>
      </c>
      <c r="H529" s="24">
        <v>1</v>
      </c>
    </row>
    <row r="530" spans="2:8" x14ac:dyDescent="0.25">
      <c r="B530" s="21">
        <v>524</v>
      </c>
      <c r="C530" s="22">
        <v>43989</v>
      </c>
      <c r="D530" s="23" t="s">
        <v>9</v>
      </c>
      <c r="E530" s="23" t="s">
        <v>10</v>
      </c>
      <c r="F530" s="23" t="s">
        <v>11</v>
      </c>
      <c r="G530" s="23">
        <v>1100</v>
      </c>
      <c r="H530" s="24">
        <v>1</v>
      </c>
    </row>
    <row r="531" spans="2:8" x14ac:dyDescent="0.25">
      <c r="B531" s="21">
        <v>525</v>
      </c>
      <c r="C531" s="22">
        <v>43990</v>
      </c>
      <c r="D531" s="23" t="s">
        <v>9</v>
      </c>
      <c r="E531" s="23" t="s">
        <v>19</v>
      </c>
      <c r="F531" s="23" t="s">
        <v>20</v>
      </c>
      <c r="G531" s="23">
        <v>850</v>
      </c>
      <c r="H531" s="24">
        <v>1</v>
      </c>
    </row>
    <row r="532" spans="2:8" x14ac:dyDescent="0.25">
      <c r="B532" s="21">
        <v>526</v>
      </c>
      <c r="C532" s="22">
        <v>43991</v>
      </c>
      <c r="D532" s="23" t="s">
        <v>9</v>
      </c>
      <c r="E532" s="23" t="s">
        <v>10</v>
      </c>
      <c r="F532" s="23" t="s">
        <v>11</v>
      </c>
      <c r="G532" s="23">
        <v>1100</v>
      </c>
      <c r="H532" s="24">
        <v>1</v>
      </c>
    </row>
    <row r="533" spans="2:8" x14ac:dyDescent="0.25">
      <c r="B533" s="21">
        <v>527</v>
      </c>
      <c r="C533" s="22">
        <v>43992</v>
      </c>
      <c r="D533" s="23" t="s">
        <v>9</v>
      </c>
      <c r="E533" s="23" t="s">
        <v>10</v>
      </c>
      <c r="F533" s="23" t="s">
        <v>11</v>
      </c>
      <c r="G533" s="23">
        <v>1100</v>
      </c>
      <c r="H533" s="24">
        <v>2</v>
      </c>
    </row>
    <row r="534" spans="2:8" x14ac:dyDescent="0.25">
      <c r="B534" s="21">
        <v>528</v>
      </c>
      <c r="C534" s="22">
        <v>43993</v>
      </c>
      <c r="D534" s="23" t="s">
        <v>9</v>
      </c>
      <c r="E534" s="23" t="s">
        <v>24</v>
      </c>
      <c r="F534" s="23" t="s">
        <v>23</v>
      </c>
      <c r="G534" s="23">
        <v>300</v>
      </c>
      <c r="H534" s="24">
        <v>1</v>
      </c>
    </row>
    <row r="535" spans="2:8" x14ac:dyDescent="0.25">
      <c r="B535" s="21">
        <v>529</v>
      </c>
      <c r="C535" s="22">
        <v>43994</v>
      </c>
      <c r="D535" s="23" t="s">
        <v>9</v>
      </c>
      <c r="E535" s="23" t="s">
        <v>18</v>
      </c>
      <c r="F535" s="23" t="s">
        <v>17</v>
      </c>
      <c r="G535" s="23">
        <v>600</v>
      </c>
      <c r="H535" s="24">
        <v>1</v>
      </c>
    </row>
    <row r="536" spans="2:8" x14ac:dyDescent="0.25">
      <c r="B536" s="21">
        <v>530</v>
      </c>
      <c r="C536" s="22">
        <v>43995</v>
      </c>
      <c r="D536" s="23" t="s">
        <v>9</v>
      </c>
      <c r="E536" s="23" t="s">
        <v>18</v>
      </c>
      <c r="F536" s="23" t="s">
        <v>17</v>
      </c>
      <c r="G536" s="23">
        <v>600</v>
      </c>
      <c r="H536" s="24">
        <v>1</v>
      </c>
    </row>
    <row r="537" spans="2:8" x14ac:dyDescent="0.25">
      <c r="B537" s="21">
        <v>531</v>
      </c>
      <c r="C537" s="22">
        <v>43996</v>
      </c>
      <c r="D537" s="23" t="s">
        <v>9</v>
      </c>
      <c r="E537" s="23" t="s">
        <v>10</v>
      </c>
      <c r="F537" s="23" t="s">
        <v>11</v>
      </c>
      <c r="G537" s="23">
        <v>1100</v>
      </c>
      <c r="H537" s="24">
        <v>1</v>
      </c>
    </row>
    <row r="538" spans="2:8" x14ac:dyDescent="0.25">
      <c r="B538" s="21">
        <v>532</v>
      </c>
      <c r="C538" s="22">
        <v>43997</v>
      </c>
      <c r="D538" s="23" t="s">
        <v>9</v>
      </c>
      <c r="E538" s="23" t="s">
        <v>14</v>
      </c>
      <c r="F538" s="23" t="s">
        <v>11</v>
      </c>
      <c r="G538" s="23">
        <v>900</v>
      </c>
      <c r="H538" s="24">
        <v>1</v>
      </c>
    </row>
    <row r="539" spans="2:8" x14ac:dyDescent="0.25">
      <c r="B539" s="21">
        <v>533</v>
      </c>
      <c r="C539" s="22">
        <v>43998</v>
      </c>
      <c r="D539" s="23" t="s">
        <v>9</v>
      </c>
      <c r="E539" s="23" t="s">
        <v>12</v>
      </c>
      <c r="F539" s="23" t="s">
        <v>11</v>
      </c>
      <c r="G539" s="23">
        <v>900</v>
      </c>
      <c r="H539" s="24">
        <v>1</v>
      </c>
    </row>
    <row r="540" spans="2:8" x14ac:dyDescent="0.25">
      <c r="B540" s="21">
        <v>534</v>
      </c>
      <c r="C540" s="22">
        <v>43999</v>
      </c>
      <c r="D540" s="23" t="s">
        <v>9</v>
      </c>
      <c r="E540" s="23" t="s">
        <v>12</v>
      </c>
      <c r="F540" s="23" t="s">
        <v>11</v>
      </c>
      <c r="G540" s="23">
        <v>900</v>
      </c>
      <c r="H540" s="24">
        <v>1</v>
      </c>
    </row>
    <row r="541" spans="2:8" x14ac:dyDescent="0.25">
      <c r="B541" s="21">
        <v>535</v>
      </c>
      <c r="C541" s="22">
        <v>44000</v>
      </c>
      <c r="D541" s="23" t="s">
        <v>9</v>
      </c>
      <c r="E541" s="23" t="s">
        <v>10</v>
      </c>
      <c r="F541" s="23" t="s">
        <v>11</v>
      </c>
      <c r="G541" s="23">
        <v>1100</v>
      </c>
      <c r="H541" s="24">
        <v>1</v>
      </c>
    </row>
    <row r="542" spans="2:8" x14ac:dyDescent="0.25">
      <c r="B542" s="21">
        <v>536</v>
      </c>
      <c r="C542" s="22">
        <v>44001</v>
      </c>
      <c r="D542" s="23" t="s">
        <v>9</v>
      </c>
      <c r="E542" s="23" t="s">
        <v>24</v>
      </c>
      <c r="F542" s="23" t="s">
        <v>23</v>
      </c>
      <c r="G542" s="23">
        <v>600</v>
      </c>
      <c r="H542" s="24">
        <v>2</v>
      </c>
    </row>
    <row r="543" spans="2:8" x14ac:dyDescent="0.25">
      <c r="B543" s="21">
        <v>537</v>
      </c>
      <c r="C543" s="22">
        <v>44002</v>
      </c>
      <c r="D543" s="23" t="s">
        <v>9</v>
      </c>
      <c r="E543" s="23" t="s">
        <v>19</v>
      </c>
      <c r="F543" s="23" t="s">
        <v>20</v>
      </c>
      <c r="G543" s="23">
        <v>850</v>
      </c>
      <c r="H543" s="24">
        <v>1</v>
      </c>
    </row>
    <row r="544" spans="2:8" x14ac:dyDescent="0.25">
      <c r="B544" s="21">
        <v>538</v>
      </c>
      <c r="C544" s="22">
        <v>44003</v>
      </c>
      <c r="D544" s="23" t="s">
        <v>9</v>
      </c>
      <c r="E544" s="23" t="s">
        <v>12</v>
      </c>
      <c r="F544" s="23" t="s">
        <v>11</v>
      </c>
      <c r="G544" s="23">
        <v>900</v>
      </c>
      <c r="H544" s="24">
        <v>1</v>
      </c>
    </row>
    <row r="545" spans="2:8" x14ac:dyDescent="0.25">
      <c r="B545" s="21">
        <v>539</v>
      </c>
      <c r="C545" s="22">
        <v>44004</v>
      </c>
      <c r="D545" s="23" t="s">
        <v>9</v>
      </c>
      <c r="E545" s="23" t="s">
        <v>18</v>
      </c>
      <c r="F545" s="23" t="s">
        <v>17</v>
      </c>
      <c r="G545" s="23">
        <v>600</v>
      </c>
      <c r="H545" s="24">
        <v>1</v>
      </c>
    </row>
    <row r="546" spans="2:8" x14ac:dyDescent="0.25">
      <c r="B546" s="21">
        <v>540</v>
      </c>
      <c r="C546" s="22">
        <v>44005</v>
      </c>
      <c r="D546" s="23" t="s">
        <v>9</v>
      </c>
      <c r="E546" s="23" t="s">
        <v>18</v>
      </c>
      <c r="F546" s="23" t="s">
        <v>17</v>
      </c>
      <c r="G546" s="23">
        <v>600</v>
      </c>
      <c r="H546" s="24">
        <v>1</v>
      </c>
    </row>
    <row r="547" spans="2:8" x14ac:dyDescent="0.25">
      <c r="B547" s="21">
        <v>541</v>
      </c>
      <c r="C547" s="22">
        <v>44006</v>
      </c>
      <c r="D547" s="23" t="s">
        <v>9</v>
      </c>
      <c r="E547" s="23" t="s">
        <v>10</v>
      </c>
      <c r="F547" s="23" t="s">
        <v>11</v>
      </c>
      <c r="G547" s="23">
        <v>1100</v>
      </c>
      <c r="H547" s="24">
        <v>1</v>
      </c>
    </row>
    <row r="548" spans="2:8" x14ac:dyDescent="0.25">
      <c r="B548" s="21">
        <v>542</v>
      </c>
      <c r="C548" s="22">
        <v>44007</v>
      </c>
      <c r="D548" s="23" t="s">
        <v>9</v>
      </c>
      <c r="E548" s="23" t="s">
        <v>10</v>
      </c>
      <c r="F548" s="23" t="s">
        <v>11</v>
      </c>
      <c r="G548" s="23">
        <v>1100</v>
      </c>
      <c r="H548" s="24">
        <v>1</v>
      </c>
    </row>
    <row r="549" spans="2:8" x14ac:dyDescent="0.25">
      <c r="B549" s="21">
        <v>543</v>
      </c>
      <c r="C549" s="22">
        <v>44008</v>
      </c>
      <c r="D549" s="23" t="s">
        <v>9</v>
      </c>
      <c r="E549" s="23" t="s">
        <v>10</v>
      </c>
      <c r="F549" s="23" t="s">
        <v>11</v>
      </c>
      <c r="G549" s="23">
        <v>1100</v>
      </c>
      <c r="H549" s="24">
        <v>1</v>
      </c>
    </row>
    <row r="550" spans="2:8" x14ac:dyDescent="0.25">
      <c r="B550" s="21">
        <v>544</v>
      </c>
      <c r="C550" s="22">
        <v>44009</v>
      </c>
      <c r="D550" s="23" t="s">
        <v>9</v>
      </c>
      <c r="E550" s="23" t="s">
        <v>10</v>
      </c>
      <c r="F550" s="23" t="s">
        <v>11</v>
      </c>
      <c r="G550" s="23">
        <v>1100</v>
      </c>
      <c r="H550" s="24">
        <v>1</v>
      </c>
    </row>
    <row r="551" spans="2:8" x14ac:dyDescent="0.25">
      <c r="B551" s="21">
        <v>545</v>
      </c>
      <c r="C551" s="22">
        <v>44010</v>
      </c>
      <c r="D551" s="23" t="s">
        <v>9</v>
      </c>
      <c r="E551" s="23" t="s">
        <v>12</v>
      </c>
      <c r="F551" s="23" t="s">
        <v>11</v>
      </c>
      <c r="G551" s="23">
        <v>1100</v>
      </c>
      <c r="H551" s="24">
        <v>1</v>
      </c>
    </row>
    <row r="552" spans="2:8" x14ac:dyDescent="0.25">
      <c r="B552" s="21">
        <v>546</v>
      </c>
      <c r="C552" s="22">
        <v>44011</v>
      </c>
      <c r="D552" s="23" t="s">
        <v>9</v>
      </c>
      <c r="E552" s="23" t="s">
        <v>12</v>
      </c>
      <c r="F552" s="23" t="s">
        <v>11</v>
      </c>
      <c r="G552" s="23">
        <v>1100</v>
      </c>
      <c r="H552" s="24">
        <v>1</v>
      </c>
    </row>
    <row r="553" spans="2:8" x14ac:dyDescent="0.25">
      <c r="B553" s="21">
        <v>547</v>
      </c>
      <c r="C553" s="22">
        <v>44012</v>
      </c>
      <c r="D553" s="23" t="s">
        <v>9</v>
      </c>
      <c r="E553" s="23" t="s">
        <v>12</v>
      </c>
      <c r="F553" s="23" t="s">
        <v>11</v>
      </c>
      <c r="G553" s="23">
        <v>1100</v>
      </c>
      <c r="H553" s="24">
        <v>1</v>
      </c>
    </row>
    <row r="554" spans="2:8" x14ac:dyDescent="0.25">
      <c r="B554" s="21">
        <v>548</v>
      </c>
      <c r="C554" s="22">
        <v>44013</v>
      </c>
      <c r="D554" s="23" t="s">
        <v>9</v>
      </c>
      <c r="E554" s="23" t="s">
        <v>12</v>
      </c>
      <c r="F554" s="23" t="s">
        <v>11</v>
      </c>
      <c r="G554" s="23">
        <v>1100</v>
      </c>
      <c r="H554" s="24">
        <v>2</v>
      </c>
    </row>
    <row r="555" spans="2:8" x14ac:dyDescent="0.25">
      <c r="B555" s="21">
        <v>549</v>
      </c>
      <c r="C555" s="22">
        <v>44014</v>
      </c>
      <c r="D555" s="23" t="s">
        <v>9</v>
      </c>
      <c r="E555" s="23" t="s">
        <v>12</v>
      </c>
      <c r="F555" s="23" t="s">
        <v>11</v>
      </c>
      <c r="G555" s="23">
        <v>1100</v>
      </c>
      <c r="H555" s="24">
        <v>1</v>
      </c>
    </row>
    <row r="556" spans="2:8" x14ac:dyDescent="0.25">
      <c r="B556" s="21">
        <v>550</v>
      </c>
      <c r="C556" s="22">
        <v>44015</v>
      </c>
      <c r="D556" s="23" t="s">
        <v>9</v>
      </c>
      <c r="E556" s="23" t="s">
        <v>12</v>
      </c>
      <c r="F556" s="23" t="s">
        <v>11</v>
      </c>
      <c r="G556" s="23">
        <v>1100</v>
      </c>
      <c r="H556" s="24">
        <v>1</v>
      </c>
    </row>
    <row r="557" spans="2:8" x14ac:dyDescent="0.25">
      <c r="B557" s="21">
        <v>551</v>
      </c>
      <c r="C557" s="22">
        <v>44016</v>
      </c>
      <c r="D557" s="23" t="s">
        <v>9</v>
      </c>
      <c r="E557" s="23" t="s">
        <v>12</v>
      </c>
      <c r="F557" s="23" t="s">
        <v>11</v>
      </c>
      <c r="G557" s="23">
        <v>900</v>
      </c>
      <c r="H557" s="24">
        <v>1</v>
      </c>
    </row>
    <row r="558" spans="2:8" x14ac:dyDescent="0.25">
      <c r="B558" s="21">
        <v>552</v>
      </c>
      <c r="C558" s="22">
        <v>44017</v>
      </c>
      <c r="D558" s="23" t="s">
        <v>9</v>
      </c>
      <c r="E558" s="23" t="s">
        <v>12</v>
      </c>
      <c r="F558" s="23" t="s">
        <v>11</v>
      </c>
      <c r="G558" s="23">
        <v>900</v>
      </c>
      <c r="H558" s="24">
        <v>1</v>
      </c>
    </row>
    <row r="559" spans="2:8" x14ac:dyDescent="0.25">
      <c r="B559" s="21">
        <v>553</v>
      </c>
      <c r="C559" s="22">
        <v>44018</v>
      </c>
      <c r="D559" s="23" t="s">
        <v>9</v>
      </c>
      <c r="E559" s="23" t="s">
        <v>12</v>
      </c>
      <c r="F559" s="23" t="s">
        <v>11</v>
      </c>
      <c r="G559" s="23">
        <v>900</v>
      </c>
      <c r="H559" s="24">
        <v>1</v>
      </c>
    </row>
    <row r="560" spans="2:8" x14ac:dyDescent="0.25">
      <c r="B560" s="21">
        <v>554</v>
      </c>
      <c r="C560" s="22">
        <v>44019</v>
      </c>
      <c r="D560" s="23" t="s">
        <v>9</v>
      </c>
      <c r="E560" s="23" t="s">
        <v>12</v>
      </c>
      <c r="F560" s="23" t="s">
        <v>11</v>
      </c>
      <c r="G560" s="23">
        <v>900</v>
      </c>
      <c r="H560" s="24">
        <v>2</v>
      </c>
    </row>
    <row r="561" spans="2:8" x14ac:dyDescent="0.25">
      <c r="B561" s="21">
        <v>555</v>
      </c>
      <c r="C561" s="22">
        <v>44020</v>
      </c>
      <c r="D561" s="23" t="s">
        <v>9</v>
      </c>
      <c r="E561" s="23" t="s">
        <v>12</v>
      </c>
      <c r="F561" s="23" t="s">
        <v>11</v>
      </c>
      <c r="G561" s="23">
        <v>900</v>
      </c>
      <c r="H561" s="24">
        <v>1</v>
      </c>
    </row>
    <row r="562" spans="2:8" x14ac:dyDescent="0.25">
      <c r="B562" s="21">
        <v>556</v>
      </c>
      <c r="C562" s="22">
        <v>44021</v>
      </c>
      <c r="D562" s="23" t="s">
        <v>9</v>
      </c>
      <c r="E562" s="23" t="s">
        <v>12</v>
      </c>
      <c r="F562" s="23" t="s">
        <v>11</v>
      </c>
      <c r="G562" s="23">
        <v>900</v>
      </c>
      <c r="H562" s="24">
        <v>1</v>
      </c>
    </row>
    <row r="563" spans="2:8" x14ac:dyDescent="0.25">
      <c r="B563" s="21">
        <v>557</v>
      </c>
      <c r="C563" s="22">
        <v>44022</v>
      </c>
      <c r="D563" s="23" t="s">
        <v>9</v>
      </c>
      <c r="E563" s="23" t="s">
        <v>12</v>
      </c>
      <c r="F563" s="23" t="s">
        <v>11</v>
      </c>
      <c r="G563" s="23">
        <v>1100</v>
      </c>
      <c r="H563" s="24">
        <v>1</v>
      </c>
    </row>
    <row r="564" spans="2:8" x14ac:dyDescent="0.25">
      <c r="B564" s="21">
        <v>558</v>
      </c>
      <c r="C564" s="22">
        <v>44023</v>
      </c>
      <c r="D564" s="23" t="s">
        <v>13</v>
      </c>
      <c r="E564" s="23" t="s">
        <v>12</v>
      </c>
      <c r="F564" s="23" t="s">
        <v>11</v>
      </c>
      <c r="G564" s="23">
        <v>900</v>
      </c>
      <c r="H564" s="24">
        <v>1</v>
      </c>
    </row>
    <row r="565" spans="2:8" x14ac:dyDescent="0.25">
      <c r="B565" s="21">
        <v>559</v>
      </c>
      <c r="C565" s="22">
        <v>44024</v>
      </c>
      <c r="D565" s="23" t="s">
        <v>13</v>
      </c>
      <c r="E565" s="23" t="s">
        <v>12</v>
      </c>
      <c r="F565" s="23" t="s">
        <v>11</v>
      </c>
      <c r="G565" s="23">
        <v>1100</v>
      </c>
      <c r="H565" s="24">
        <v>2</v>
      </c>
    </row>
    <row r="566" spans="2:8" x14ac:dyDescent="0.25">
      <c r="B566" s="21">
        <v>560</v>
      </c>
      <c r="C566" s="22">
        <v>44025</v>
      </c>
      <c r="D566" s="23" t="s">
        <v>13</v>
      </c>
      <c r="E566" s="23" t="s">
        <v>12</v>
      </c>
      <c r="F566" s="23" t="s">
        <v>11</v>
      </c>
      <c r="G566" s="23">
        <v>1100</v>
      </c>
      <c r="H566" s="24">
        <v>1</v>
      </c>
    </row>
    <row r="567" spans="2:8" x14ac:dyDescent="0.25">
      <c r="B567" s="21">
        <v>561</v>
      </c>
      <c r="C567" s="22">
        <v>44026</v>
      </c>
      <c r="D567" s="23" t="s">
        <v>13</v>
      </c>
      <c r="E567" s="23" t="s">
        <v>12</v>
      </c>
      <c r="F567" s="23" t="s">
        <v>11</v>
      </c>
      <c r="G567" s="23">
        <v>900</v>
      </c>
      <c r="H567" s="24">
        <v>1</v>
      </c>
    </row>
    <row r="568" spans="2:8" x14ac:dyDescent="0.25">
      <c r="B568" s="21">
        <v>562</v>
      </c>
      <c r="C568" s="22">
        <v>44027</v>
      </c>
      <c r="D568" s="23" t="s">
        <v>13</v>
      </c>
      <c r="E568" s="23" t="s">
        <v>12</v>
      </c>
      <c r="F568" s="23" t="s">
        <v>11</v>
      </c>
      <c r="G568" s="23">
        <v>900</v>
      </c>
      <c r="H568" s="24">
        <v>1</v>
      </c>
    </row>
    <row r="569" spans="2:8" x14ac:dyDescent="0.25">
      <c r="B569" s="21">
        <v>563</v>
      </c>
      <c r="C569" s="22">
        <v>44028</v>
      </c>
      <c r="D569" s="23" t="s">
        <v>13</v>
      </c>
      <c r="E569" s="23" t="s">
        <v>14</v>
      </c>
      <c r="F569" s="23" t="s">
        <v>11</v>
      </c>
      <c r="G569" s="23">
        <v>900</v>
      </c>
      <c r="H569" s="24">
        <v>1</v>
      </c>
    </row>
    <row r="570" spans="2:8" x14ac:dyDescent="0.25">
      <c r="B570" s="21">
        <v>564</v>
      </c>
      <c r="C570" s="22">
        <v>44029</v>
      </c>
      <c r="D570" s="23" t="s">
        <v>13</v>
      </c>
      <c r="E570" s="23" t="s">
        <v>12</v>
      </c>
      <c r="F570" s="23" t="s">
        <v>11</v>
      </c>
      <c r="G570" s="23">
        <v>1100</v>
      </c>
      <c r="H570" s="24">
        <v>1</v>
      </c>
    </row>
    <row r="571" spans="2:8" x14ac:dyDescent="0.25">
      <c r="B571" s="21">
        <v>565</v>
      </c>
      <c r="C571" s="22">
        <v>44030</v>
      </c>
      <c r="D571" s="23" t="s">
        <v>13</v>
      </c>
      <c r="E571" s="23" t="s">
        <v>12</v>
      </c>
      <c r="F571" s="23" t="s">
        <v>11</v>
      </c>
      <c r="G571" s="23">
        <v>1100</v>
      </c>
      <c r="H571" s="24">
        <v>1</v>
      </c>
    </row>
    <row r="572" spans="2:8" x14ac:dyDescent="0.25">
      <c r="B572" s="21">
        <v>566</v>
      </c>
      <c r="C572" s="22">
        <v>44031</v>
      </c>
      <c r="D572" s="23" t="s">
        <v>13</v>
      </c>
      <c r="E572" s="23" t="s">
        <v>14</v>
      </c>
      <c r="F572" s="23" t="s">
        <v>11</v>
      </c>
      <c r="G572" s="23">
        <v>900</v>
      </c>
      <c r="H572" s="24">
        <v>1</v>
      </c>
    </row>
    <row r="573" spans="2:8" x14ac:dyDescent="0.25">
      <c r="B573" s="21">
        <v>567</v>
      </c>
      <c r="C573" s="22">
        <v>44032</v>
      </c>
      <c r="D573" s="23" t="s">
        <v>9</v>
      </c>
      <c r="E573" s="23" t="s">
        <v>12</v>
      </c>
      <c r="F573" s="23" t="s">
        <v>11</v>
      </c>
      <c r="G573" s="23">
        <v>900</v>
      </c>
      <c r="H573" s="24">
        <v>1</v>
      </c>
    </row>
    <row r="574" spans="2:8" x14ac:dyDescent="0.25">
      <c r="B574" s="21">
        <v>568</v>
      </c>
      <c r="C574" s="22">
        <v>44033</v>
      </c>
      <c r="D574" s="23" t="s">
        <v>9</v>
      </c>
      <c r="E574" s="23" t="s">
        <v>14</v>
      </c>
      <c r="F574" s="23" t="s">
        <v>11</v>
      </c>
      <c r="G574" s="23">
        <v>900</v>
      </c>
      <c r="H574" s="24">
        <v>1</v>
      </c>
    </row>
    <row r="575" spans="2:8" x14ac:dyDescent="0.25">
      <c r="B575" s="21">
        <v>569</v>
      </c>
      <c r="C575" s="22">
        <v>44034</v>
      </c>
      <c r="D575" s="23" t="s">
        <v>9</v>
      </c>
      <c r="E575" s="23" t="s">
        <v>12</v>
      </c>
      <c r="F575" s="23" t="s">
        <v>11</v>
      </c>
      <c r="G575" s="23">
        <v>1100</v>
      </c>
      <c r="H575" s="24">
        <v>1</v>
      </c>
    </row>
    <row r="576" spans="2:8" x14ac:dyDescent="0.25">
      <c r="B576" s="21">
        <v>570</v>
      </c>
      <c r="C576" s="22">
        <v>44035</v>
      </c>
      <c r="D576" s="23" t="s">
        <v>9</v>
      </c>
      <c r="E576" s="23" t="s">
        <v>12</v>
      </c>
      <c r="F576" s="23" t="s">
        <v>11</v>
      </c>
      <c r="G576" s="23">
        <v>1100</v>
      </c>
      <c r="H576" s="24">
        <v>1</v>
      </c>
    </row>
    <row r="577" spans="2:8" x14ac:dyDescent="0.25">
      <c r="B577" s="21">
        <v>571</v>
      </c>
      <c r="C577" s="22">
        <v>44036</v>
      </c>
      <c r="D577" s="23" t="s">
        <v>9</v>
      </c>
      <c r="E577" s="23" t="s">
        <v>14</v>
      </c>
      <c r="F577" s="23" t="s">
        <v>11</v>
      </c>
      <c r="G577" s="23">
        <v>900</v>
      </c>
      <c r="H577" s="24">
        <v>1</v>
      </c>
    </row>
    <row r="578" spans="2:8" x14ac:dyDescent="0.25">
      <c r="B578" s="21">
        <v>572</v>
      </c>
      <c r="C578" s="22">
        <v>44037</v>
      </c>
      <c r="D578" s="23" t="s">
        <v>9</v>
      </c>
      <c r="E578" s="23" t="s">
        <v>14</v>
      </c>
      <c r="F578" s="23" t="s">
        <v>11</v>
      </c>
      <c r="G578" s="23">
        <v>900</v>
      </c>
      <c r="H578" s="24">
        <v>1</v>
      </c>
    </row>
    <row r="579" spans="2:8" x14ac:dyDescent="0.25">
      <c r="B579" s="21">
        <v>573</v>
      </c>
      <c r="C579" s="22">
        <v>44038</v>
      </c>
      <c r="D579" s="23" t="s">
        <v>9</v>
      </c>
      <c r="E579" s="23" t="s">
        <v>14</v>
      </c>
      <c r="F579" s="23" t="s">
        <v>11</v>
      </c>
      <c r="G579" s="23">
        <v>900</v>
      </c>
      <c r="H579" s="24">
        <v>1</v>
      </c>
    </row>
    <row r="580" spans="2:8" x14ac:dyDescent="0.25">
      <c r="B580" s="21">
        <v>574</v>
      </c>
      <c r="C580" s="22">
        <v>44039</v>
      </c>
      <c r="D580" s="23" t="s">
        <v>9</v>
      </c>
      <c r="E580" s="23" t="s">
        <v>14</v>
      </c>
      <c r="F580" s="23" t="s">
        <v>11</v>
      </c>
      <c r="G580" s="23">
        <v>900</v>
      </c>
      <c r="H580" s="24">
        <v>1</v>
      </c>
    </row>
    <row r="581" spans="2:8" x14ac:dyDescent="0.25">
      <c r="B581" s="21">
        <v>575</v>
      </c>
      <c r="C581" s="22">
        <v>44040</v>
      </c>
      <c r="D581" s="23" t="s">
        <v>9</v>
      </c>
      <c r="E581" s="23" t="s">
        <v>14</v>
      </c>
      <c r="F581" s="23" t="s">
        <v>11</v>
      </c>
      <c r="G581" s="23">
        <v>900</v>
      </c>
      <c r="H581" s="24">
        <v>1</v>
      </c>
    </row>
    <row r="582" spans="2:8" x14ac:dyDescent="0.25">
      <c r="B582" s="21">
        <v>576</v>
      </c>
      <c r="C582" s="22">
        <v>44041</v>
      </c>
      <c r="D582" s="23" t="s">
        <v>9</v>
      </c>
      <c r="E582" s="23" t="s">
        <v>12</v>
      </c>
      <c r="F582" s="23" t="s">
        <v>11</v>
      </c>
      <c r="G582" s="23">
        <v>900</v>
      </c>
      <c r="H582" s="24">
        <v>1</v>
      </c>
    </row>
    <row r="583" spans="2:8" x14ac:dyDescent="0.25">
      <c r="B583" s="21">
        <v>577</v>
      </c>
      <c r="C583" s="22">
        <v>44042</v>
      </c>
      <c r="D583" s="23" t="s">
        <v>9</v>
      </c>
      <c r="E583" s="23" t="s">
        <v>12</v>
      </c>
      <c r="F583" s="23" t="s">
        <v>11</v>
      </c>
      <c r="G583" s="23">
        <v>900</v>
      </c>
      <c r="H583" s="24">
        <v>1</v>
      </c>
    </row>
    <row r="584" spans="2:8" x14ac:dyDescent="0.25">
      <c r="B584" s="21">
        <v>578</v>
      </c>
      <c r="C584" s="22">
        <v>44043</v>
      </c>
      <c r="D584" s="23" t="s">
        <v>9</v>
      </c>
      <c r="E584" s="23" t="s">
        <v>12</v>
      </c>
      <c r="F584" s="23" t="s">
        <v>11</v>
      </c>
      <c r="G584" s="23">
        <v>900</v>
      </c>
      <c r="H584" s="24">
        <v>1</v>
      </c>
    </row>
    <row r="585" spans="2:8" x14ac:dyDescent="0.25">
      <c r="B585" s="21">
        <v>579</v>
      </c>
      <c r="C585" s="22">
        <v>44044</v>
      </c>
      <c r="D585" s="23" t="s">
        <v>9</v>
      </c>
      <c r="E585" s="23" t="s">
        <v>12</v>
      </c>
      <c r="F585" s="23" t="s">
        <v>11</v>
      </c>
      <c r="G585" s="23">
        <v>1100</v>
      </c>
      <c r="H585" s="24">
        <v>1</v>
      </c>
    </row>
    <row r="586" spans="2:8" x14ac:dyDescent="0.25">
      <c r="B586" s="21">
        <v>580</v>
      </c>
      <c r="C586" s="22">
        <v>44045</v>
      </c>
      <c r="D586" s="23" t="s">
        <v>9</v>
      </c>
      <c r="E586" s="23" t="s">
        <v>12</v>
      </c>
      <c r="F586" s="23" t="s">
        <v>11</v>
      </c>
      <c r="G586" s="23">
        <v>1100</v>
      </c>
      <c r="H586" s="24">
        <v>1</v>
      </c>
    </row>
    <row r="587" spans="2:8" x14ac:dyDescent="0.25">
      <c r="B587" s="21">
        <v>581</v>
      </c>
      <c r="C587" s="22">
        <v>44046</v>
      </c>
      <c r="D587" s="23" t="s">
        <v>9</v>
      </c>
      <c r="E587" s="23" t="s">
        <v>15</v>
      </c>
      <c r="F587" s="23" t="s">
        <v>11</v>
      </c>
      <c r="G587" s="23">
        <v>1000</v>
      </c>
      <c r="H587" s="24">
        <v>1</v>
      </c>
    </row>
    <row r="588" spans="2:8" x14ac:dyDescent="0.25">
      <c r="B588" s="21">
        <v>582</v>
      </c>
      <c r="C588" s="22">
        <v>44047</v>
      </c>
      <c r="D588" s="23" t="s">
        <v>9</v>
      </c>
      <c r="E588" s="23" t="s">
        <v>15</v>
      </c>
      <c r="F588" s="23" t="s">
        <v>11</v>
      </c>
      <c r="G588" s="23">
        <v>1000</v>
      </c>
      <c r="H588" s="24">
        <v>1</v>
      </c>
    </row>
    <row r="589" spans="2:8" x14ac:dyDescent="0.25">
      <c r="B589" s="21">
        <v>583</v>
      </c>
      <c r="C589" s="22">
        <v>44048</v>
      </c>
      <c r="D589" s="23" t="s">
        <v>9</v>
      </c>
      <c r="E589" s="23" t="s">
        <v>12</v>
      </c>
      <c r="F589" s="23" t="s">
        <v>11</v>
      </c>
      <c r="G589" s="23">
        <v>1100</v>
      </c>
      <c r="H589" s="24">
        <v>1</v>
      </c>
    </row>
    <row r="590" spans="2:8" x14ac:dyDescent="0.25">
      <c r="B590" s="21">
        <v>584</v>
      </c>
      <c r="C590" s="22">
        <v>44049</v>
      </c>
      <c r="D590" s="23" t="s">
        <v>9</v>
      </c>
      <c r="E590" s="23" t="s">
        <v>15</v>
      </c>
      <c r="F590" s="23" t="s">
        <v>11</v>
      </c>
      <c r="G590" s="23">
        <v>1000</v>
      </c>
      <c r="H590" s="24">
        <v>1</v>
      </c>
    </row>
    <row r="591" spans="2:8" x14ac:dyDescent="0.25">
      <c r="B591" s="21">
        <v>585</v>
      </c>
      <c r="C591" s="22">
        <v>44050</v>
      </c>
      <c r="D591" s="23" t="s">
        <v>9</v>
      </c>
      <c r="E591" s="23" t="s">
        <v>12</v>
      </c>
      <c r="F591" s="23" t="s">
        <v>11</v>
      </c>
      <c r="G591" s="23">
        <v>900</v>
      </c>
      <c r="H591" s="24">
        <v>1</v>
      </c>
    </row>
    <row r="592" spans="2:8" x14ac:dyDescent="0.25">
      <c r="B592" s="21">
        <v>586</v>
      </c>
      <c r="C592" s="22">
        <v>44051</v>
      </c>
      <c r="D592" s="23" t="s">
        <v>9</v>
      </c>
      <c r="E592" s="23" t="s">
        <v>12</v>
      </c>
      <c r="F592" s="23" t="s">
        <v>11</v>
      </c>
      <c r="G592" s="23">
        <v>900</v>
      </c>
      <c r="H592" s="24">
        <v>2</v>
      </c>
    </row>
    <row r="593" spans="2:8" x14ac:dyDescent="0.25">
      <c r="B593" s="21">
        <v>587</v>
      </c>
      <c r="C593" s="22">
        <v>44052</v>
      </c>
      <c r="D593" s="23" t="s">
        <v>9</v>
      </c>
      <c r="E593" s="23" t="s">
        <v>12</v>
      </c>
      <c r="F593" s="23" t="s">
        <v>11</v>
      </c>
      <c r="G593" s="23">
        <v>1100</v>
      </c>
      <c r="H593" s="24">
        <v>1</v>
      </c>
    </row>
    <row r="594" spans="2:8" x14ac:dyDescent="0.25">
      <c r="B594" s="21">
        <v>588</v>
      </c>
      <c r="C594" s="22">
        <v>44053</v>
      </c>
      <c r="D594" s="23" t="s">
        <v>9</v>
      </c>
      <c r="E594" s="23" t="s">
        <v>12</v>
      </c>
      <c r="F594" s="23" t="s">
        <v>11</v>
      </c>
      <c r="G594" s="23">
        <v>900</v>
      </c>
      <c r="H594" s="24">
        <v>1</v>
      </c>
    </row>
    <row r="595" spans="2:8" x14ac:dyDescent="0.25">
      <c r="B595" s="21">
        <v>589</v>
      </c>
      <c r="C595" s="22">
        <v>44054</v>
      </c>
      <c r="D595" s="23" t="s">
        <v>9</v>
      </c>
      <c r="E595" s="23" t="s">
        <v>12</v>
      </c>
      <c r="F595" s="23" t="s">
        <v>11</v>
      </c>
      <c r="G595" s="23">
        <v>1100</v>
      </c>
      <c r="H595" s="24">
        <v>1</v>
      </c>
    </row>
    <row r="596" spans="2:8" x14ac:dyDescent="0.25">
      <c r="B596" s="21">
        <v>590</v>
      </c>
      <c r="C596" s="22">
        <v>44055</v>
      </c>
      <c r="D596" s="23" t="s">
        <v>9</v>
      </c>
      <c r="E596" s="23" t="s">
        <v>16</v>
      </c>
      <c r="F596" s="23" t="s">
        <v>17</v>
      </c>
      <c r="G596" s="23">
        <v>800</v>
      </c>
      <c r="H596" s="24">
        <v>1</v>
      </c>
    </row>
    <row r="597" spans="2:8" x14ac:dyDescent="0.25">
      <c r="B597" s="21">
        <v>591</v>
      </c>
      <c r="C597" s="22">
        <v>44056</v>
      </c>
      <c r="D597" s="23" t="s">
        <v>9</v>
      </c>
      <c r="E597" s="23" t="s">
        <v>16</v>
      </c>
      <c r="F597" s="23" t="s">
        <v>17</v>
      </c>
      <c r="G597" s="23">
        <v>800</v>
      </c>
      <c r="H597" s="24">
        <v>2</v>
      </c>
    </row>
    <row r="598" spans="2:8" x14ac:dyDescent="0.25">
      <c r="B598" s="21">
        <v>592</v>
      </c>
      <c r="C598" s="22">
        <v>44057</v>
      </c>
      <c r="D598" s="23" t="s">
        <v>9</v>
      </c>
      <c r="E598" s="23" t="s">
        <v>14</v>
      </c>
      <c r="F598" s="23" t="s">
        <v>11</v>
      </c>
      <c r="G598" s="23">
        <v>900</v>
      </c>
      <c r="H598" s="24">
        <v>1</v>
      </c>
    </row>
    <row r="599" spans="2:8" x14ac:dyDescent="0.25">
      <c r="B599" s="21">
        <v>593</v>
      </c>
      <c r="C599" s="22">
        <v>44058</v>
      </c>
      <c r="D599" s="23" t="s">
        <v>9</v>
      </c>
      <c r="E599" s="23" t="s">
        <v>12</v>
      </c>
      <c r="F599" s="23" t="s">
        <v>11</v>
      </c>
      <c r="G599" s="23">
        <v>1100</v>
      </c>
      <c r="H599" s="24">
        <v>1</v>
      </c>
    </row>
    <row r="600" spans="2:8" x14ac:dyDescent="0.25">
      <c r="B600" s="21">
        <v>594</v>
      </c>
      <c r="C600" s="22">
        <v>44059</v>
      </c>
      <c r="D600" s="23" t="s">
        <v>9</v>
      </c>
      <c r="E600" s="23" t="s">
        <v>16</v>
      </c>
      <c r="F600" s="23" t="s">
        <v>17</v>
      </c>
      <c r="G600" s="23">
        <v>800</v>
      </c>
      <c r="H600" s="24">
        <v>1</v>
      </c>
    </row>
    <row r="601" spans="2:8" x14ac:dyDescent="0.25">
      <c r="B601" s="21">
        <v>595</v>
      </c>
      <c r="C601" s="22">
        <v>44060</v>
      </c>
      <c r="D601" s="23" t="s">
        <v>9</v>
      </c>
      <c r="E601" s="23" t="s">
        <v>15</v>
      </c>
      <c r="F601" s="23" t="s">
        <v>11</v>
      </c>
      <c r="G601" s="23">
        <v>1000</v>
      </c>
      <c r="H601" s="24">
        <v>1</v>
      </c>
    </row>
    <row r="602" spans="2:8" x14ac:dyDescent="0.25">
      <c r="B602" s="21">
        <v>596</v>
      </c>
      <c r="C602" s="22">
        <v>44061</v>
      </c>
      <c r="D602" s="23" t="s">
        <v>9</v>
      </c>
      <c r="E602" s="23" t="s">
        <v>16</v>
      </c>
      <c r="F602" s="23" t="s">
        <v>17</v>
      </c>
      <c r="G602" s="23">
        <v>800</v>
      </c>
      <c r="H602" s="24">
        <v>1</v>
      </c>
    </row>
    <row r="603" spans="2:8" x14ac:dyDescent="0.25">
      <c r="B603" s="21">
        <v>597</v>
      </c>
      <c r="C603" s="22">
        <v>44062</v>
      </c>
      <c r="D603" s="23" t="s">
        <v>9</v>
      </c>
      <c r="E603" s="23" t="s">
        <v>18</v>
      </c>
      <c r="F603" s="23" t="s">
        <v>17</v>
      </c>
      <c r="G603" s="23">
        <v>600</v>
      </c>
      <c r="H603" s="24">
        <v>1</v>
      </c>
    </row>
    <row r="604" spans="2:8" x14ac:dyDescent="0.25">
      <c r="B604" s="21">
        <v>598</v>
      </c>
      <c r="C604" s="22">
        <v>44063</v>
      </c>
      <c r="D604" s="23" t="s">
        <v>9</v>
      </c>
      <c r="E604" s="23" t="s">
        <v>12</v>
      </c>
      <c r="F604" s="23" t="s">
        <v>11</v>
      </c>
      <c r="G604" s="23">
        <v>900</v>
      </c>
      <c r="H604" s="24">
        <v>1</v>
      </c>
    </row>
    <row r="605" spans="2:8" x14ac:dyDescent="0.25">
      <c r="B605" s="21">
        <v>599</v>
      </c>
      <c r="C605" s="22">
        <v>44064</v>
      </c>
      <c r="D605" s="23" t="s">
        <v>9</v>
      </c>
      <c r="E605" s="23" t="s">
        <v>12</v>
      </c>
      <c r="F605" s="23" t="s">
        <v>11</v>
      </c>
      <c r="G605" s="23">
        <v>1100</v>
      </c>
      <c r="H605" s="24">
        <v>1</v>
      </c>
    </row>
    <row r="606" spans="2:8" x14ac:dyDescent="0.25">
      <c r="B606" s="21">
        <v>600</v>
      </c>
      <c r="C606" s="22">
        <v>44065</v>
      </c>
      <c r="D606" s="23" t="s">
        <v>9</v>
      </c>
      <c r="E606" s="23" t="s">
        <v>15</v>
      </c>
      <c r="F606" s="23" t="s">
        <v>11</v>
      </c>
      <c r="G606" s="23">
        <v>1000</v>
      </c>
      <c r="H606" s="24">
        <v>1</v>
      </c>
    </row>
    <row r="607" spans="2:8" x14ac:dyDescent="0.25">
      <c r="B607" s="21">
        <v>601</v>
      </c>
      <c r="C607" s="22">
        <v>44066</v>
      </c>
      <c r="D607" s="23" t="s">
        <v>9</v>
      </c>
      <c r="E607" s="23" t="s">
        <v>12</v>
      </c>
      <c r="F607" s="23" t="s">
        <v>11</v>
      </c>
      <c r="G607" s="23">
        <v>900</v>
      </c>
      <c r="H607" s="24">
        <v>1</v>
      </c>
    </row>
    <row r="608" spans="2:8" x14ac:dyDescent="0.25">
      <c r="B608" s="21">
        <v>602</v>
      </c>
      <c r="C608" s="22">
        <v>44067</v>
      </c>
      <c r="D608" s="23" t="s">
        <v>9</v>
      </c>
      <c r="E608" s="23" t="s">
        <v>12</v>
      </c>
      <c r="F608" s="23" t="s">
        <v>11</v>
      </c>
      <c r="G608" s="23">
        <v>1100</v>
      </c>
      <c r="H608" s="24">
        <v>2</v>
      </c>
    </row>
    <row r="609" spans="2:8" x14ac:dyDescent="0.25">
      <c r="B609" s="21">
        <v>603</v>
      </c>
      <c r="C609" s="22">
        <v>44068</v>
      </c>
      <c r="D609" s="23" t="s">
        <v>9</v>
      </c>
      <c r="E609" s="23" t="s">
        <v>18</v>
      </c>
      <c r="F609" s="23" t="s">
        <v>17</v>
      </c>
      <c r="G609" s="23">
        <v>600</v>
      </c>
      <c r="H609" s="24">
        <v>1</v>
      </c>
    </row>
    <row r="610" spans="2:8" x14ac:dyDescent="0.25">
      <c r="B610" s="21">
        <v>604</v>
      </c>
      <c r="C610" s="22">
        <v>44069</v>
      </c>
      <c r="D610" s="23" t="s">
        <v>9</v>
      </c>
      <c r="E610" s="23" t="s">
        <v>18</v>
      </c>
      <c r="F610" s="23" t="s">
        <v>17</v>
      </c>
      <c r="G610" s="23">
        <v>600</v>
      </c>
      <c r="H610" s="24">
        <v>1</v>
      </c>
    </row>
    <row r="611" spans="2:8" x14ac:dyDescent="0.25">
      <c r="B611" s="21">
        <v>605</v>
      </c>
      <c r="C611" s="22">
        <v>44070</v>
      </c>
      <c r="D611" s="23" t="s">
        <v>9</v>
      </c>
      <c r="E611" s="23" t="s">
        <v>18</v>
      </c>
      <c r="F611" s="23" t="s">
        <v>17</v>
      </c>
      <c r="G611" s="23">
        <v>600</v>
      </c>
      <c r="H611" s="24">
        <v>1</v>
      </c>
    </row>
    <row r="612" spans="2:8" x14ac:dyDescent="0.25">
      <c r="B612" s="21">
        <v>606</v>
      </c>
      <c r="C612" s="22">
        <v>44071</v>
      </c>
      <c r="D612" s="23" t="s">
        <v>9</v>
      </c>
      <c r="E612" s="23" t="s">
        <v>12</v>
      </c>
      <c r="F612" s="23" t="s">
        <v>11</v>
      </c>
      <c r="G612" s="23">
        <v>900</v>
      </c>
      <c r="H612" s="24">
        <v>1</v>
      </c>
    </row>
    <row r="613" spans="2:8" x14ac:dyDescent="0.25">
      <c r="B613" s="21">
        <v>607</v>
      </c>
      <c r="C613" s="22">
        <v>44072</v>
      </c>
      <c r="D613" s="23" t="s">
        <v>9</v>
      </c>
      <c r="E613" s="23" t="s">
        <v>18</v>
      </c>
      <c r="F613" s="23" t="s">
        <v>17</v>
      </c>
      <c r="G613" s="23">
        <v>600</v>
      </c>
      <c r="H613" s="24">
        <v>1</v>
      </c>
    </row>
    <row r="614" spans="2:8" x14ac:dyDescent="0.25">
      <c r="B614" s="21">
        <v>608</v>
      </c>
      <c r="C614" s="22">
        <v>44073</v>
      </c>
      <c r="D614" s="23" t="s">
        <v>9</v>
      </c>
      <c r="E614" s="23" t="s">
        <v>18</v>
      </c>
      <c r="F614" s="23" t="s">
        <v>17</v>
      </c>
      <c r="G614" s="23">
        <v>600</v>
      </c>
      <c r="H614" s="24">
        <v>1</v>
      </c>
    </row>
    <row r="615" spans="2:8" x14ac:dyDescent="0.25">
      <c r="B615" s="21">
        <v>609</v>
      </c>
      <c r="C615" s="22">
        <v>44074</v>
      </c>
      <c r="D615" s="23" t="s">
        <v>9</v>
      </c>
      <c r="E615" s="23" t="s">
        <v>12</v>
      </c>
      <c r="F615" s="23" t="s">
        <v>11</v>
      </c>
      <c r="G615" s="23">
        <v>1100</v>
      </c>
      <c r="H615" s="24">
        <v>1</v>
      </c>
    </row>
    <row r="616" spans="2:8" x14ac:dyDescent="0.25">
      <c r="B616" s="21">
        <v>610</v>
      </c>
      <c r="C616" s="22">
        <v>44075</v>
      </c>
      <c r="D616" s="23" t="s">
        <v>9</v>
      </c>
      <c r="E616" s="23" t="s">
        <v>14</v>
      </c>
      <c r="F616" s="23" t="s">
        <v>11</v>
      </c>
      <c r="G616" s="23">
        <v>900</v>
      </c>
      <c r="H616" s="24">
        <v>3</v>
      </c>
    </row>
    <row r="617" spans="2:8" x14ac:dyDescent="0.25">
      <c r="B617" s="21">
        <v>611</v>
      </c>
      <c r="C617" s="22">
        <v>44076</v>
      </c>
      <c r="D617" s="23" t="s">
        <v>9</v>
      </c>
      <c r="E617" s="23" t="s">
        <v>12</v>
      </c>
      <c r="F617" s="23" t="s">
        <v>11</v>
      </c>
      <c r="G617" s="23">
        <v>1100</v>
      </c>
      <c r="H617" s="24">
        <v>2</v>
      </c>
    </row>
    <row r="618" spans="2:8" x14ac:dyDescent="0.25">
      <c r="B618" s="21">
        <v>612</v>
      </c>
      <c r="C618" s="22">
        <v>44077</v>
      </c>
      <c r="D618" s="23" t="s">
        <v>9</v>
      </c>
      <c r="E618" s="23" t="s">
        <v>12</v>
      </c>
      <c r="F618" s="23" t="s">
        <v>11</v>
      </c>
      <c r="G618" s="23">
        <v>1100</v>
      </c>
      <c r="H618" s="24">
        <v>1</v>
      </c>
    </row>
    <row r="619" spans="2:8" x14ac:dyDescent="0.25">
      <c r="B619" s="21">
        <v>613</v>
      </c>
      <c r="C619" s="22">
        <v>44078</v>
      </c>
      <c r="D619" s="23" t="s">
        <v>9</v>
      </c>
      <c r="E619" s="23" t="s">
        <v>18</v>
      </c>
      <c r="F619" s="23" t="s">
        <v>17</v>
      </c>
      <c r="G619" s="23">
        <v>600</v>
      </c>
      <c r="H619" s="24">
        <v>1</v>
      </c>
    </row>
    <row r="620" spans="2:8" x14ac:dyDescent="0.25">
      <c r="B620" s="21">
        <v>614</v>
      </c>
      <c r="C620" s="22">
        <v>44079</v>
      </c>
      <c r="D620" s="23" t="s">
        <v>9</v>
      </c>
      <c r="E620" s="23" t="s">
        <v>12</v>
      </c>
      <c r="F620" s="23" t="s">
        <v>11</v>
      </c>
      <c r="G620" s="23">
        <v>900</v>
      </c>
      <c r="H620" s="24">
        <v>1</v>
      </c>
    </row>
    <row r="621" spans="2:8" x14ac:dyDescent="0.25">
      <c r="B621" s="21">
        <v>615</v>
      </c>
      <c r="C621" s="22">
        <v>44080</v>
      </c>
      <c r="D621" s="23" t="s">
        <v>9</v>
      </c>
      <c r="E621" s="23" t="s">
        <v>18</v>
      </c>
      <c r="F621" s="23" t="s">
        <v>17</v>
      </c>
      <c r="G621" s="23">
        <v>600</v>
      </c>
      <c r="H621" s="24">
        <v>1</v>
      </c>
    </row>
    <row r="622" spans="2:8" x14ac:dyDescent="0.25">
      <c r="B622" s="21">
        <v>616</v>
      </c>
      <c r="C622" s="22">
        <v>44081</v>
      </c>
      <c r="D622" s="23" t="s">
        <v>9</v>
      </c>
      <c r="E622" s="23" t="s">
        <v>18</v>
      </c>
      <c r="F622" s="23" t="s">
        <v>17</v>
      </c>
      <c r="G622" s="23">
        <v>600</v>
      </c>
      <c r="H622" s="24">
        <v>1</v>
      </c>
    </row>
    <row r="623" spans="2:8" x14ac:dyDescent="0.25">
      <c r="B623" s="21">
        <v>617</v>
      </c>
      <c r="C623" s="22">
        <v>44082</v>
      </c>
      <c r="D623" s="23" t="s">
        <v>9</v>
      </c>
      <c r="E623" s="23" t="s">
        <v>12</v>
      </c>
      <c r="F623" s="23" t="s">
        <v>11</v>
      </c>
      <c r="G623" s="23">
        <v>900</v>
      </c>
      <c r="H623" s="24">
        <v>3</v>
      </c>
    </row>
    <row r="624" spans="2:8" x14ac:dyDescent="0.25">
      <c r="B624" s="21">
        <v>618</v>
      </c>
      <c r="C624" s="22">
        <v>44083</v>
      </c>
      <c r="D624" s="23" t="s">
        <v>9</v>
      </c>
      <c r="E624" s="23" t="s">
        <v>18</v>
      </c>
      <c r="F624" s="23" t="s">
        <v>17</v>
      </c>
      <c r="G624" s="23">
        <v>600</v>
      </c>
      <c r="H624" s="24">
        <v>1</v>
      </c>
    </row>
    <row r="625" spans="2:8" x14ac:dyDescent="0.25">
      <c r="B625" s="21">
        <v>619</v>
      </c>
      <c r="C625" s="22">
        <v>44084</v>
      </c>
      <c r="D625" s="23" t="s">
        <v>9</v>
      </c>
      <c r="E625" s="23" t="s">
        <v>16</v>
      </c>
      <c r="F625" s="23" t="s">
        <v>17</v>
      </c>
      <c r="G625" s="23">
        <v>800</v>
      </c>
      <c r="H625" s="24">
        <v>1</v>
      </c>
    </row>
    <row r="626" spans="2:8" x14ac:dyDescent="0.25">
      <c r="B626" s="21">
        <v>620</v>
      </c>
      <c r="C626" s="22">
        <v>44085</v>
      </c>
      <c r="D626" s="23" t="s">
        <v>9</v>
      </c>
      <c r="E626" s="23" t="s">
        <v>18</v>
      </c>
      <c r="F626" s="23" t="s">
        <v>17</v>
      </c>
      <c r="G626" s="23">
        <v>600</v>
      </c>
      <c r="H626" s="24">
        <v>1</v>
      </c>
    </row>
    <row r="627" spans="2:8" x14ac:dyDescent="0.25">
      <c r="B627" s="21">
        <v>621</v>
      </c>
      <c r="C627" s="22">
        <v>44086</v>
      </c>
      <c r="D627" s="23" t="s">
        <v>9</v>
      </c>
      <c r="E627" s="23" t="s">
        <v>12</v>
      </c>
      <c r="F627" s="23" t="s">
        <v>11</v>
      </c>
      <c r="G627" s="23">
        <v>1100</v>
      </c>
      <c r="H627" s="24">
        <v>1</v>
      </c>
    </row>
    <row r="628" spans="2:8" x14ac:dyDescent="0.25">
      <c r="B628" s="21">
        <v>622</v>
      </c>
      <c r="C628" s="22">
        <v>44087</v>
      </c>
      <c r="D628" s="23" t="s">
        <v>9</v>
      </c>
      <c r="E628" s="23" t="s">
        <v>14</v>
      </c>
      <c r="F628" s="23" t="s">
        <v>11</v>
      </c>
      <c r="G628" s="23">
        <v>900</v>
      </c>
      <c r="H628" s="24">
        <v>1</v>
      </c>
    </row>
    <row r="629" spans="2:8" x14ac:dyDescent="0.25">
      <c r="B629" s="21">
        <v>623</v>
      </c>
      <c r="C629" s="22">
        <v>44088</v>
      </c>
      <c r="D629" s="23" t="s">
        <v>9</v>
      </c>
      <c r="E629" s="23" t="s">
        <v>12</v>
      </c>
      <c r="F629" s="23" t="s">
        <v>11</v>
      </c>
      <c r="G629" s="23">
        <v>1100</v>
      </c>
      <c r="H629" s="24">
        <v>1</v>
      </c>
    </row>
    <row r="630" spans="2:8" x14ac:dyDescent="0.25">
      <c r="B630" s="21">
        <v>624</v>
      </c>
      <c r="C630" s="22">
        <v>44089</v>
      </c>
      <c r="D630" s="23" t="s">
        <v>9</v>
      </c>
      <c r="E630" s="23" t="s">
        <v>12</v>
      </c>
      <c r="F630" s="23" t="s">
        <v>11</v>
      </c>
      <c r="G630" s="23">
        <v>1100</v>
      </c>
      <c r="H630" s="24">
        <v>1</v>
      </c>
    </row>
    <row r="631" spans="2:8" x14ac:dyDescent="0.25">
      <c r="B631" s="21">
        <v>625</v>
      </c>
      <c r="C631" s="22">
        <v>44090</v>
      </c>
      <c r="D631" s="23" t="s">
        <v>9</v>
      </c>
      <c r="E631" s="23" t="s">
        <v>12</v>
      </c>
      <c r="F631" s="23" t="s">
        <v>11</v>
      </c>
      <c r="G631" s="23">
        <v>1100</v>
      </c>
      <c r="H631" s="24">
        <v>1</v>
      </c>
    </row>
    <row r="632" spans="2:8" x14ac:dyDescent="0.25">
      <c r="B632" s="21">
        <v>626</v>
      </c>
      <c r="C632" s="22">
        <v>44091</v>
      </c>
      <c r="D632" s="23" t="s">
        <v>9</v>
      </c>
      <c r="E632" s="23" t="s">
        <v>15</v>
      </c>
      <c r="F632" s="23" t="s">
        <v>11</v>
      </c>
      <c r="G632" s="23">
        <v>1000</v>
      </c>
      <c r="H632" s="24">
        <v>1</v>
      </c>
    </row>
    <row r="633" spans="2:8" x14ac:dyDescent="0.25">
      <c r="B633" s="21">
        <v>627</v>
      </c>
      <c r="C633" s="22">
        <v>44092</v>
      </c>
      <c r="D633" s="23" t="s">
        <v>9</v>
      </c>
      <c r="E633" s="23" t="s">
        <v>18</v>
      </c>
      <c r="F633" s="23" t="s">
        <v>17</v>
      </c>
      <c r="G633" s="23">
        <v>600</v>
      </c>
      <c r="H633" s="24">
        <v>1</v>
      </c>
    </row>
    <row r="634" spans="2:8" x14ac:dyDescent="0.25">
      <c r="B634" s="21">
        <v>628</v>
      </c>
      <c r="C634" s="22">
        <v>44093</v>
      </c>
      <c r="D634" s="23" t="s">
        <v>9</v>
      </c>
      <c r="E634" s="23" t="s">
        <v>16</v>
      </c>
      <c r="F634" s="23" t="s">
        <v>17</v>
      </c>
      <c r="G634" s="23">
        <v>800</v>
      </c>
      <c r="H634" s="24">
        <v>1</v>
      </c>
    </row>
    <row r="635" spans="2:8" x14ac:dyDescent="0.25">
      <c r="B635" s="21">
        <v>629</v>
      </c>
      <c r="C635" s="22">
        <v>44094</v>
      </c>
      <c r="D635" s="23" t="s">
        <v>9</v>
      </c>
      <c r="E635" s="23" t="s">
        <v>12</v>
      </c>
      <c r="F635" s="23" t="s">
        <v>11</v>
      </c>
      <c r="G635" s="23">
        <v>1100</v>
      </c>
      <c r="H635" s="24">
        <v>1</v>
      </c>
    </row>
    <row r="636" spans="2:8" x14ac:dyDescent="0.25">
      <c r="B636" s="21">
        <v>630</v>
      </c>
      <c r="C636" s="22">
        <v>44095</v>
      </c>
      <c r="D636" s="23" t="s">
        <v>9</v>
      </c>
      <c r="E636" s="23" t="s">
        <v>18</v>
      </c>
      <c r="F636" s="23" t="s">
        <v>17</v>
      </c>
      <c r="G636" s="23">
        <v>600</v>
      </c>
      <c r="H636" s="24">
        <v>1</v>
      </c>
    </row>
    <row r="637" spans="2:8" x14ac:dyDescent="0.25">
      <c r="B637" s="21">
        <v>631</v>
      </c>
      <c r="C637" s="22">
        <v>44096</v>
      </c>
      <c r="D637" s="23" t="s">
        <v>9</v>
      </c>
      <c r="E637" s="23" t="s">
        <v>19</v>
      </c>
      <c r="F637" s="23" t="s">
        <v>20</v>
      </c>
      <c r="G637" s="23">
        <v>850</v>
      </c>
      <c r="H637" s="24">
        <v>1</v>
      </c>
    </row>
    <row r="638" spans="2:8" x14ac:dyDescent="0.25">
      <c r="B638" s="21">
        <v>632</v>
      </c>
      <c r="C638" s="22">
        <v>44097</v>
      </c>
      <c r="D638" s="23" t="s">
        <v>9</v>
      </c>
      <c r="E638" s="23" t="s">
        <v>14</v>
      </c>
      <c r="F638" s="23" t="s">
        <v>11</v>
      </c>
      <c r="G638" s="23">
        <v>900</v>
      </c>
      <c r="H638" s="24">
        <v>1</v>
      </c>
    </row>
    <row r="639" spans="2:8" x14ac:dyDescent="0.25">
      <c r="B639" s="21">
        <v>633</v>
      </c>
      <c r="C639" s="22">
        <v>44098</v>
      </c>
      <c r="D639" s="23" t="s">
        <v>9</v>
      </c>
      <c r="E639" s="23" t="s">
        <v>15</v>
      </c>
      <c r="F639" s="23" t="s">
        <v>11</v>
      </c>
      <c r="G639" s="23">
        <v>1000</v>
      </c>
      <c r="H639" s="24">
        <v>1</v>
      </c>
    </row>
    <row r="640" spans="2:8" x14ac:dyDescent="0.25">
      <c r="B640" s="21">
        <v>634</v>
      </c>
      <c r="C640" s="22">
        <v>44099</v>
      </c>
      <c r="D640" s="23" t="s">
        <v>9</v>
      </c>
      <c r="E640" s="23" t="s">
        <v>19</v>
      </c>
      <c r="F640" s="23" t="s">
        <v>20</v>
      </c>
      <c r="G640" s="23">
        <v>850</v>
      </c>
      <c r="H640" s="24">
        <v>1</v>
      </c>
    </row>
    <row r="641" spans="2:8" x14ac:dyDescent="0.25">
      <c r="B641" s="21">
        <v>635</v>
      </c>
      <c r="C641" s="22">
        <v>44100</v>
      </c>
      <c r="D641" s="23" t="s">
        <v>9</v>
      </c>
      <c r="E641" s="23" t="s">
        <v>19</v>
      </c>
      <c r="F641" s="23" t="s">
        <v>20</v>
      </c>
      <c r="G641" s="23">
        <v>850</v>
      </c>
      <c r="H641" s="24">
        <v>1</v>
      </c>
    </row>
    <row r="642" spans="2:8" x14ac:dyDescent="0.25">
      <c r="B642" s="21">
        <v>636</v>
      </c>
      <c r="C642" s="22">
        <v>44101</v>
      </c>
      <c r="D642" s="23" t="s">
        <v>9</v>
      </c>
      <c r="E642" s="23" t="s">
        <v>15</v>
      </c>
      <c r="F642" s="23" t="s">
        <v>11</v>
      </c>
      <c r="G642" s="23">
        <v>1000</v>
      </c>
      <c r="H642" s="24">
        <v>1</v>
      </c>
    </row>
    <row r="643" spans="2:8" x14ac:dyDescent="0.25">
      <c r="B643" s="21">
        <v>637</v>
      </c>
      <c r="C643" s="22">
        <v>44102</v>
      </c>
      <c r="D643" s="23" t="s">
        <v>9</v>
      </c>
      <c r="E643" s="23" t="s">
        <v>16</v>
      </c>
      <c r="F643" s="23" t="s">
        <v>17</v>
      </c>
      <c r="G643" s="23">
        <v>800</v>
      </c>
      <c r="H643" s="24">
        <v>1</v>
      </c>
    </row>
    <row r="644" spans="2:8" x14ac:dyDescent="0.25">
      <c r="B644" s="21">
        <v>638</v>
      </c>
      <c r="C644" s="22">
        <v>44103</v>
      </c>
      <c r="D644" s="23" t="s">
        <v>9</v>
      </c>
      <c r="E644" s="23" t="s">
        <v>12</v>
      </c>
      <c r="F644" s="23" t="s">
        <v>11</v>
      </c>
      <c r="G644" s="23">
        <v>1100</v>
      </c>
      <c r="H644" s="24">
        <v>1</v>
      </c>
    </row>
    <row r="645" spans="2:8" x14ac:dyDescent="0.25">
      <c r="B645" s="21">
        <v>639</v>
      </c>
      <c r="C645" s="22">
        <v>44104</v>
      </c>
      <c r="D645" s="23" t="s">
        <v>9</v>
      </c>
      <c r="E645" s="23" t="s">
        <v>12</v>
      </c>
      <c r="F645" s="23" t="s">
        <v>11</v>
      </c>
      <c r="G645" s="23">
        <v>1100</v>
      </c>
      <c r="H645" s="24">
        <v>1</v>
      </c>
    </row>
    <row r="646" spans="2:8" x14ac:dyDescent="0.25">
      <c r="B646" s="21">
        <v>640</v>
      </c>
      <c r="C646" s="22">
        <v>44105</v>
      </c>
      <c r="D646" s="23" t="s">
        <v>9</v>
      </c>
      <c r="E646" s="23" t="s">
        <v>12</v>
      </c>
      <c r="F646" s="23" t="s">
        <v>11</v>
      </c>
      <c r="G646" s="23">
        <v>1100</v>
      </c>
      <c r="H646" s="24">
        <v>1</v>
      </c>
    </row>
    <row r="647" spans="2:8" x14ac:dyDescent="0.25">
      <c r="B647" s="21">
        <v>641</v>
      </c>
      <c r="C647" s="22">
        <v>44106</v>
      </c>
      <c r="D647" s="23" t="s">
        <v>9</v>
      </c>
      <c r="E647" s="23" t="s">
        <v>12</v>
      </c>
      <c r="F647" s="23" t="s">
        <v>11</v>
      </c>
      <c r="G647" s="23">
        <v>1100</v>
      </c>
      <c r="H647" s="24">
        <v>1</v>
      </c>
    </row>
    <row r="648" spans="2:8" x14ac:dyDescent="0.25">
      <c r="B648" s="21">
        <v>642</v>
      </c>
      <c r="C648" s="22">
        <v>44107</v>
      </c>
      <c r="D648" s="23" t="s">
        <v>9</v>
      </c>
      <c r="E648" s="23" t="s">
        <v>12</v>
      </c>
      <c r="F648" s="23" t="s">
        <v>11</v>
      </c>
      <c r="G648" s="23">
        <v>1100</v>
      </c>
      <c r="H648" s="24">
        <v>1</v>
      </c>
    </row>
    <row r="649" spans="2:8" x14ac:dyDescent="0.25">
      <c r="B649" s="21">
        <v>643</v>
      </c>
      <c r="C649" s="22">
        <v>44108</v>
      </c>
      <c r="D649" s="23" t="s">
        <v>9</v>
      </c>
      <c r="E649" s="23" t="s">
        <v>12</v>
      </c>
      <c r="F649" s="23" t="s">
        <v>11</v>
      </c>
      <c r="G649" s="23">
        <v>1100</v>
      </c>
      <c r="H649" s="24">
        <v>1</v>
      </c>
    </row>
    <row r="650" spans="2:8" x14ac:dyDescent="0.25">
      <c r="B650" s="21">
        <v>644</v>
      </c>
      <c r="C650" s="22">
        <v>44109</v>
      </c>
      <c r="D650" s="23" t="s">
        <v>9</v>
      </c>
      <c r="E650" s="23" t="s">
        <v>12</v>
      </c>
      <c r="F650" s="23" t="s">
        <v>11</v>
      </c>
      <c r="G650" s="23">
        <v>1100</v>
      </c>
      <c r="H650" s="24">
        <v>2</v>
      </c>
    </row>
    <row r="651" spans="2:8" x14ac:dyDescent="0.25">
      <c r="B651" s="21">
        <v>645</v>
      </c>
      <c r="C651" s="22">
        <v>44110</v>
      </c>
      <c r="D651" s="23" t="s">
        <v>9</v>
      </c>
      <c r="E651" s="23" t="s">
        <v>12</v>
      </c>
      <c r="F651" s="23" t="s">
        <v>11</v>
      </c>
      <c r="G651" s="23">
        <v>1100</v>
      </c>
      <c r="H651" s="24">
        <v>1</v>
      </c>
    </row>
    <row r="652" spans="2:8" x14ac:dyDescent="0.25">
      <c r="B652" s="21">
        <v>646</v>
      </c>
      <c r="C652" s="22">
        <v>44111</v>
      </c>
      <c r="D652" s="23" t="s">
        <v>9</v>
      </c>
      <c r="E652" s="23" t="s">
        <v>12</v>
      </c>
      <c r="F652" s="23" t="s">
        <v>11</v>
      </c>
      <c r="G652" s="23">
        <v>1100</v>
      </c>
      <c r="H652" s="24">
        <v>1</v>
      </c>
    </row>
    <row r="653" spans="2:8" x14ac:dyDescent="0.25">
      <c r="B653" s="21">
        <v>647</v>
      </c>
      <c r="C653" s="22">
        <v>44112</v>
      </c>
      <c r="D653" s="23" t="s">
        <v>9</v>
      </c>
      <c r="E653" s="23" t="s">
        <v>12</v>
      </c>
      <c r="F653" s="23" t="s">
        <v>11</v>
      </c>
      <c r="G653" s="23">
        <v>900</v>
      </c>
      <c r="H653" s="24">
        <v>1</v>
      </c>
    </row>
    <row r="654" spans="2:8" x14ac:dyDescent="0.25">
      <c r="B654" s="21">
        <v>648</v>
      </c>
      <c r="C654" s="22">
        <v>44113</v>
      </c>
      <c r="D654" s="23" t="s">
        <v>9</v>
      </c>
      <c r="E654" s="23" t="s">
        <v>12</v>
      </c>
      <c r="F654" s="23" t="s">
        <v>11</v>
      </c>
      <c r="G654" s="23">
        <v>900</v>
      </c>
      <c r="H654" s="24">
        <v>1</v>
      </c>
    </row>
    <row r="655" spans="2:8" x14ac:dyDescent="0.25">
      <c r="B655" s="21">
        <v>649</v>
      </c>
      <c r="C655" s="22">
        <v>44114</v>
      </c>
      <c r="D655" s="23" t="s">
        <v>9</v>
      </c>
      <c r="E655" s="23" t="s">
        <v>12</v>
      </c>
      <c r="F655" s="23" t="s">
        <v>11</v>
      </c>
      <c r="G655" s="23">
        <v>900</v>
      </c>
      <c r="H655" s="24">
        <v>1</v>
      </c>
    </row>
    <row r="656" spans="2:8" x14ac:dyDescent="0.25">
      <c r="B656" s="21">
        <v>650</v>
      </c>
      <c r="C656" s="22">
        <v>44115</v>
      </c>
      <c r="D656" s="23" t="s">
        <v>9</v>
      </c>
      <c r="E656" s="23" t="s">
        <v>12</v>
      </c>
      <c r="F656" s="23" t="s">
        <v>11</v>
      </c>
      <c r="G656" s="23">
        <v>900</v>
      </c>
      <c r="H656" s="24">
        <v>2</v>
      </c>
    </row>
    <row r="657" spans="2:8" x14ac:dyDescent="0.25">
      <c r="B657" s="21">
        <v>651</v>
      </c>
      <c r="C657" s="22">
        <v>44116</v>
      </c>
      <c r="D657" s="23" t="s">
        <v>9</v>
      </c>
      <c r="E657" s="23" t="s">
        <v>12</v>
      </c>
      <c r="F657" s="23" t="s">
        <v>11</v>
      </c>
      <c r="G657" s="23">
        <v>900</v>
      </c>
      <c r="H657" s="24">
        <v>1</v>
      </c>
    </row>
    <row r="658" spans="2:8" x14ac:dyDescent="0.25">
      <c r="B658" s="21">
        <v>652</v>
      </c>
      <c r="C658" s="22">
        <v>44117</v>
      </c>
      <c r="D658" s="23" t="s">
        <v>9</v>
      </c>
      <c r="E658" s="23" t="s">
        <v>12</v>
      </c>
      <c r="F658" s="23" t="s">
        <v>11</v>
      </c>
      <c r="G658" s="23">
        <v>900</v>
      </c>
      <c r="H658" s="24">
        <v>1</v>
      </c>
    </row>
    <row r="659" spans="2:8" x14ac:dyDescent="0.25">
      <c r="B659" s="21">
        <v>653</v>
      </c>
      <c r="C659" s="22">
        <v>44118</v>
      </c>
      <c r="D659" s="23" t="s">
        <v>9</v>
      </c>
      <c r="E659" s="23" t="s">
        <v>12</v>
      </c>
      <c r="F659" s="23" t="s">
        <v>11</v>
      </c>
      <c r="G659" s="23">
        <v>1100</v>
      </c>
      <c r="H659" s="24">
        <v>1</v>
      </c>
    </row>
    <row r="660" spans="2:8" x14ac:dyDescent="0.25">
      <c r="B660" s="21">
        <v>654</v>
      </c>
      <c r="C660" s="22">
        <v>44119</v>
      </c>
      <c r="D660" s="23" t="s">
        <v>9</v>
      </c>
      <c r="E660" s="23" t="s">
        <v>12</v>
      </c>
      <c r="F660" s="23" t="s">
        <v>11</v>
      </c>
      <c r="G660" s="23">
        <v>900</v>
      </c>
      <c r="H660" s="24">
        <v>1</v>
      </c>
    </row>
    <row r="661" spans="2:8" x14ac:dyDescent="0.25">
      <c r="B661" s="21">
        <v>655</v>
      </c>
      <c r="C661" s="22">
        <v>44120</v>
      </c>
      <c r="D661" s="23" t="s">
        <v>9</v>
      </c>
      <c r="E661" s="23" t="s">
        <v>12</v>
      </c>
      <c r="F661" s="23" t="s">
        <v>11</v>
      </c>
      <c r="G661" s="23">
        <v>1100</v>
      </c>
      <c r="H661" s="24">
        <v>2</v>
      </c>
    </row>
    <row r="662" spans="2:8" x14ac:dyDescent="0.25">
      <c r="B662" s="21">
        <v>656</v>
      </c>
      <c r="C662" s="22">
        <v>44121</v>
      </c>
      <c r="D662" s="23" t="s">
        <v>9</v>
      </c>
      <c r="E662" s="23" t="s">
        <v>12</v>
      </c>
      <c r="F662" s="23" t="s">
        <v>11</v>
      </c>
      <c r="G662" s="23">
        <v>1100</v>
      </c>
      <c r="H662" s="24">
        <v>1</v>
      </c>
    </row>
    <row r="663" spans="2:8" x14ac:dyDescent="0.25">
      <c r="B663" s="21">
        <v>657</v>
      </c>
      <c r="C663" s="22">
        <v>44122</v>
      </c>
      <c r="D663" s="23" t="s">
        <v>9</v>
      </c>
      <c r="E663" s="23" t="s">
        <v>12</v>
      </c>
      <c r="F663" s="23" t="s">
        <v>11</v>
      </c>
      <c r="G663" s="23">
        <v>900</v>
      </c>
      <c r="H663" s="24">
        <v>1</v>
      </c>
    </row>
    <row r="664" spans="2:8" x14ac:dyDescent="0.25">
      <c r="B664" s="21">
        <v>658</v>
      </c>
      <c r="C664" s="22">
        <v>44123</v>
      </c>
      <c r="D664" s="23" t="s">
        <v>9</v>
      </c>
      <c r="E664" s="23" t="s">
        <v>12</v>
      </c>
      <c r="F664" s="23" t="s">
        <v>11</v>
      </c>
      <c r="G664" s="23">
        <v>900</v>
      </c>
      <c r="H664" s="24">
        <v>1</v>
      </c>
    </row>
    <row r="665" spans="2:8" x14ac:dyDescent="0.25">
      <c r="B665" s="21">
        <v>659</v>
      </c>
      <c r="C665" s="22">
        <v>44124</v>
      </c>
      <c r="D665" s="23" t="s">
        <v>9</v>
      </c>
      <c r="E665" s="23" t="s">
        <v>14</v>
      </c>
      <c r="F665" s="23" t="s">
        <v>11</v>
      </c>
      <c r="G665" s="23">
        <v>900</v>
      </c>
      <c r="H665" s="24">
        <v>1</v>
      </c>
    </row>
    <row r="666" spans="2:8" x14ac:dyDescent="0.25">
      <c r="B666" s="21">
        <v>660</v>
      </c>
      <c r="C666" s="22">
        <v>44125</v>
      </c>
      <c r="D666" s="23" t="s">
        <v>9</v>
      </c>
      <c r="E666" s="23" t="s">
        <v>12</v>
      </c>
      <c r="F666" s="23" t="s">
        <v>11</v>
      </c>
      <c r="G666" s="23">
        <v>1100</v>
      </c>
      <c r="H666" s="24">
        <v>1</v>
      </c>
    </row>
    <row r="667" spans="2:8" x14ac:dyDescent="0.25">
      <c r="B667" s="21">
        <v>661</v>
      </c>
      <c r="C667" s="22">
        <v>44126</v>
      </c>
      <c r="D667" s="23" t="s">
        <v>9</v>
      </c>
      <c r="E667" s="23" t="s">
        <v>12</v>
      </c>
      <c r="F667" s="23" t="s">
        <v>11</v>
      </c>
      <c r="G667" s="23">
        <v>1100</v>
      </c>
      <c r="H667" s="24">
        <v>1</v>
      </c>
    </row>
    <row r="668" spans="2:8" x14ac:dyDescent="0.25">
      <c r="B668" s="21">
        <v>662</v>
      </c>
      <c r="C668" s="22">
        <v>44127</v>
      </c>
      <c r="D668" s="23" t="s">
        <v>9</v>
      </c>
      <c r="E668" s="23" t="s">
        <v>14</v>
      </c>
      <c r="F668" s="23" t="s">
        <v>11</v>
      </c>
      <c r="G668" s="23">
        <v>900</v>
      </c>
      <c r="H668" s="24">
        <v>1</v>
      </c>
    </row>
    <row r="669" spans="2:8" x14ac:dyDescent="0.25">
      <c r="B669" s="21">
        <v>663</v>
      </c>
      <c r="C669" s="22">
        <v>44128</v>
      </c>
      <c r="D669" s="23" t="s">
        <v>9</v>
      </c>
      <c r="E669" s="23" t="s">
        <v>12</v>
      </c>
      <c r="F669" s="23" t="s">
        <v>11</v>
      </c>
      <c r="G669" s="23">
        <v>900</v>
      </c>
      <c r="H669" s="24">
        <v>1</v>
      </c>
    </row>
    <row r="670" spans="2:8" x14ac:dyDescent="0.25">
      <c r="B670" s="21">
        <v>664</v>
      </c>
      <c r="C670" s="22">
        <v>44129</v>
      </c>
      <c r="D670" s="23" t="s">
        <v>9</v>
      </c>
      <c r="E670" s="23" t="s">
        <v>14</v>
      </c>
      <c r="F670" s="23" t="s">
        <v>11</v>
      </c>
      <c r="G670" s="23">
        <v>900</v>
      </c>
      <c r="H670" s="24">
        <v>1</v>
      </c>
    </row>
    <row r="671" spans="2:8" x14ac:dyDescent="0.25">
      <c r="B671" s="21">
        <v>665</v>
      </c>
      <c r="C671" s="22">
        <v>44130</v>
      </c>
      <c r="D671" s="23" t="s">
        <v>9</v>
      </c>
      <c r="E671" s="23" t="s">
        <v>12</v>
      </c>
      <c r="F671" s="23" t="s">
        <v>11</v>
      </c>
      <c r="G671" s="23">
        <v>1100</v>
      </c>
      <c r="H671" s="24">
        <v>1</v>
      </c>
    </row>
    <row r="672" spans="2:8" x14ac:dyDescent="0.25">
      <c r="B672" s="21">
        <v>666</v>
      </c>
      <c r="C672" s="22">
        <v>44131</v>
      </c>
      <c r="D672" s="23" t="s">
        <v>9</v>
      </c>
      <c r="E672" s="23" t="s">
        <v>12</v>
      </c>
      <c r="F672" s="23" t="s">
        <v>11</v>
      </c>
      <c r="G672" s="23">
        <v>1100</v>
      </c>
      <c r="H672" s="24">
        <v>1</v>
      </c>
    </row>
    <row r="673" spans="2:8" x14ac:dyDescent="0.25">
      <c r="B673" s="21">
        <v>667</v>
      </c>
      <c r="C673" s="22">
        <v>44132</v>
      </c>
      <c r="D673" s="23" t="s">
        <v>9</v>
      </c>
      <c r="E673" s="23" t="s">
        <v>14</v>
      </c>
      <c r="F673" s="23" t="s">
        <v>11</v>
      </c>
      <c r="G673" s="23">
        <v>900</v>
      </c>
      <c r="H673" s="24">
        <v>1</v>
      </c>
    </row>
    <row r="674" spans="2:8" x14ac:dyDescent="0.25">
      <c r="B674" s="21">
        <v>668</v>
      </c>
      <c r="C674" s="22">
        <v>44133</v>
      </c>
      <c r="D674" s="23" t="s">
        <v>9</v>
      </c>
      <c r="E674" s="23" t="s">
        <v>14</v>
      </c>
      <c r="F674" s="23" t="s">
        <v>11</v>
      </c>
      <c r="G674" s="23">
        <v>900</v>
      </c>
      <c r="H674" s="24">
        <v>1</v>
      </c>
    </row>
    <row r="675" spans="2:8" x14ac:dyDescent="0.25">
      <c r="B675" s="21">
        <v>669</v>
      </c>
      <c r="C675" s="22">
        <v>44134</v>
      </c>
      <c r="D675" s="23" t="s">
        <v>9</v>
      </c>
      <c r="E675" s="23" t="s">
        <v>14</v>
      </c>
      <c r="F675" s="23" t="s">
        <v>11</v>
      </c>
      <c r="G675" s="23">
        <v>900</v>
      </c>
      <c r="H675" s="24">
        <v>1</v>
      </c>
    </row>
    <row r="676" spans="2:8" x14ac:dyDescent="0.25">
      <c r="B676" s="21">
        <v>670</v>
      </c>
      <c r="C676" s="22">
        <v>44135</v>
      </c>
      <c r="D676" s="23" t="s">
        <v>9</v>
      </c>
      <c r="E676" s="23" t="s">
        <v>14</v>
      </c>
      <c r="F676" s="23" t="s">
        <v>11</v>
      </c>
      <c r="G676" s="23">
        <v>900</v>
      </c>
      <c r="H676" s="24">
        <v>1</v>
      </c>
    </row>
    <row r="677" spans="2:8" x14ac:dyDescent="0.25">
      <c r="B677" s="21">
        <v>671</v>
      </c>
      <c r="C677" s="22">
        <v>44136</v>
      </c>
      <c r="D677" s="23" t="s">
        <v>9</v>
      </c>
      <c r="E677" s="23" t="s">
        <v>14</v>
      </c>
      <c r="F677" s="23" t="s">
        <v>11</v>
      </c>
      <c r="G677" s="23">
        <v>900</v>
      </c>
      <c r="H677" s="24">
        <v>1</v>
      </c>
    </row>
    <row r="678" spans="2:8" x14ac:dyDescent="0.25">
      <c r="B678" s="21">
        <v>672</v>
      </c>
      <c r="C678" s="22">
        <v>44137</v>
      </c>
      <c r="D678" s="23" t="s">
        <v>9</v>
      </c>
      <c r="E678" s="23" t="s">
        <v>12</v>
      </c>
      <c r="F678" s="23" t="s">
        <v>11</v>
      </c>
      <c r="G678" s="23">
        <v>900</v>
      </c>
      <c r="H678" s="24">
        <v>1</v>
      </c>
    </row>
    <row r="679" spans="2:8" x14ac:dyDescent="0.25">
      <c r="B679" s="21">
        <v>673</v>
      </c>
      <c r="C679" s="22">
        <v>44138</v>
      </c>
      <c r="D679" s="23" t="s">
        <v>9</v>
      </c>
      <c r="E679" s="23" t="s">
        <v>12</v>
      </c>
      <c r="F679" s="23" t="s">
        <v>11</v>
      </c>
      <c r="G679" s="23">
        <v>900</v>
      </c>
      <c r="H679" s="24">
        <v>1</v>
      </c>
    </row>
    <row r="680" spans="2:8" x14ac:dyDescent="0.25">
      <c r="B680" s="21">
        <v>674</v>
      </c>
      <c r="C680" s="22">
        <v>44139</v>
      </c>
      <c r="D680" s="23" t="s">
        <v>9</v>
      </c>
      <c r="E680" s="23" t="s">
        <v>12</v>
      </c>
      <c r="F680" s="23" t="s">
        <v>11</v>
      </c>
      <c r="G680" s="23">
        <v>900</v>
      </c>
      <c r="H680" s="24">
        <v>1</v>
      </c>
    </row>
    <row r="681" spans="2:8" x14ac:dyDescent="0.25">
      <c r="B681" s="21">
        <v>675</v>
      </c>
      <c r="C681" s="22">
        <v>44140</v>
      </c>
      <c r="D681" s="23" t="s">
        <v>9</v>
      </c>
      <c r="E681" s="23" t="s">
        <v>12</v>
      </c>
      <c r="F681" s="23" t="s">
        <v>11</v>
      </c>
      <c r="G681" s="23">
        <v>1100</v>
      </c>
      <c r="H681" s="24">
        <v>1</v>
      </c>
    </row>
    <row r="682" spans="2:8" x14ac:dyDescent="0.25">
      <c r="B682" s="21">
        <v>676</v>
      </c>
      <c r="C682" s="22">
        <v>44141</v>
      </c>
      <c r="D682" s="23" t="s">
        <v>9</v>
      </c>
      <c r="E682" s="23" t="s">
        <v>12</v>
      </c>
      <c r="F682" s="23" t="s">
        <v>11</v>
      </c>
      <c r="G682" s="23">
        <v>1100</v>
      </c>
      <c r="H682" s="24">
        <v>1</v>
      </c>
    </row>
    <row r="683" spans="2:8" x14ac:dyDescent="0.25">
      <c r="B683" s="21">
        <v>677</v>
      </c>
      <c r="C683" s="22">
        <v>44142</v>
      </c>
      <c r="D683" s="23" t="s">
        <v>9</v>
      </c>
      <c r="E683" s="23" t="s">
        <v>15</v>
      </c>
      <c r="F683" s="23" t="s">
        <v>11</v>
      </c>
      <c r="G683" s="23">
        <v>1000</v>
      </c>
      <c r="H683" s="24">
        <v>1</v>
      </c>
    </row>
    <row r="684" spans="2:8" x14ac:dyDescent="0.25">
      <c r="B684" s="21">
        <v>678</v>
      </c>
      <c r="C684" s="22">
        <v>44143</v>
      </c>
      <c r="D684" s="23" t="s">
        <v>9</v>
      </c>
      <c r="E684" s="23" t="s">
        <v>15</v>
      </c>
      <c r="F684" s="23" t="s">
        <v>11</v>
      </c>
      <c r="G684" s="23">
        <v>1000</v>
      </c>
      <c r="H684" s="24">
        <v>1</v>
      </c>
    </row>
    <row r="685" spans="2:8" x14ac:dyDescent="0.25">
      <c r="B685" s="21">
        <v>679</v>
      </c>
      <c r="C685" s="22">
        <v>44144</v>
      </c>
      <c r="D685" s="23" t="s">
        <v>9</v>
      </c>
      <c r="E685" s="23" t="s">
        <v>12</v>
      </c>
      <c r="F685" s="23" t="s">
        <v>11</v>
      </c>
      <c r="G685" s="23">
        <v>1100</v>
      </c>
      <c r="H685" s="24">
        <v>1</v>
      </c>
    </row>
    <row r="686" spans="2:8" x14ac:dyDescent="0.25">
      <c r="B686" s="21">
        <v>680</v>
      </c>
      <c r="C686" s="22">
        <v>44145</v>
      </c>
      <c r="D686" s="23" t="s">
        <v>9</v>
      </c>
      <c r="E686" s="23" t="s">
        <v>15</v>
      </c>
      <c r="F686" s="23" t="s">
        <v>11</v>
      </c>
      <c r="G686" s="23">
        <v>1000</v>
      </c>
      <c r="H686" s="24">
        <v>1</v>
      </c>
    </row>
    <row r="687" spans="2:8" x14ac:dyDescent="0.25">
      <c r="B687" s="21">
        <v>681</v>
      </c>
      <c r="C687" s="22">
        <v>44146</v>
      </c>
      <c r="D687" s="23" t="s">
        <v>9</v>
      </c>
      <c r="E687" s="23" t="s">
        <v>12</v>
      </c>
      <c r="F687" s="23" t="s">
        <v>11</v>
      </c>
      <c r="G687" s="23">
        <v>900</v>
      </c>
      <c r="H687" s="24">
        <v>1</v>
      </c>
    </row>
    <row r="688" spans="2:8" x14ac:dyDescent="0.25">
      <c r="B688" s="21">
        <v>682</v>
      </c>
      <c r="C688" s="22">
        <v>44147</v>
      </c>
      <c r="D688" s="23" t="s">
        <v>9</v>
      </c>
      <c r="E688" s="23" t="s">
        <v>12</v>
      </c>
      <c r="F688" s="23" t="s">
        <v>11</v>
      </c>
      <c r="G688" s="23">
        <v>900</v>
      </c>
      <c r="H688" s="24">
        <v>2</v>
      </c>
    </row>
    <row r="689" spans="2:8" x14ac:dyDescent="0.25">
      <c r="B689" s="21">
        <v>683</v>
      </c>
      <c r="C689" s="22">
        <v>44148</v>
      </c>
      <c r="D689" s="23" t="s">
        <v>9</v>
      </c>
      <c r="E689" s="23" t="s">
        <v>12</v>
      </c>
      <c r="F689" s="23" t="s">
        <v>11</v>
      </c>
      <c r="G689" s="23">
        <v>1100</v>
      </c>
      <c r="H689" s="24">
        <v>1</v>
      </c>
    </row>
    <row r="690" spans="2:8" x14ac:dyDescent="0.25">
      <c r="B690" s="21">
        <v>684</v>
      </c>
      <c r="C690" s="22">
        <v>44149</v>
      </c>
      <c r="D690" s="23" t="s">
        <v>9</v>
      </c>
      <c r="E690" s="23" t="s">
        <v>12</v>
      </c>
      <c r="F690" s="23" t="s">
        <v>11</v>
      </c>
      <c r="G690" s="23">
        <v>900</v>
      </c>
      <c r="H690" s="24">
        <v>1</v>
      </c>
    </row>
    <row r="691" spans="2:8" x14ac:dyDescent="0.25">
      <c r="B691" s="21">
        <v>685</v>
      </c>
      <c r="C691" s="22">
        <v>44150</v>
      </c>
      <c r="D691" s="23" t="s">
        <v>9</v>
      </c>
      <c r="E691" s="23" t="s">
        <v>12</v>
      </c>
      <c r="F691" s="23" t="s">
        <v>11</v>
      </c>
      <c r="G691" s="23">
        <v>1100</v>
      </c>
      <c r="H691" s="24">
        <v>1</v>
      </c>
    </row>
    <row r="692" spans="2:8" x14ac:dyDescent="0.25">
      <c r="B692" s="21">
        <v>686</v>
      </c>
      <c r="C692" s="22">
        <v>44151</v>
      </c>
      <c r="D692" s="23" t="s">
        <v>9</v>
      </c>
      <c r="E692" s="23" t="s">
        <v>16</v>
      </c>
      <c r="F692" s="23" t="s">
        <v>17</v>
      </c>
      <c r="G692" s="23">
        <v>800</v>
      </c>
      <c r="H692" s="24">
        <v>1</v>
      </c>
    </row>
    <row r="693" spans="2:8" x14ac:dyDescent="0.25">
      <c r="B693" s="21">
        <v>687</v>
      </c>
      <c r="C693" s="22">
        <v>44152</v>
      </c>
      <c r="D693" s="23" t="s">
        <v>9</v>
      </c>
      <c r="E693" s="23" t="s">
        <v>16</v>
      </c>
      <c r="F693" s="23" t="s">
        <v>17</v>
      </c>
      <c r="G693" s="23">
        <v>800</v>
      </c>
      <c r="H693" s="24">
        <v>2</v>
      </c>
    </row>
    <row r="694" spans="2:8" x14ac:dyDescent="0.25">
      <c r="B694" s="21">
        <v>688</v>
      </c>
      <c r="C694" s="22">
        <v>44153</v>
      </c>
      <c r="D694" s="23" t="s">
        <v>9</v>
      </c>
      <c r="E694" s="23" t="s">
        <v>14</v>
      </c>
      <c r="F694" s="23" t="s">
        <v>11</v>
      </c>
      <c r="G694" s="23">
        <v>900</v>
      </c>
      <c r="H694" s="24">
        <v>1</v>
      </c>
    </row>
    <row r="695" spans="2:8" x14ac:dyDescent="0.25">
      <c r="B695" s="21">
        <v>689</v>
      </c>
      <c r="C695" s="22">
        <v>44154</v>
      </c>
      <c r="D695" s="23" t="s">
        <v>9</v>
      </c>
      <c r="E695" s="23" t="s">
        <v>12</v>
      </c>
      <c r="F695" s="23" t="s">
        <v>11</v>
      </c>
      <c r="G695" s="23">
        <v>1100</v>
      </c>
      <c r="H695" s="24">
        <v>1</v>
      </c>
    </row>
    <row r="696" spans="2:8" x14ac:dyDescent="0.25">
      <c r="B696" s="21">
        <v>690</v>
      </c>
      <c r="C696" s="22">
        <v>44155</v>
      </c>
      <c r="D696" s="23" t="s">
        <v>9</v>
      </c>
      <c r="E696" s="23" t="s">
        <v>16</v>
      </c>
      <c r="F696" s="23" t="s">
        <v>17</v>
      </c>
      <c r="G696" s="23">
        <v>800</v>
      </c>
      <c r="H696" s="24">
        <v>1</v>
      </c>
    </row>
    <row r="697" spans="2:8" x14ac:dyDescent="0.25">
      <c r="B697" s="21">
        <v>691</v>
      </c>
      <c r="C697" s="22">
        <v>44156</v>
      </c>
      <c r="D697" s="23" t="s">
        <v>9</v>
      </c>
      <c r="E697" s="23" t="s">
        <v>15</v>
      </c>
      <c r="F697" s="23" t="s">
        <v>11</v>
      </c>
      <c r="G697" s="23">
        <v>1000</v>
      </c>
      <c r="H697" s="24">
        <v>1</v>
      </c>
    </row>
    <row r="698" spans="2:8" x14ac:dyDescent="0.25">
      <c r="B698" s="21">
        <v>692</v>
      </c>
      <c r="C698" s="22">
        <v>44157</v>
      </c>
      <c r="D698" s="23" t="s">
        <v>9</v>
      </c>
      <c r="E698" s="23" t="s">
        <v>16</v>
      </c>
      <c r="F698" s="23" t="s">
        <v>17</v>
      </c>
      <c r="G698" s="23">
        <v>800</v>
      </c>
      <c r="H698" s="24">
        <v>1</v>
      </c>
    </row>
    <row r="699" spans="2:8" x14ac:dyDescent="0.25">
      <c r="B699" s="21">
        <v>693</v>
      </c>
      <c r="C699" s="22">
        <v>44158</v>
      </c>
      <c r="D699" s="23" t="s">
        <v>9</v>
      </c>
      <c r="E699" s="23" t="s">
        <v>18</v>
      </c>
      <c r="F699" s="23" t="s">
        <v>17</v>
      </c>
      <c r="G699" s="23">
        <v>600</v>
      </c>
      <c r="H699" s="24">
        <v>1</v>
      </c>
    </row>
    <row r="700" spans="2:8" x14ac:dyDescent="0.25">
      <c r="B700" s="21">
        <v>694</v>
      </c>
      <c r="C700" s="22">
        <v>44159</v>
      </c>
      <c r="D700" s="23" t="s">
        <v>9</v>
      </c>
      <c r="E700" s="23" t="s">
        <v>12</v>
      </c>
      <c r="F700" s="23" t="s">
        <v>11</v>
      </c>
      <c r="G700" s="23">
        <v>900</v>
      </c>
      <c r="H700" s="24">
        <v>1</v>
      </c>
    </row>
    <row r="701" spans="2:8" x14ac:dyDescent="0.25">
      <c r="B701" s="21">
        <v>695</v>
      </c>
      <c r="C701" s="22">
        <v>44160</v>
      </c>
      <c r="D701" s="23" t="s">
        <v>9</v>
      </c>
      <c r="E701" s="23" t="s">
        <v>12</v>
      </c>
      <c r="F701" s="23" t="s">
        <v>11</v>
      </c>
      <c r="G701" s="23">
        <v>1100</v>
      </c>
      <c r="H701" s="24">
        <v>1</v>
      </c>
    </row>
    <row r="702" spans="2:8" x14ac:dyDescent="0.25">
      <c r="B702" s="21">
        <v>696</v>
      </c>
      <c r="C702" s="22">
        <v>44161</v>
      </c>
      <c r="D702" s="23" t="s">
        <v>9</v>
      </c>
      <c r="E702" s="23" t="s">
        <v>15</v>
      </c>
      <c r="F702" s="23" t="s">
        <v>11</v>
      </c>
      <c r="G702" s="23">
        <v>1000</v>
      </c>
      <c r="H702" s="24">
        <v>1</v>
      </c>
    </row>
    <row r="703" spans="2:8" x14ac:dyDescent="0.25">
      <c r="B703" s="21">
        <v>697</v>
      </c>
      <c r="C703" s="22">
        <v>44162</v>
      </c>
      <c r="D703" s="23" t="s">
        <v>9</v>
      </c>
      <c r="E703" s="23" t="s">
        <v>12</v>
      </c>
      <c r="F703" s="23" t="s">
        <v>11</v>
      </c>
      <c r="G703" s="23">
        <v>900</v>
      </c>
      <c r="H703" s="24">
        <v>1</v>
      </c>
    </row>
    <row r="704" spans="2:8" x14ac:dyDescent="0.25">
      <c r="B704" s="21">
        <v>698</v>
      </c>
      <c r="C704" s="22">
        <v>44163</v>
      </c>
      <c r="D704" s="23" t="s">
        <v>9</v>
      </c>
      <c r="E704" s="23" t="s">
        <v>12</v>
      </c>
      <c r="F704" s="23" t="s">
        <v>11</v>
      </c>
      <c r="G704" s="23">
        <v>1100</v>
      </c>
      <c r="H704" s="24">
        <v>2</v>
      </c>
    </row>
    <row r="705" spans="2:8" x14ac:dyDescent="0.25">
      <c r="B705" s="21">
        <v>699</v>
      </c>
      <c r="C705" s="22">
        <v>44164</v>
      </c>
      <c r="D705" s="23" t="s">
        <v>9</v>
      </c>
      <c r="E705" s="23" t="s">
        <v>18</v>
      </c>
      <c r="F705" s="23" t="s">
        <v>17</v>
      </c>
      <c r="G705" s="23">
        <v>600</v>
      </c>
      <c r="H705" s="24">
        <v>1</v>
      </c>
    </row>
    <row r="706" spans="2:8" x14ac:dyDescent="0.25">
      <c r="B706" s="21">
        <v>700</v>
      </c>
      <c r="C706" s="22">
        <v>44165</v>
      </c>
      <c r="D706" s="23" t="s">
        <v>9</v>
      </c>
      <c r="E706" s="23" t="s">
        <v>18</v>
      </c>
      <c r="F706" s="23" t="s">
        <v>17</v>
      </c>
      <c r="G706" s="23">
        <v>600</v>
      </c>
      <c r="H706" s="24">
        <v>1</v>
      </c>
    </row>
    <row r="707" spans="2:8" x14ac:dyDescent="0.25">
      <c r="B707" s="21">
        <v>701</v>
      </c>
      <c r="C707" s="22">
        <v>44166</v>
      </c>
      <c r="D707" s="23" t="s">
        <v>9</v>
      </c>
      <c r="E707" s="23" t="s">
        <v>18</v>
      </c>
      <c r="F707" s="23" t="s">
        <v>17</v>
      </c>
      <c r="G707" s="23">
        <v>600</v>
      </c>
      <c r="H707" s="24">
        <v>1</v>
      </c>
    </row>
    <row r="708" spans="2:8" x14ac:dyDescent="0.25">
      <c r="B708" s="21">
        <v>702</v>
      </c>
      <c r="C708" s="22">
        <v>44167</v>
      </c>
      <c r="D708" s="23" t="s">
        <v>9</v>
      </c>
      <c r="E708" s="23" t="s">
        <v>12</v>
      </c>
      <c r="F708" s="23" t="s">
        <v>11</v>
      </c>
      <c r="G708" s="23">
        <v>900</v>
      </c>
      <c r="H708" s="24">
        <v>1</v>
      </c>
    </row>
    <row r="709" spans="2:8" x14ac:dyDescent="0.25">
      <c r="B709" s="21">
        <v>703</v>
      </c>
      <c r="C709" s="22">
        <v>44168</v>
      </c>
      <c r="D709" s="23" t="s">
        <v>9</v>
      </c>
      <c r="E709" s="23" t="s">
        <v>18</v>
      </c>
      <c r="F709" s="23" t="s">
        <v>17</v>
      </c>
      <c r="G709" s="23">
        <v>600</v>
      </c>
      <c r="H709" s="24">
        <v>1</v>
      </c>
    </row>
    <row r="710" spans="2:8" x14ac:dyDescent="0.25">
      <c r="B710" s="21">
        <v>704</v>
      </c>
      <c r="C710" s="22">
        <v>44169</v>
      </c>
      <c r="D710" s="23" t="s">
        <v>9</v>
      </c>
      <c r="E710" s="23" t="s">
        <v>18</v>
      </c>
      <c r="F710" s="23" t="s">
        <v>17</v>
      </c>
      <c r="G710" s="23">
        <v>600</v>
      </c>
      <c r="H710" s="24">
        <v>1</v>
      </c>
    </row>
    <row r="711" spans="2:8" x14ac:dyDescent="0.25">
      <c r="B711" s="21">
        <v>705</v>
      </c>
      <c r="C711" s="22">
        <v>44170</v>
      </c>
      <c r="D711" s="23" t="s">
        <v>9</v>
      </c>
      <c r="E711" s="23" t="s">
        <v>12</v>
      </c>
      <c r="F711" s="23" t="s">
        <v>11</v>
      </c>
      <c r="G711" s="23">
        <v>1100</v>
      </c>
      <c r="H711" s="24">
        <v>1</v>
      </c>
    </row>
    <row r="712" spans="2:8" x14ac:dyDescent="0.25">
      <c r="B712" s="21">
        <v>706</v>
      </c>
      <c r="C712" s="22">
        <v>44171</v>
      </c>
      <c r="D712" s="23" t="s">
        <v>9</v>
      </c>
      <c r="E712" s="23" t="s">
        <v>14</v>
      </c>
      <c r="F712" s="23" t="s">
        <v>11</v>
      </c>
      <c r="G712" s="23">
        <v>900</v>
      </c>
      <c r="H712" s="24">
        <v>3</v>
      </c>
    </row>
    <row r="713" spans="2:8" x14ac:dyDescent="0.25">
      <c r="B713" s="21">
        <v>707</v>
      </c>
      <c r="C713" s="22">
        <v>44172</v>
      </c>
      <c r="D713" s="23" t="s">
        <v>9</v>
      </c>
      <c r="E713" s="23" t="s">
        <v>10</v>
      </c>
      <c r="F713" s="23" t="s">
        <v>11</v>
      </c>
      <c r="G713" s="23">
        <v>1100</v>
      </c>
      <c r="H713" s="24">
        <v>2</v>
      </c>
    </row>
    <row r="714" spans="2:8" x14ac:dyDescent="0.25">
      <c r="B714" s="21">
        <v>708</v>
      </c>
      <c r="C714" s="22">
        <v>44173</v>
      </c>
      <c r="D714" s="23" t="s">
        <v>9</v>
      </c>
      <c r="E714" s="23" t="s">
        <v>10</v>
      </c>
      <c r="F714" s="23" t="s">
        <v>11</v>
      </c>
      <c r="G714" s="23">
        <v>1100</v>
      </c>
      <c r="H714" s="24">
        <v>1</v>
      </c>
    </row>
    <row r="715" spans="2:8" x14ac:dyDescent="0.25">
      <c r="B715" s="21">
        <v>709</v>
      </c>
      <c r="C715" s="22">
        <v>44174</v>
      </c>
      <c r="D715" s="23" t="s">
        <v>9</v>
      </c>
      <c r="E715" s="23" t="s">
        <v>18</v>
      </c>
      <c r="F715" s="23" t="s">
        <v>17</v>
      </c>
      <c r="G715" s="23">
        <v>600</v>
      </c>
      <c r="H715" s="24">
        <v>1</v>
      </c>
    </row>
    <row r="716" spans="2:8" x14ac:dyDescent="0.25">
      <c r="B716" s="21">
        <v>710</v>
      </c>
      <c r="C716" s="22">
        <v>44175</v>
      </c>
      <c r="D716" s="23" t="s">
        <v>9</v>
      </c>
      <c r="E716" s="23" t="s">
        <v>12</v>
      </c>
      <c r="F716" s="23" t="s">
        <v>11</v>
      </c>
      <c r="G716" s="23">
        <v>900</v>
      </c>
      <c r="H716" s="24">
        <v>1</v>
      </c>
    </row>
    <row r="717" spans="2:8" x14ac:dyDescent="0.25">
      <c r="B717" s="21">
        <v>711</v>
      </c>
      <c r="C717" s="22">
        <v>44176</v>
      </c>
      <c r="D717" s="23" t="s">
        <v>9</v>
      </c>
      <c r="E717" s="23" t="s">
        <v>18</v>
      </c>
      <c r="F717" s="23" t="s">
        <v>17</v>
      </c>
      <c r="G717" s="23">
        <v>600</v>
      </c>
      <c r="H717" s="24">
        <v>1</v>
      </c>
    </row>
    <row r="718" spans="2:8" x14ac:dyDescent="0.25">
      <c r="B718" s="21">
        <v>712</v>
      </c>
      <c r="C718" s="22">
        <v>44177</v>
      </c>
      <c r="D718" s="23" t="s">
        <v>9</v>
      </c>
      <c r="E718" s="23" t="s">
        <v>18</v>
      </c>
      <c r="F718" s="23" t="s">
        <v>17</v>
      </c>
      <c r="G718" s="23">
        <v>600</v>
      </c>
      <c r="H718" s="24">
        <v>1</v>
      </c>
    </row>
    <row r="719" spans="2:8" x14ac:dyDescent="0.25">
      <c r="B719" s="21">
        <v>713</v>
      </c>
      <c r="C719" s="22">
        <v>44178</v>
      </c>
      <c r="D719" s="23" t="s">
        <v>13</v>
      </c>
      <c r="E719" s="23" t="s">
        <v>12</v>
      </c>
      <c r="F719" s="23" t="s">
        <v>11</v>
      </c>
      <c r="G719" s="23">
        <v>900</v>
      </c>
      <c r="H719" s="24">
        <v>3</v>
      </c>
    </row>
    <row r="720" spans="2:8" x14ac:dyDescent="0.25">
      <c r="B720" s="21">
        <v>714</v>
      </c>
      <c r="C720" s="22">
        <v>44179</v>
      </c>
      <c r="D720" s="23" t="s">
        <v>13</v>
      </c>
      <c r="E720" s="23" t="s">
        <v>18</v>
      </c>
      <c r="F720" s="23" t="s">
        <v>17</v>
      </c>
      <c r="G720" s="23">
        <v>600</v>
      </c>
      <c r="H720" s="24">
        <v>1</v>
      </c>
    </row>
    <row r="721" spans="2:8" x14ac:dyDescent="0.25">
      <c r="B721" s="21">
        <v>715</v>
      </c>
      <c r="C721" s="22">
        <v>44180</v>
      </c>
      <c r="D721" s="23" t="s">
        <v>13</v>
      </c>
      <c r="E721" s="23" t="s">
        <v>16</v>
      </c>
      <c r="F721" s="23" t="s">
        <v>17</v>
      </c>
      <c r="G721" s="23">
        <v>800</v>
      </c>
      <c r="H721" s="24">
        <v>1</v>
      </c>
    </row>
    <row r="722" spans="2:8" x14ac:dyDescent="0.25">
      <c r="B722" s="21">
        <v>716</v>
      </c>
      <c r="C722" s="22">
        <v>44181</v>
      </c>
      <c r="D722" s="23" t="s">
        <v>13</v>
      </c>
      <c r="E722" s="23" t="s">
        <v>18</v>
      </c>
      <c r="F722" s="23" t="s">
        <v>17</v>
      </c>
      <c r="G722" s="23">
        <v>600</v>
      </c>
      <c r="H722" s="24">
        <v>1</v>
      </c>
    </row>
    <row r="723" spans="2:8" x14ac:dyDescent="0.25">
      <c r="B723" s="21">
        <v>717</v>
      </c>
      <c r="C723" s="22">
        <v>44182</v>
      </c>
      <c r="D723" s="23" t="s">
        <v>13</v>
      </c>
      <c r="E723" s="23" t="s">
        <v>10</v>
      </c>
      <c r="F723" s="23" t="s">
        <v>11</v>
      </c>
      <c r="G723" s="23">
        <v>1100</v>
      </c>
      <c r="H723" s="24">
        <v>1</v>
      </c>
    </row>
    <row r="724" spans="2:8" x14ac:dyDescent="0.25">
      <c r="B724" s="21">
        <v>718</v>
      </c>
      <c r="C724" s="22">
        <v>44183</v>
      </c>
      <c r="D724" s="23" t="s">
        <v>13</v>
      </c>
      <c r="E724" s="23" t="s">
        <v>14</v>
      </c>
      <c r="F724" s="23" t="s">
        <v>11</v>
      </c>
      <c r="G724" s="23">
        <v>900</v>
      </c>
      <c r="H724" s="24">
        <v>1</v>
      </c>
    </row>
    <row r="725" spans="2:8" x14ac:dyDescent="0.25">
      <c r="B725" s="21">
        <v>719</v>
      </c>
      <c r="C725" s="22">
        <v>44184</v>
      </c>
      <c r="D725" s="23" t="s">
        <v>13</v>
      </c>
      <c r="E725" s="23" t="s">
        <v>10</v>
      </c>
      <c r="F725" s="23" t="s">
        <v>11</v>
      </c>
      <c r="G725" s="23">
        <v>1100</v>
      </c>
      <c r="H725" s="24">
        <v>1</v>
      </c>
    </row>
    <row r="726" spans="2:8" x14ac:dyDescent="0.25">
      <c r="B726" s="21">
        <v>720</v>
      </c>
      <c r="C726" s="22">
        <v>44185</v>
      </c>
      <c r="D726" s="23" t="s">
        <v>13</v>
      </c>
      <c r="E726" s="23" t="s">
        <v>10</v>
      </c>
      <c r="F726" s="23" t="s">
        <v>11</v>
      </c>
      <c r="G726" s="23">
        <v>1100</v>
      </c>
      <c r="H726" s="24">
        <v>1</v>
      </c>
    </row>
    <row r="727" spans="2:8" x14ac:dyDescent="0.25">
      <c r="B727" s="21">
        <v>721</v>
      </c>
      <c r="C727" s="22">
        <v>44186</v>
      </c>
      <c r="D727" s="23" t="s">
        <v>13</v>
      </c>
      <c r="E727" s="23" t="s">
        <v>10</v>
      </c>
      <c r="F727" s="23" t="s">
        <v>11</v>
      </c>
      <c r="G727" s="23">
        <v>1100</v>
      </c>
      <c r="H727" s="24">
        <v>1</v>
      </c>
    </row>
    <row r="728" spans="2:8" x14ac:dyDescent="0.25">
      <c r="B728" s="21">
        <v>722</v>
      </c>
      <c r="C728" s="22">
        <v>44187</v>
      </c>
      <c r="D728" s="23" t="s">
        <v>9</v>
      </c>
      <c r="E728" s="23" t="s">
        <v>15</v>
      </c>
      <c r="F728" s="23" t="s">
        <v>11</v>
      </c>
      <c r="G728" s="23">
        <v>1000</v>
      </c>
      <c r="H728" s="24">
        <v>1</v>
      </c>
    </row>
    <row r="729" spans="2:8" x14ac:dyDescent="0.25">
      <c r="B729" s="21">
        <v>723</v>
      </c>
      <c r="C729" s="22">
        <v>44188</v>
      </c>
      <c r="D729" s="23" t="s">
        <v>9</v>
      </c>
      <c r="E729" s="23" t="s">
        <v>18</v>
      </c>
      <c r="F729" s="23" t="s">
        <v>17</v>
      </c>
      <c r="G729" s="23">
        <v>600</v>
      </c>
      <c r="H729" s="24">
        <v>1</v>
      </c>
    </row>
    <row r="730" spans="2:8" x14ac:dyDescent="0.25">
      <c r="B730" s="21">
        <v>724</v>
      </c>
      <c r="C730" s="22">
        <v>44189</v>
      </c>
      <c r="D730" s="23" t="s">
        <v>9</v>
      </c>
      <c r="E730" s="23" t="s">
        <v>16</v>
      </c>
      <c r="F730" s="23" t="s">
        <v>17</v>
      </c>
      <c r="G730" s="23">
        <v>800</v>
      </c>
      <c r="H730" s="24">
        <v>1</v>
      </c>
    </row>
    <row r="731" spans="2:8" x14ac:dyDescent="0.25">
      <c r="B731" s="21">
        <v>725</v>
      </c>
      <c r="C731" s="22">
        <v>44190</v>
      </c>
      <c r="D731" s="23" t="s">
        <v>9</v>
      </c>
      <c r="E731" s="23" t="s">
        <v>10</v>
      </c>
      <c r="F731" s="23" t="s">
        <v>11</v>
      </c>
      <c r="G731" s="23">
        <v>1100</v>
      </c>
      <c r="H731" s="24">
        <v>1</v>
      </c>
    </row>
    <row r="732" spans="2:8" x14ac:dyDescent="0.25">
      <c r="B732" s="21">
        <v>726</v>
      </c>
      <c r="C732" s="22">
        <v>44191</v>
      </c>
      <c r="D732" s="23" t="s">
        <v>9</v>
      </c>
      <c r="E732" s="23" t="s">
        <v>18</v>
      </c>
      <c r="F732" s="23" t="s">
        <v>17</v>
      </c>
      <c r="G732" s="23">
        <v>600</v>
      </c>
      <c r="H732" s="24">
        <v>1</v>
      </c>
    </row>
    <row r="733" spans="2:8" x14ac:dyDescent="0.25">
      <c r="B733" s="21">
        <v>727</v>
      </c>
      <c r="C733" s="22">
        <v>44192</v>
      </c>
      <c r="D733" s="23" t="s">
        <v>9</v>
      </c>
      <c r="E733" s="23" t="s">
        <v>19</v>
      </c>
      <c r="F733" s="23" t="s">
        <v>20</v>
      </c>
      <c r="G733" s="23">
        <v>850</v>
      </c>
      <c r="H733" s="24">
        <v>1</v>
      </c>
    </row>
    <row r="734" spans="2:8" x14ac:dyDescent="0.25">
      <c r="B734" s="21">
        <v>728</v>
      </c>
      <c r="C734" s="22">
        <v>44193</v>
      </c>
      <c r="D734" s="23" t="s">
        <v>9</v>
      </c>
      <c r="E734" s="23" t="s">
        <v>14</v>
      </c>
      <c r="F734" s="23" t="s">
        <v>11</v>
      </c>
      <c r="G734" s="23">
        <v>900</v>
      </c>
      <c r="H734" s="24">
        <v>1</v>
      </c>
    </row>
    <row r="735" spans="2:8" x14ac:dyDescent="0.25">
      <c r="B735" s="21">
        <v>729</v>
      </c>
      <c r="C735" s="22">
        <v>44194</v>
      </c>
      <c r="D735" s="23" t="s">
        <v>9</v>
      </c>
      <c r="E735" s="23" t="s">
        <v>15</v>
      </c>
      <c r="F735" s="23" t="s">
        <v>11</v>
      </c>
      <c r="G735" s="23">
        <v>1000</v>
      </c>
      <c r="H735" s="24">
        <v>1</v>
      </c>
    </row>
    <row r="736" spans="2:8" x14ac:dyDescent="0.25">
      <c r="B736" s="21">
        <v>730</v>
      </c>
      <c r="C736" s="22">
        <v>44195</v>
      </c>
      <c r="D736" s="23" t="s">
        <v>9</v>
      </c>
      <c r="E736" s="23" t="s">
        <v>19</v>
      </c>
      <c r="F736" s="23" t="s">
        <v>20</v>
      </c>
      <c r="G736" s="23">
        <v>850</v>
      </c>
      <c r="H736" s="24">
        <v>1</v>
      </c>
    </row>
    <row r="737" spans="2:8" x14ac:dyDescent="0.25">
      <c r="B737" s="21">
        <v>731</v>
      </c>
      <c r="C737" s="22">
        <v>44196</v>
      </c>
      <c r="D737" s="23" t="s">
        <v>9</v>
      </c>
      <c r="E737" s="23" t="s">
        <v>19</v>
      </c>
      <c r="F737" s="23" t="s">
        <v>20</v>
      </c>
      <c r="G737" s="23">
        <v>850</v>
      </c>
      <c r="H737" s="24">
        <v>1</v>
      </c>
    </row>
    <row r="738" spans="2:8" x14ac:dyDescent="0.25">
      <c r="B738" s="21">
        <v>732</v>
      </c>
      <c r="C738" s="22">
        <v>44197</v>
      </c>
      <c r="D738" s="23" t="s">
        <v>9</v>
      </c>
      <c r="E738" s="23" t="s">
        <v>15</v>
      </c>
      <c r="F738" s="23" t="s">
        <v>11</v>
      </c>
      <c r="G738" s="23">
        <v>1000</v>
      </c>
      <c r="H738" s="24">
        <v>1</v>
      </c>
    </row>
    <row r="739" spans="2:8" x14ac:dyDescent="0.25">
      <c r="B739" s="21">
        <v>733</v>
      </c>
      <c r="C739" s="22">
        <v>44198</v>
      </c>
      <c r="D739" s="23" t="s">
        <v>9</v>
      </c>
      <c r="E739" s="23" t="s">
        <v>16</v>
      </c>
      <c r="F739" s="23" t="s">
        <v>17</v>
      </c>
      <c r="G739" s="23">
        <v>800</v>
      </c>
      <c r="H739" s="24">
        <v>1</v>
      </c>
    </row>
    <row r="740" spans="2:8" x14ac:dyDescent="0.25">
      <c r="B740" s="21">
        <v>734</v>
      </c>
      <c r="C740" s="22">
        <v>44199</v>
      </c>
      <c r="D740" s="23" t="s">
        <v>9</v>
      </c>
      <c r="E740" s="23" t="s">
        <v>18</v>
      </c>
      <c r="F740" s="23" t="s">
        <v>17</v>
      </c>
      <c r="G740" s="23">
        <v>600</v>
      </c>
      <c r="H740" s="24">
        <v>1</v>
      </c>
    </row>
    <row r="741" spans="2:8" x14ac:dyDescent="0.25">
      <c r="B741" s="21">
        <v>735</v>
      </c>
      <c r="C741" s="22">
        <v>44200</v>
      </c>
      <c r="D741" s="23" t="s">
        <v>9</v>
      </c>
      <c r="E741" s="23" t="s">
        <v>16</v>
      </c>
      <c r="F741" s="23" t="s">
        <v>17</v>
      </c>
      <c r="G741" s="23">
        <v>800</v>
      </c>
      <c r="H741" s="24">
        <v>1</v>
      </c>
    </row>
    <row r="742" spans="2:8" x14ac:dyDescent="0.25">
      <c r="B742" s="21">
        <v>736</v>
      </c>
      <c r="C742" s="22">
        <v>44201</v>
      </c>
      <c r="D742" s="23" t="s">
        <v>9</v>
      </c>
      <c r="E742" s="23" t="s">
        <v>10</v>
      </c>
      <c r="F742" s="23" t="s">
        <v>11</v>
      </c>
      <c r="G742" s="23">
        <v>1100</v>
      </c>
      <c r="H742" s="24">
        <v>1</v>
      </c>
    </row>
    <row r="743" spans="2:8" x14ac:dyDescent="0.25">
      <c r="B743" s="21">
        <v>737</v>
      </c>
      <c r="C743" s="22">
        <v>44202</v>
      </c>
      <c r="D743" s="23" t="s">
        <v>9</v>
      </c>
      <c r="E743" s="23" t="s">
        <v>19</v>
      </c>
      <c r="F743" s="23" t="s">
        <v>20</v>
      </c>
      <c r="G743" s="23">
        <v>850</v>
      </c>
      <c r="H743" s="24">
        <v>1</v>
      </c>
    </row>
    <row r="744" spans="2:8" x14ac:dyDescent="0.25">
      <c r="B744" s="21">
        <v>738</v>
      </c>
      <c r="C744" s="22">
        <v>44203</v>
      </c>
      <c r="D744" s="23" t="s">
        <v>9</v>
      </c>
      <c r="E744" s="23" t="s">
        <v>19</v>
      </c>
      <c r="F744" s="23" t="s">
        <v>20</v>
      </c>
      <c r="G744" s="23">
        <v>850</v>
      </c>
      <c r="H744" s="24">
        <v>1</v>
      </c>
    </row>
    <row r="745" spans="2:8" x14ac:dyDescent="0.25">
      <c r="B745" s="21">
        <v>739</v>
      </c>
      <c r="C745" s="22">
        <v>44204</v>
      </c>
      <c r="D745" s="23" t="s">
        <v>9</v>
      </c>
      <c r="E745" s="23" t="s">
        <v>19</v>
      </c>
      <c r="F745" s="23" t="s">
        <v>20</v>
      </c>
      <c r="G745" s="23">
        <v>850</v>
      </c>
      <c r="H745" s="24">
        <v>1</v>
      </c>
    </row>
    <row r="746" spans="2:8" x14ac:dyDescent="0.25">
      <c r="B746" s="21">
        <v>740</v>
      </c>
      <c r="C746" s="22">
        <v>44205</v>
      </c>
      <c r="D746" s="23" t="s">
        <v>9</v>
      </c>
      <c r="E746" s="23" t="s">
        <v>18</v>
      </c>
      <c r="F746" s="23" t="s">
        <v>17</v>
      </c>
      <c r="G746" s="23">
        <v>600</v>
      </c>
      <c r="H746" s="24">
        <v>1</v>
      </c>
    </row>
    <row r="747" spans="2:8" x14ac:dyDescent="0.25">
      <c r="B747" s="21">
        <v>741</v>
      </c>
      <c r="C747" s="22">
        <v>44206</v>
      </c>
      <c r="D747" s="23" t="s">
        <v>9</v>
      </c>
      <c r="E747" s="23" t="s">
        <v>19</v>
      </c>
      <c r="F747" s="23" t="s">
        <v>20</v>
      </c>
      <c r="G747" s="23">
        <v>850</v>
      </c>
      <c r="H747" s="24">
        <v>1</v>
      </c>
    </row>
    <row r="748" spans="2:8" x14ac:dyDescent="0.25">
      <c r="B748" s="21">
        <v>742</v>
      </c>
      <c r="C748" s="22">
        <v>44207</v>
      </c>
      <c r="D748" s="23" t="s">
        <v>9</v>
      </c>
      <c r="E748" s="23" t="s">
        <v>19</v>
      </c>
      <c r="F748" s="23" t="s">
        <v>20</v>
      </c>
      <c r="G748" s="23">
        <v>850</v>
      </c>
      <c r="H748" s="24">
        <v>1</v>
      </c>
    </row>
    <row r="749" spans="2:8" x14ac:dyDescent="0.25">
      <c r="B749" s="21">
        <v>743</v>
      </c>
      <c r="C749" s="22">
        <v>44208</v>
      </c>
      <c r="D749" s="23" t="s">
        <v>9</v>
      </c>
      <c r="E749" s="23" t="s">
        <v>10</v>
      </c>
      <c r="F749" s="23" t="s">
        <v>11</v>
      </c>
      <c r="G749" s="23">
        <v>1100</v>
      </c>
      <c r="H749" s="24">
        <v>1</v>
      </c>
    </row>
    <row r="750" spans="2:8" x14ac:dyDescent="0.25">
      <c r="B750" s="21">
        <v>744</v>
      </c>
      <c r="C750" s="22">
        <v>44209</v>
      </c>
      <c r="D750" s="23" t="s">
        <v>9</v>
      </c>
      <c r="E750" s="23" t="s">
        <v>15</v>
      </c>
      <c r="F750" s="23" t="s">
        <v>11</v>
      </c>
      <c r="G750" s="23">
        <v>1000</v>
      </c>
      <c r="H750" s="24">
        <v>1</v>
      </c>
    </row>
    <row r="751" spans="2:8" x14ac:dyDescent="0.25">
      <c r="B751" s="21">
        <v>745</v>
      </c>
      <c r="C751" s="22">
        <v>44210</v>
      </c>
      <c r="D751" s="23" t="s">
        <v>9</v>
      </c>
      <c r="E751" s="23" t="s">
        <v>10</v>
      </c>
      <c r="F751" s="23" t="s">
        <v>11</v>
      </c>
      <c r="G751" s="23">
        <v>1100</v>
      </c>
      <c r="H751" s="24">
        <v>1</v>
      </c>
    </row>
    <row r="752" spans="2:8" x14ac:dyDescent="0.25">
      <c r="B752" s="21">
        <v>746</v>
      </c>
      <c r="C752" s="22">
        <v>44211</v>
      </c>
      <c r="D752" s="23" t="s">
        <v>9</v>
      </c>
      <c r="E752" s="23" t="s">
        <v>18</v>
      </c>
      <c r="F752" s="23" t="s">
        <v>17</v>
      </c>
      <c r="G752" s="23">
        <v>600</v>
      </c>
      <c r="H752" s="24">
        <v>1</v>
      </c>
    </row>
    <row r="753" spans="2:8" x14ac:dyDescent="0.25">
      <c r="B753" s="21">
        <v>747</v>
      </c>
      <c r="C753" s="22">
        <v>44212</v>
      </c>
      <c r="D753" s="23" t="s">
        <v>9</v>
      </c>
      <c r="E753" s="23" t="s">
        <v>18</v>
      </c>
      <c r="F753" s="23" t="s">
        <v>17</v>
      </c>
      <c r="G753" s="23">
        <v>600</v>
      </c>
      <c r="H753" s="24">
        <v>2</v>
      </c>
    </row>
    <row r="754" spans="2:8" x14ac:dyDescent="0.25">
      <c r="B754" s="21">
        <v>748</v>
      </c>
      <c r="C754" s="22">
        <v>44213</v>
      </c>
      <c r="D754" s="23" t="s">
        <v>9</v>
      </c>
      <c r="E754" s="23" t="s">
        <v>18</v>
      </c>
      <c r="F754" s="23" t="s">
        <v>17</v>
      </c>
      <c r="G754" s="23">
        <v>600</v>
      </c>
      <c r="H754" s="24">
        <v>1</v>
      </c>
    </row>
    <row r="755" spans="2:8" x14ac:dyDescent="0.25">
      <c r="B755" s="21">
        <v>749</v>
      </c>
      <c r="C755" s="22">
        <v>44214</v>
      </c>
      <c r="D755" s="23" t="s">
        <v>9</v>
      </c>
      <c r="E755" s="23" t="s">
        <v>18</v>
      </c>
      <c r="F755" s="23" t="s">
        <v>17</v>
      </c>
      <c r="G755" s="23">
        <v>600</v>
      </c>
      <c r="H755" s="24">
        <v>1</v>
      </c>
    </row>
    <row r="756" spans="2:8" x14ac:dyDescent="0.25">
      <c r="B756" s="21">
        <v>750</v>
      </c>
      <c r="C756" s="22">
        <v>44215</v>
      </c>
      <c r="D756" s="23" t="s">
        <v>9</v>
      </c>
      <c r="E756" s="23" t="s">
        <v>10</v>
      </c>
      <c r="F756" s="23" t="s">
        <v>11</v>
      </c>
      <c r="G756" s="23">
        <v>1100</v>
      </c>
      <c r="H756" s="24">
        <v>1</v>
      </c>
    </row>
    <row r="757" spans="2:8" x14ac:dyDescent="0.25">
      <c r="B757" s="21">
        <v>751</v>
      </c>
      <c r="C757" s="22">
        <v>44216</v>
      </c>
      <c r="D757" s="23" t="s">
        <v>9</v>
      </c>
      <c r="E757" s="23" t="s">
        <v>14</v>
      </c>
      <c r="F757" s="23" t="s">
        <v>11</v>
      </c>
      <c r="G757" s="23">
        <v>900</v>
      </c>
      <c r="H757" s="24">
        <v>1</v>
      </c>
    </row>
    <row r="758" spans="2:8" x14ac:dyDescent="0.25">
      <c r="B758" s="21">
        <v>752</v>
      </c>
      <c r="C758" s="22">
        <v>44217</v>
      </c>
      <c r="D758" s="23" t="s">
        <v>9</v>
      </c>
      <c r="E758" s="23" t="s">
        <v>18</v>
      </c>
      <c r="F758" s="23" t="s">
        <v>17</v>
      </c>
      <c r="G758" s="23">
        <v>600</v>
      </c>
      <c r="H758" s="24">
        <v>1</v>
      </c>
    </row>
    <row r="759" spans="2:8" x14ac:dyDescent="0.25">
      <c r="B759" s="21">
        <v>753</v>
      </c>
      <c r="C759" s="22">
        <v>44218</v>
      </c>
      <c r="D759" s="23" t="s">
        <v>9</v>
      </c>
      <c r="E759" s="23" t="s">
        <v>14</v>
      </c>
      <c r="F759" s="23" t="s">
        <v>11</v>
      </c>
      <c r="G759" s="23">
        <v>900</v>
      </c>
      <c r="H759" s="24">
        <v>1</v>
      </c>
    </row>
    <row r="760" spans="2:8" x14ac:dyDescent="0.25">
      <c r="B760" s="21">
        <v>754</v>
      </c>
      <c r="C760" s="22">
        <v>44219</v>
      </c>
      <c r="D760" s="23" t="s">
        <v>9</v>
      </c>
      <c r="E760" s="23" t="s">
        <v>12</v>
      </c>
      <c r="F760" s="23" t="s">
        <v>11</v>
      </c>
      <c r="G760" s="23">
        <v>900</v>
      </c>
      <c r="H760" s="24">
        <v>1</v>
      </c>
    </row>
    <row r="761" spans="2:8" x14ac:dyDescent="0.25">
      <c r="B761" s="21">
        <v>755</v>
      </c>
      <c r="C761" s="22">
        <v>44220</v>
      </c>
      <c r="D761" s="23" t="s">
        <v>9</v>
      </c>
      <c r="E761" s="23" t="s">
        <v>18</v>
      </c>
      <c r="F761" s="23" t="s">
        <v>17</v>
      </c>
      <c r="G761" s="23">
        <v>600</v>
      </c>
      <c r="H761" s="24">
        <v>1</v>
      </c>
    </row>
    <row r="762" spans="2:8" x14ac:dyDescent="0.25">
      <c r="B762" s="21">
        <v>756</v>
      </c>
      <c r="C762" s="22">
        <v>44221</v>
      </c>
      <c r="D762" s="23" t="s">
        <v>9</v>
      </c>
      <c r="E762" s="23" t="s">
        <v>18</v>
      </c>
      <c r="F762" s="23" t="s">
        <v>17</v>
      </c>
      <c r="G762" s="23">
        <v>600</v>
      </c>
      <c r="H762" s="24">
        <v>1</v>
      </c>
    </row>
    <row r="763" spans="2:8" x14ac:dyDescent="0.25">
      <c r="B763" s="21">
        <v>757</v>
      </c>
      <c r="C763" s="22">
        <v>44222</v>
      </c>
      <c r="D763" s="23" t="s">
        <v>9</v>
      </c>
      <c r="E763" s="23" t="s">
        <v>18</v>
      </c>
      <c r="F763" s="23" t="s">
        <v>17</v>
      </c>
      <c r="G763" s="23">
        <v>600</v>
      </c>
      <c r="H763" s="24">
        <v>1</v>
      </c>
    </row>
    <row r="764" spans="2:8" x14ac:dyDescent="0.25">
      <c r="B764" s="21">
        <v>758</v>
      </c>
      <c r="C764" s="22">
        <v>44223</v>
      </c>
      <c r="D764" s="23" t="s">
        <v>9</v>
      </c>
      <c r="E764" s="23" t="s">
        <v>10</v>
      </c>
      <c r="F764" s="23" t="s">
        <v>11</v>
      </c>
      <c r="G764" s="23">
        <v>1100</v>
      </c>
      <c r="H764" s="24">
        <v>1</v>
      </c>
    </row>
    <row r="765" spans="2:8" x14ac:dyDescent="0.25">
      <c r="B765" s="21">
        <v>759</v>
      </c>
      <c r="C765" s="22">
        <v>44224</v>
      </c>
      <c r="D765" s="23" t="s">
        <v>9</v>
      </c>
      <c r="E765" s="23" t="s">
        <v>18</v>
      </c>
      <c r="F765" s="23" t="s">
        <v>17</v>
      </c>
      <c r="G765" s="23">
        <v>600</v>
      </c>
      <c r="H765" s="24">
        <v>1</v>
      </c>
    </row>
    <row r="766" spans="2:8" x14ac:dyDescent="0.25">
      <c r="B766" s="21">
        <v>760</v>
      </c>
      <c r="C766" s="22">
        <v>44225</v>
      </c>
      <c r="D766" s="23" t="s">
        <v>9</v>
      </c>
      <c r="E766" s="23" t="s">
        <v>18</v>
      </c>
      <c r="F766" s="23" t="s">
        <v>17</v>
      </c>
      <c r="G766" s="23">
        <v>600</v>
      </c>
      <c r="H766" s="24">
        <v>1</v>
      </c>
    </row>
    <row r="767" spans="2:8" x14ac:dyDescent="0.25">
      <c r="B767" s="21">
        <v>761</v>
      </c>
      <c r="C767" s="22">
        <v>44226</v>
      </c>
      <c r="D767" s="23" t="s">
        <v>9</v>
      </c>
      <c r="E767" s="23" t="s">
        <v>18</v>
      </c>
      <c r="F767" s="23" t="s">
        <v>17</v>
      </c>
      <c r="G767" s="23">
        <v>600</v>
      </c>
      <c r="H767" s="24">
        <v>1</v>
      </c>
    </row>
    <row r="768" spans="2:8" x14ac:dyDescent="0.25">
      <c r="B768" s="21">
        <v>762</v>
      </c>
      <c r="C768" s="22">
        <v>44227</v>
      </c>
      <c r="D768" s="23" t="s">
        <v>9</v>
      </c>
      <c r="E768" s="23" t="s">
        <v>12</v>
      </c>
      <c r="F768" s="23" t="s">
        <v>11</v>
      </c>
      <c r="G768" s="23">
        <v>900</v>
      </c>
      <c r="H768" s="24">
        <v>1</v>
      </c>
    </row>
    <row r="769" spans="2:8" x14ac:dyDescent="0.25">
      <c r="B769" s="21">
        <v>763</v>
      </c>
      <c r="C769" s="22">
        <v>44228</v>
      </c>
      <c r="D769" s="23" t="s">
        <v>9</v>
      </c>
      <c r="E769" s="23" t="s">
        <v>18</v>
      </c>
      <c r="F769" s="23" t="s">
        <v>17</v>
      </c>
      <c r="G769" s="23">
        <v>600</v>
      </c>
      <c r="H769" s="24">
        <v>1</v>
      </c>
    </row>
    <row r="770" spans="2:8" x14ac:dyDescent="0.25">
      <c r="B770" s="21">
        <v>764</v>
      </c>
      <c r="C770" s="22">
        <v>44229</v>
      </c>
      <c r="D770" s="23" t="s">
        <v>9</v>
      </c>
      <c r="E770" s="23" t="s">
        <v>14</v>
      </c>
      <c r="F770" s="23" t="s">
        <v>11</v>
      </c>
      <c r="G770" s="23">
        <v>900</v>
      </c>
      <c r="H770" s="24">
        <v>1</v>
      </c>
    </row>
    <row r="771" spans="2:8" x14ac:dyDescent="0.25">
      <c r="B771" s="21">
        <v>765</v>
      </c>
      <c r="C771" s="22">
        <v>44230</v>
      </c>
      <c r="D771" s="23" t="s">
        <v>9</v>
      </c>
      <c r="E771" s="23" t="s">
        <v>21</v>
      </c>
      <c r="F771" s="23" t="s">
        <v>20</v>
      </c>
      <c r="G771" s="23">
        <v>1200</v>
      </c>
      <c r="H771" s="24">
        <v>1</v>
      </c>
    </row>
    <row r="772" spans="2:8" x14ac:dyDescent="0.25">
      <c r="B772" s="21">
        <v>766</v>
      </c>
      <c r="C772" s="22">
        <v>44231</v>
      </c>
      <c r="D772" s="23" t="s">
        <v>9</v>
      </c>
      <c r="E772" s="23" t="s">
        <v>10</v>
      </c>
      <c r="F772" s="23" t="s">
        <v>11</v>
      </c>
      <c r="G772" s="23">
        <v>1100</v>
      </c>
      <c r="H772" s="24">
        <v>1</v>
      </c>
    </row>
    <row r="773" spans="2:8" x14ac:dyDescent="0.25">
      <c r="B773" s="21">
        <v>767</v>
      </c>
      <c r="C773" s="22">
        <v>44232</v>
      </c>
      <c r="D773" s="23" t="s">
        <v>9</v>
      </c>
      <c r="E773" s="23" t="s">
        <v>10</v>
      </c>
      <c r="F773" s="23" t="s">
        <v>11</v>
      </c>
      <c r="G773" s="23">
        <v>1100</v>
      </c>
      <c r="H773" s="24">
        <v>1</v>
      </c>
    </row>
    <row r="774" spans="2:8" x14ac:dyDescent="0.25">
      <c r="B774" s="21">
        <v>768</v>
      </c>
      <c r="C774" s="22">
        <v>44233</v>
      </c>
      <c r="D774" s="23" t="s">
        <v>9</v>
      </c>
      <c r="E774" s="23" t="s">
        <v>18</v>
      </c>
      <c r="F774" s="23" t="s">
        <v>17</v>
      </c>
      <c r="G774" s="23">
        <v>600</v>
      </c>
      <c r="H774" s="24">
        <v>1</v>
      </c>
    </row>
    <row r="775" spans="2:8" x14ac:dyDescent="0.25">
      <c r="B775" s="21">
        <v>769</v>
      </c>
      <c r="C775" s="22">
        <v>44234</v>
      </c>
      <c r="D775" s="23" t="s">
        <v>9</v>
      </c>
      <c r="E775" s="23" t="s">
        <v>18</v>
      </c>
      <c r="F775" s="23" t="s">
        <v>17</v>
      </c>
      <c r="G775" s="23">
        <v>600</v>
      </c>
      <c r="H775" s="24">
        <v>2</v>
      </c>
    </row>
    <row r="776" spans="2:8" x14ac:dyDescent="0.25">
      <c r="B776" s="21">
        <v>770</v>
      </c>
      <c r="C776" s="22">
        <v>44235</v>
      </c>
      <c r="D776" s="23" t="s">
        <v>9</v>
      </c>
      <c r="E776" s="23" t="s">
        <v>21</v>
      </c>
      <c r="F776" s="23" t="s">
        <v>20</v>
      </c>
      <c r="G776" s="23">
        <v>1200</v>
      </c>
      <c r="H776" s="24">
        <v>1</v>
      </c>
    </row>
    <row r="777" spans="2:8" x14ac:dyDescent="0.25">
      <c r="B777" s="21">
        <v>771</v>
      </c>
      <c r="C777" s="22">
        <v>44236</v>
      </c>
      <c r="D777" s="23" t="s">
        <v>9</v>
      </c>
      <c r="E777" s="23" t="s">
        <v>21</v>
      </c>
      <c r="F777" s="23" t="s">
        <v>20</v>
      </c>
      <c r="G777" s="23">
        <v>1200</v>
      </c>
      <c r="H777" s="24">
        <v>1</v>
      </c>
    </row>
    <row r="778" spans="2:8" x14ac:dyDescent="0.25">
      <c r="B778" s="21">
        <v>772</v>
      </c>
      <c r="C778" s="22">
        <v>44237</v>
      </c>
      <c r="D778" s="23" t="s">
        <v>9</v>
      </c>
      <c r="E778" s="23" t="s">
        <v>15</v>
      </c>
      <c r="F778" s="23" t="s">
        <v>11</v>
      </c>
      <c r="G778" s="23">
        <v>1000</v>
      </c>
      <c r="H778" s="24">
        <v>1</v>
      </c>
    </row>
    <row r="779" spans="2:8" x14ac:dyDescent="0.25">
      <c r="B779" s="21">
        <v>773</v>
      </c>
      <c r="C779" s="22">
        <v>44238</v>
      </c>
      <c r="D779" s="23" t="s">
        <v>9</v>
      </c>
      <c r="E779" s="23" t="s">
        <v>16</v>
      </c>
      <c r="F779" s="23" t="s">
        <v>17</v>
      </c>
      <c r="G779" s="23">
        <v>800</v>
      </c>
      <c r="H779" s="24">
        <v>2</v>
      </c>
    </row>
    <row r="780" spans="2:8" x14ac:dyDescent="0.25">
      <c r="B780" s="21">
        <v>774</v>
      </c>
      <c r="C780" s="22">
        <v>44239</v>
      </c>
      <c r="D780" s="23" t="s">
        <v>9</v>
      </c>
      <c r="E780" s="23" t="s">
        <v>21</v>
      </c>
      <c r="F780" s="23" t="s">
        <v>20</v>
      </c>
      <c r="G780" s="23">
        <v>1200</v>
      </c>
      <c r="H780" s="24">
        <v>1</v>
      </c>
    </row>
    <row r="781" spans="2:8" x14ac:dyDescent="0.25">
      <c r="B781" s="21">
        <v>775</v>
      </c>
      <c r="C781" s="22">
        <v>44240</v>
      </c>
      <c r="D781" s="23" t="s">
        <v>9</v>
      </c>
      <c r="E781" s="23" t="s">
        <v>14</v>
      </c>
      <c r="F781" s="23" t="s">
        <v>11</v>
      </c>
      <c r="G781" s="23">
        <v>900</v>
      </c>
      <c r="H781" s="24">
        <v>1</v>
      </c>
    </row>
    <row r="782" spans="2:8" x14ac:dyDescent="0.25">
      <c r="B782" s="21">
        <v>776</v>
      </c>
      <c r="C782" s="22">
        <v>44241</v>
      </c>
      <c r="D782" s="23" t="s">
        <v>9</v>
      </c>
      <c r="E782" s="23" t="s">
        <v>15</v>
      </c>
      <c r="F782" s="23" t="s">
        <v>11</v>
      </c>
      <c r="G782" s="23">
        <v>1000</v>
      </c>
      <c r="H782" s="24">
        <v>1</v>
      </c>
    </row>
    <row r="783" spans="2:8" x14ac:dyDescent="0.25">
      <c r="B783" s="21">
        <v>777</v>
      </c>
      <c r="C783" s="22">
        <v>44242</v>
      </c>
      <c r="D783" s="23" t="s">
        <v>9</v>
      </c>
      <c r="E783" s="23" t="s">
        <v>16</v>
      </c>
      <c r="F783" s="23" t="s">
        <v>17</v>
      </c>
      <c r="G783" s="23">
        <v>800</v>
      </c>
      <c r="H783" s="24">
        <v>1</v>
      </c>
    </row>
    <row r="784" spans="2:8" x14ac:dyDescent="0.25">
      <c r="B784" s="21">
        <v>778</v>
      </c>
      <c r="C784" s="22">
        <v>44243</v>
      </c>
      <c r="D784" s="23" t="s">
        <v>9</v>
      </c>
      <c r="E784" s="23" t="s">
        <v>21</v>
      </c>
      <c r="F784" s="23" t="s">
        <v>20</v>
      </c>
      <c r="G784" s="23">
        <v>1200</v>
      </c>
      <c r="H784" s="24">
        <v>1</v>
      </c>
    </row>
    <row r="785" spans="2:8" x14ac:dyDescent="0.25">
      <c r="B785" s="21">
        <v>779</v>
      </c>
      <c r="C785" s="22">
        <v>44244</v>
      </c>
      <c r="D785" s="23" t="s">
        <v>9</v>
      </c>
      <c r="E785" s="23" t="s">
        <v>21</v>
      </c>
      <c r="F785" s="23" t="s">
        <v>20</v>
      </c>
      <c r="G785" s="23">
        <v>1200</v>
      </c>
      <c r="H785" s="24">
        <v>1</v>
      </c>
    </row>
    <row r="786" spans="2:8" x14ac:dyDescent="0.25">
      <c r="B786" s="21">
        <v>780</v>
      </c>
      <c r="C786" s="22">
        <v>44245</v>
      </c>
      <c r="D786" s="23" t="s">
        <v>9</v>
      </c>
      <c r="E786" s="23" t="s">
        <v>16</v>
      </c>
      <c r="F786" s="23" t="s">
        <v>17</v>
      </c>
      <c r="G786" s="23">
        <v>800</v>
      </c>
      <c r="H786" s="24">
        <v>2</v>
      </c>
    </row>
    <row r="787" spans="2:8" x14ac:dyDescent="0.25">
      <c r="B787" s="21">
        <v>781</v>
      </c>
      <c r="C787" s="22">
        <v>44246</v>
      </c>
      <c r="D787" s="23" t="s">
        <v>9</v>
      </c>
      <c r="E787" s="23" t="s">
        <v>12</v>
      </c>
      <c r="F787" s="23" t="s">
        <v>11</v>
      </c>
      <c r="G787" s="23">
        <v>900</v>
      </c>
      <c r="H787" s="24">
        <v>1</v>
      </c>
    </row>
    <row r="788" spans="2:8" x14ac:dyDescent="0.25">
      <c r="B788" s="21">
        <v>782</v>
      </c>
      <c r="C788" s="22">
        <v>44247</v>
      </c>
      <c r="D788" s="23" t="s">
        <v>9</v>
      </c>
      <c r="E788" s="23" t="s">
        <v>15</v>
      </c>
      <c r="F788" s="23" t="s">
        <v>11</v>
      </c>
      <c r="G788" s="23">
        <v>1000</v>
      </c>
      <c r="H788" s="24">
        <v>1</v>
      </c>
    </row>
    <row r="789" spans="2:8" x14ac:dyDescent="0.25">
      <c r="B789" s="21">
        <v>783</v>
      </c>
      <c r="C789" s="22">
        <v>44248</v>
      </c>
      <c r="D789" s="23" t="s">
        <v>9</v>
      </c>
      <c r="E789" s="23" t="s">
        <v>15</v>
      </c>
      <c r="F789" s="23" t="s">
        <v>11</v>
      </c>
      <c r="G789" s="23">
        <v>1000</v>
      </c>
      <c r="H789" s="24">
        <v>1</v>
      </c>
    </row>
    <row r="790" spans="2:8" x14ac:dyDescent="0.25">
      <c r="B790" s="21">
        <v>784</v>
      </c>
      <c r="C790" s="22">
        <v>44249</v>
      </c>
      <c r="D790" s="23" t="s">
        <v>9</v>
      </c>
      <c r="E790" s="23" t="s">
        <v>18</v>
      </c>
      <c r="F790" s="23" t="s">
        <v>17</v>
      </c>
      <c r="G790" s="23">
        <v>600</v>
      </c>
      <c r="H790" s="24">
        <v>1</v>
      </c>
    </row>
    <row r="791" spans="2:8" x14ac:dyDescent="0.25">
      <c r="B791" s="21">
        <v>785</v>
      </c>
      <c r="C791" s="22">
        <v>44250</v>
      </c>
      <c r="D791" s="23" t="s">
        <v>9</v>
      </c>
      <c r="E791" s="23" t="s">
        <v>19</v>
      </c>
      <c r="F791" s="23" t="s">
        <v>20</v>
      </c>
      <c r="G791" s="23">
        <v>850</v>
      </c>
      <c r="H791" s="24">
        <v>1</v>
      </c>
    </row>
    <row r="792" spans="2:8" x14ac:dyDescent="0.25">
      <c r="B792" s="21">
        <v>786</v>
      </c>
      <c r="C792" s="22">
        <v>44251</v>
      </c>
      <c r="D792" s="23" t="s">
        <v>9</v>
      </c>
      <c r="E792" s="23" t="s">
        <v>18</v>
      </c>
      <c r="F792" s="23" t="s">
        <v>17</v>
      </c>
      <c r="G792" s="23">
        <v>600</v>
      </c>
      <c r="H792" s="24">
        <v>1</v>
      </c>
    </row>
    <row r="793" spans="2:8" x14ac:dyDescent="0.25">
      <c r="B793" s="21">
        <v>787</v>
      </c>
      <c r="C793" s="22">
        <v>44252</v>
      </c>
      <c r="D793" s="23" t="s">
        <v>9</v>
      </c>
      <c r="E793" s="23" t="s">
        <v>19</v>
      </c>
      <c r="F793" s="23" t="s">
        <v>20</v>
      </c>
      <c r="G793" s="23">
        <v>850</v>
      </c>
      <c r="H793" s="24">
        <v>1</v>
      </c>
    </row>
    <row r="794" spans="2:8" x14ac:dyDescent="0.25">
      <c r="B794" s="21">
        <v>788</v>
      </c>
      <c r="C794" s="22">
        <v>44253</v>
      </c>
      <c r="D794" s="23" t="s">
        <v>9</v>
      </c>
      <c r="E794" s="23" t="s">
        <v>19</v>
      </c>
      <c r="F794" s="23" t="s">
        <v>20</v>
      </c>
      <c r="G794" s="23">
        <v>850</v>
      </c>
      <c r="H794" s="24">
        <v>1</v>
      </c>
    </row>
    <row r="795" spans="2:8" x14ac:dyDescent="0.25">
      <c r="B795" s="21">
        <v>789</v>
      </c>
      <c r="C795" s="22">
        <v>44254</v>
      </c>
      <c r="D795" s="23" t="s">
        <v>9</v>
      </c>
      <c r="E795" s="23" t="s">
        <v>12</v>
      </c>
      <c r="F795" s="23" t="s">
        <v>11</v>
      </c>
      <c r="G795" s="23">
        <v>900</v>
      </c>
      <c r="H795" s="24">
        <v>1</v>
      </c>
    </row>
    <row r="796" spans="2:8" x14ac:dyDescent="0.25">
      <c r="B796" s="21">
        <v>790</v>
      </c>
      <c r="C796" s="22">
        <v>44255</v>
      </c>
      <c r="D796" s="23" t="s">
        <v>9</v>
      </c>
      <c r="E796" s="23" t="s">
        <v>21</v>
      </c>
      <c r="F796" s="23" t="s">
        <v>20</v>
      </c>
      <c r="G796" s="23">
        <v>1200</v>
      </c>
      <c r="H796" s="24">
        <v>2</v>
      </c>
    </row>
    <row r="797" spans="2:8" x14ac:dyDescent="0.25">
      <c r="B797" s="21">
        <v>791</v>
      </c>
      <c r="C797" s="22">
        <v>44256</v>
      </c>
      <c r="D797" s="23" t="s">
        <v>9</v>
      </c>
      <c r="E797" s="23" t="s">
        <v>16</v>
      </c>
      <c r="F797" s="23" t="s">
        <v>17</v>
      </c>
      <c r="G797" s="23">
        <v>800</v>
      </c>
      <c r="H797" s="24">
        <v>1</v>
      </c>
    </row>
    <row r="798" spans="2:8" x14ac:dyDescent="0.25">
      <c r="B798" s="21">
        <v>792</v>
      </c>
      <c r="C798" s="22">
        <v>44257</v>
      </c>
      <c r="D798" s="23" t="s">
        <v>9</v>
      </c>
      <c r="E798" s="23" t="s">
        <v>16</v>
      </c>
      <c r="F798" s="23" t="s">
        <v>17</v>
      </c>
      <c r="G798" s="23">
        <v>800</v>
      </c>
      <c r="H798" s="24">
        <v>1</v>
      </c>
    </row>
    <row r="799" spans="2:8" x14ac:dyDescent="0.25">
      <c r="B799" s="21">
        <v>793</v>
      </c>
      <c r="C799" s="22">
        <v>44258</v>
      </c>
      <c r="D799" s="23" t="s">
        <v>9</v>
      </c>
      <c r="E799" s="23" t="s">
        <v>14</v>
      </c>
      <c r="F799" s="23" t="s">
        <v>11</v>
      </c>
      <c r="G799" s="23">
        <v>900</v>
      </c>
      <c r="H799" s="24">
        <v>1</v>
      </c>
    </row>
    <row r="800" spans="2:8" x14ac:dyDescent="0.25">
      <c r="B800" s="21">
        <v>794</v>
      </c>
      <c r="C800" s="22">
        <v>44259</v>
      </c>
      <c r="D800" s="23" t="s">
        <v>9</v>
      </c>
      <c r="E800" s="23" t="s">
        <v>16</v>
      </c>
      <c r="F800" s="23" t="s">
        <v>17</v>
      </c>
      <c r="G800" s="23">
        <v>800</v>
      </c>
      <c r="H800" s="24">
        <v>1</v>
      </c>
    </row>
    <row r="801" spans="2:8" x14ac:dyDescent="0.25">
      <c r="B801" s="21">
        <v>795</v>
      </c>
      <c r="C801" s="22">
        <v>44260</v>
      </c>
      <c r="D801" s="23" t="s">
        <v>9</v>
      </c>
      <c r="E801" s="23" t="s">
        <v>18</v>
      </c>
      <c r="F801" s="23" t="s">
        <v>17</v>
      </c>
      <c r="G801" s="23">
        <v>600</v>
      </c>
      <c r="H801" s="24">
        <v>1</v>
      </c>
    </row>
    <row r="802" spans="2:8" x14ac:dyDescent="0.25">
      <c r="B802" s="21">
        <v>796</v>
      </c>
      <c r="C802" s="22">
        <v>44261</v>
      </c>
      <c r="D802" s="23" t="s">
        <v>9</v>
      </c>
      <c r="E802" s="23" t="s">
        <v>12</v>
      </c>
      <c r="F802" s="23" t="s">
        <v>11</v>
      </c>
      <c r="G802" s="23">
        <v>900</v>
      </c>
      <c r="H802" s="24">
        <v>3</v>
      </c>
    </row>
    <row r="803" spans="2:8" x14ac:dyDescent="0.25">
      <c r="B803" s="21">
        <v>797</v>
      </c>
      <c r="C803" s="22">
        <v>44262</v>
      </c>
      <c r="D803" s="23" t="s">
        <v>9</v>
      </c>
      <c r="E803" s="23" t="s">
        <v>18</v>
      </c>
      <c r="F803" s="23" t="s">
        <v>17</v>
      </c>
      <c r="G803" s="23">
        <v>600</v>
      </c>
      <c r="H803" s="24">
        <v>1</v>
      </c>
    </row>
    <row r="804" spans="2:8" x14ac:dyDescent="0.25">
      <c r="B804" s="21">
        <v>798</v>
      </c>
      <c r="C804" s="22">
        <v>44263</v>
      </c>
      <c r="D804" s="23" t="s">
        <v>9</v>
      </c>
      <c r="E804" s="23" t="s">
        <v>16</v>
      </c>
      <c r="F804" s="23" t="s">
        <v>17</v>
      </c>
      <c r="G804" s="23">
        <v>800</v>
      </c>
      <c r="H804" s="24">
        <v>1</v>
      </c>
    </row>
    <row r="805" spans="2:8" x14ac:dyDescent="0.25">
      <c r="B805" s="21">
        <v>799</v>
      </c>
      <c r="C805" s="22">
        <v>44264</v>
      </c>
      <c r="D805" s="23" t="s">
        <v>9</v>
      </c>
      <c r="E805" s="23" t="s">
        <v>18</v>
      </c>
      <c r="F805" s="23" t="s">
        <v>17</v>
      </c>
      <c r="G805" s="23">
        <v>600</v>
      </c>
      <c r="H805" s="24">
        <v>1</v>
      </c>
    </row>
    <row r="806" spans="2:8" x14ac:dyDescent="0.25">
      <c r="B806" s="21">
        <v>800</v>
      </c>
      <c r="C806" s="22">
        <v>44265</v>
      </c>
      <c r="D806" s="23" t="s">
        <v>9</v>
      </c>
      <c r="E806" s="23" t="s">
        <v>10</v>
      </c>
      <c r="F806" s="23" t="s">
        <v>11</v>
      </c>
      <c r="G806" s="23">
        <v>1100</v>
      </c>
      <c r="H806" s="24">
        <v>1</v>
      </c>
    </row>
    <row r="807" spans="2:8" x14ac:dyDescent="0.25">
      <c r="B807" s="21">
        <v>801</v>
      </c>
      <c r="C807" s="22">
        <v>44266</v>
      </c>
      <c r="D807" s="23" t="s">
        <v>9</v>
      </c>
      <c r="E807" s="23" t="s">
        <v>14</v>
      </c>
      <c r="F807" s="23" t="s">
        <v>11</v>
      </c>
      <c r="G807" s="23">
        <v>900</v>
      </c>
      <c r="H807" s="24">
        <v>1</v>
      </c>
    </row>
    <row r="808" spans="2:8" x14ac:dyDescent="0.25">
      <c r="B808" s="21">
        <v>802</v>
      </c>
      <c r="C808" s="22">
        <v>44267</v>
      </c>
      <c r="D808" s="23" t="s">
        <v>9</v>
      </c>
      <c r="E808" s="23" t="s">
        <v>10</v>
      </c>
      <c r="F808" s="23" t="s">
        <v>11</v>
      </c>
      <c r="G808" s="23">
        <v>1100</v>
      </c>
      <c r="H808" s="24">
        <v>1</v>
      </c>
    </row>
    <row r="809" spans="2:8" x14ac:dyDescent="0.25">
      <c r="B809" s="21">
        <v>803</v>
      </c>
      <c r="C809" s="22">
        <v>44268</v>
      </c>
      <c r="D809" s="23" t="s">
        <v>9</v>
      </c>
      <c r="E809" s="23" t="s">
        <v>10</v>
      </c>
      <c r="F809" s="23" t="s">
        <v>11</v>
      </c>
      <c r="G809" s="23">
        <v>1100</v>
      </c>
      <c r="H809" s="24">
        <v>1</v>
      </c>
    </row>
    <row r="810" spans="2:8" x14ac:dyDescent="0.25">
      <c r="B810" s="21">
        <v>804</v>
      </c>
      <c r="C810" s="22">
        <v>44269</v>
      </c>
      <c r="D810" s="23" t="s">
        <v>9</v>
      </c>
      <c r="E810" s="23" t="s">
        <v>21</v>
      </c>
      <c r="F810" s="23" t="s">
        <v>20</v>
      </c>
      <c r="G810" s="23">
        <v>1200</v>
      </c>
      <c r="H810" s="24">
        <v>1</v>
      </c>
    </row>
    <row r="811" spans="2:8" x14ac:dyDescent="0.25">
      <c r="B811" s="21">
        <v>805</v>
      </c>
      <c r="C811" s="22">
        <v>44270</v>
      </c>
      <c r="D811" s="23" t="s">
        <v>9</v>
      </c>
      <c r="E811" s="23" t="s">
        <v>21</v>
      </c>
      <c r="F811" s="23" t="s">
        <v>20</v>
      </c>
      <c r="G811" s="23">
        <v>1200</v>
      </c>
      <c r="H811" s="24">
        <v>1</v>
      </c>
    </row>
    <row r="812" spans="2:8" x14ac:dyDescent="0.25">
      <c r="B812" s="21">
        <v>806</v>
      </c>
      <c r="C812" s="22">
        <v>44271</v>
      </c>
      <c r="D812" s="23" t="s">
        <v>9</v>
      </c>
      <c r="E812" s="23" t="s">
        <v>10</v>
      </c>
      <c r="F812" s="23" t="s">
        <v>11</v>
      </c>
      <c r="G812" s="23">
        <v>1100</v>
      </c>
      <c r="H812" s="24">
        <v>1</v>
      </c>
    </row>
    <row r="813" spans="2:8" x14ac:dyDescent="0.25">
      <c r="B813" s="21">
        <v>807</v>
      </c>
      <c r="C813" s="22">
        <v>44272</v>
      </c>
      <c r="D813" s="23" t="s">
        <v>9</v>
      </c>
      <c r="E813" s="23" t="s">
        <v>10</v>
      </c>
      <c r="F813" s="23" t="s">
        <v>11</v>
      </c>
      <c r="G813" s="23">
        <v>1100</v>
      </c>
      <c r="H813" s="24">
        <v>1</v>
      </c>
    </row>
    <row r="814" spans="2:8" x14ac:dyDescent="0.25">
      <c r="B814" s="21">
        <v>808</v>
      </c>
      <c r="C814" s="22">
        <v>44273</v>
      </c>
      <c r="D814" s="23" t="s">
        <v>9</v>
      </c>
      <c r="E814" s="23" t="s">
        <v>22</v>
      </c>
      <c r="F814" s="23" t="s">
        <v>23</v>
      </c>
      <c r="G814" s="23">
        <v>900</v>
      </c>
      <c r="H814" s="24">
        <v>1</v>
      </c>
    </row>
    <row r="815" spans="2:8" x14ac:dyDescent="0.25">
      <c r="B815" s="21">
        <v>809</v>
      </c>
      <c r="C815" s="22">
        <v>44274</v>
      </c>
      <c r="D815" s="23" t="s">
        <v>9</v>
      </c>
      <c r="E815" s="23" t="s">
        <v>14</v>
      </c>
      <c r="F815" s="23" t="s">
        <v>11</v>
      </c>
      <c r="G815" s="23">
        <v>900</v>
      </c>
      <c r="H815" s="24">
        <v>1</v>
      </c>
    </row>
    <row r="816" spans="2:8" x14ac:dyDescent="0.25">
      <c r="B816" s="21">
        <v>810</v>
      </c>
      <c r="C816" s="22">
        <v>44275</v>
      </c>
      <c r="D816" s="23" t="s">
        <v>9</v>
      </c>
      <c r="E816" s="23" t="s">
        <v>22</v>
      </c>
      <c r="F816" s="23" t="s">
        <v>23</v>
      </c>
      <c r="G816" s="23">
        <v>800</v>
      </c>
      <c r="H816" s="24">
        <v>1</v>
      </c>
    </row>
    <row r="817" spans="2:8" x14ac:dyDescent="0.25">
      <c r="B817" s="21">
        <v>811</v>
      </c>
      <c r="C817" s="22">
        <v>44276</v>
      </c>
      <c r="D817" s="23" t="s">
        <v>9</v>
      </c>
      <c r="E817" s="23" t="s">
        <v>18</v>
      </c>
      <c r="F817" s="23" t="s">
        <v>17</v>
      </c>
      <c r="G817" s="23">
        <v>600</v>
      </c>
      <c r="H817" s="24">
        <v>1</v>
      </c>
    </row>
    <row r="818" spans="2:8" x14ac:dyDescent="0.25">
      <c r="B818" s="21">
        <v>812</v>
      </c>
      <c r="C818" s="22">
        <v>44277</v>
      </c>
      <c r="D818" s="23" t="s">
        <v>9</v>
      </c>
      <c r="E818" s="23" t="s">
        <v>22</v>
      </c>
      <c r="F818" s="23" t="s">
        <v>23</v>
      </c>
      <c r="G818" s="23">
        <v>800</v>
      </c>
      <c r="H818" s="24">
        <v>1</v>
      </c>
    </row>
    <row r="819" spans="2:8" x14ac:dyDescent="0.25">
      <c r="B819" s="21">
        <v>813</v>
      </c>
      <c r="C819" s="22">
        <v>44278</v>
      </c>
      <c r="D819" s="23" t="s">
        <v>9</v>
      </c>
      <c r="E819" s="23" t="s">
        <v>14</v>
      </c>
      <c r="F819" s="23" t="s">
        <v>11</v>
      </c>
      <c r="G819" s="23">
        <v>900</v>
      </c>
      <c r="H819" s="24">
        <v>1</v>
      </c>
    </row>
    <row r="820" spans="2:8" x14ac:dyDescent="0.25">
      <c r="B820" s="21">
        <v>814</v>
      </c>
      <c r="C820" s="22">
        <v>44279</v>
      </c>
      <c r="D820" s="23" t="s">
        <v>9</v>
      </c>
      <c r="E820" s="23" t="s">
        <v>21</v>
      </c>
      <c r="F820" s="23" t="s">
        <v>20</v>
      </c>
      <c r="G820" s="23">
        <v>1200</v>
      </c>
      <c r="H820" s="24">
        <v>1</v>
      </c>
    </row>
    <row r="821" spans="2:8" x14ac:dyDescent="0.25">
      <c r="B821" s="21">
        <v>815</v>
      </c>
      <c r="C821" s="22">
        <v>44280</v>
      </c>
      <c r="D821" s="23" t="s">
        <v>9</v>
      </c>
      <c r="E821" s="23" t="s">
        <v>22</v>
      </c>
      <c r="F821" s="23" t="s">
        <v>23</v>
      </c>
      <c r="G821" s="23">
        <v>800</v>
      </c>
      <c r="H821" s="24">
        <v>1</v>
      </c>
    </row>
    <row r="822" spans="2:8" x14ac:dyDescent="0.25">
      <c r="B822" s="21">
        <v>816</v>
      </c>
      <c r="C822" s="22">
        <v>44281</v>
      </c>
      <c r="D822" s="23" t="s">
        <v>9</v>
      </c>
      <c r="E822" s="23" t="s">
        <v>12</v>
      </c>
      <c r="F822" s="23" t="s">
        <v>11</v>
      </c>
      <c r="G822" s="23">
        <v>900</v>
      </c>
      <c r="H822" s="24">
        <v>1</v>
      </c>
    </row>
    <row r="823" spans="2:8" x14ac:dyDescent="0.25">
      <c r="B823" s="21">
        <v>817</v>
      </c>
      <c r="C823" s="22">
        <v>44282</v>
      </c>
      <c r="D823" s="23" t="s">
        <v>9</v>
      </c>
      <c r="E823" s="23" t="s">
        <v>21</v>
      </c>
      <c r="F823" s="23" t="s">
        <v>20</v>
      </c>
      <c r="G823" s="23">
        <v>1200</v>
      </c>
      <c r="H823" s="24">
        <v>1</v>
      </c>
    </row>
    <row r="824" spans="2:8" x14ac:dyDescent="0.25">
      <c r="B824" s="21">
        <v>818</v>
      </c>
      <c r="C824" s="22">
        <v>44283</v>
      </c>
      <c r="D824" s="23" t="s">
        <v>9</v>
      </c>
      <c r="E824" s="23" t="s">
        <v>10</v>
      </c>
      <c r="F824" s="23" t="s">
        <v>11</v>
      </c>
      <c r="G824" s="23">
        <v>1100</v>
      </c>
      <c r="H824" s="24">
        <v>1</v>
      </c>
    </row>
    <row r="825" spans="2:8" x14ac:dyDescent="0.25">
      <c r="B825" s="21">
        <v>819</v>
      </c>
      <c r="C825" s="22">
        <v>44284</v>
      </c>
      <c r="D825" s="23" t="s">
        <v>9</v>
      </c>
      <c r="E825" s="23" t="s">
        <v>21</v>
      </c>
      <c r="F825" s="23" t="s">
        <v>20</v>
      </c>
      <c r="G825" s="23">
        <v>1200</v>
      </c>
      <c r="H825" s="24">
        <v>1</v>
      </c>
    </row>
    <row r="826" spans="2:8" x14ac:dyDescent="0.25">
      <c r="B826" s="21">
        <v>820</v>
      </c>
      <c r="C826" s="22">
        <v>44285</v>
      </c>
      <c r="D826" s="23" t="s">
        <v>9</v>
      </c>
      <c r="E826" s="23" t="s">
        <v>14</v>
      </c>
      <c r="F826" s="23" t="s">
        <v>11</v>
      </c>
      <c r="G826" s="23">
        <v>900</v>
      </c>
      <c r="H826" s="24">
        <v>1</v>
      </c>
    </row>
    <row r="827" spans="2:8" x14ac:dyDescent="0.25">
      <c r="B827" s="21">
        <v>821</v>
      </c>
      <c r="C827" s="22">
        <v>44286</v>
      </c>
      <c r="D827" s="23" t="s">
        <v>9</v>
      </c>
      <c r="E827" s="23" t="s">
        <v>10</v>
      </c>
      <c r="F827" s="23" t="s">
        <v>11</v>
      </c>
      <c r="G827" s="23">
        <v>1100</v>
      </c>
      <c r="H827" s="24">
        <v>2</v>
      </c>
    </row>
    <row r="828" spans="2:8" x14ac:dyDescent="0.25">
      <c r="B828" s="21">
        <v>822</v>
      </c>
      <c r="C828" s="22">
        <v>44287</v>
      </c>
      <c r="D828" s="23" t="s">
        <v>9</v>
      </c>
      <c r="E828" s="23" t="s">
        <v>21</v>
      </c>
      <c r="F828" s="23" t="s">
        <v>20</v>
      </c>
      <c r="G828" s="23">
        <v>1200</v>
      </c>
      <c r="H828" s="24">
        <v>1</v>
      </c>
    </row>
    <row r="829" spans="2:8" x14ac:dyDescent="0.25">
      <c r="B829" s="21">
        <v>823</v>
      </c>
      <c r="C829" s="22">
        <v>44288</v>
      </c>
      <c r="D829" s="23" t="s">
        <v>9</v>
      </c>
      <c r="E829" s="23" t="s">
        <v>10</v>
      </c>
      <c r="F829" s="23" t="s">
        <v>11</v>
      </c>
      <c r="G829" s="23">
        <v>1100</v>
      </c>
      <c r="H829" s="24">
        <v>1</v>
      </c>
    </row>
    <row r="830" spans="2:8" x14ac:dyDescent="0.25">
      <c r="B830" s="21">
        <v>824</v>
      </c>
      <c r="C830" s="22">
        <v>44289</v>
      </c>
      <c r="D830" s="23" t="s">
        <v>9</v>
      </c>
      <c r="E830" s="23" t="s">
        <v>12</v>
      </c>
      <c r="F830" s="23" t="s">
        <v>11</v>
      </c>
      <c r="G830" s="23">
        <v>900</v>
      </c>
      <c r="H830" s="24">
        <v>1</v>
      </c>
    </row>
    <row r="831" spans="2:8" x14ac:dyDescent="0.25">
      <c r="B831" s="21">
        <v>825</v>
      </c>
      <c r="C831" s="22">
        <v>44290</v>
      </c>
      <c r="D831" s="23" t="s">
        <v>9</v>
      </c>
      <c r="E831" s="23" t="s">
        <v>18</v>
      </c>
      <c r="F831" s="23" t="s">
        <v>17</v>
      </c>
      <c r="G831" s="23">
        <v>600</v>
      </c>
      <c r="H831" s="24">
        <v>1</v>
      </c>
    </row>
    <row r="832" spans="2:8" x14ac:dyDescent="0.25">
      <c r="B832" s="21">
        <v>826</v>
      </c>
      <c r="C832" s="22">
        <v>44291</v>
      </c>
      <c r="D832" s="23" t="s">
        <v>9</v>
      </c>
      <c r="E832" s="23" t="s">
        <v>22</v>
      </c>
      <c r="F832" s="23" t="s">
        <v>23</v>
      </c>
      <c r="G832" s="23">
        <v>900</v>
      </c>
      <c r="H832" s="24">
        <v>1</v>
      </c>
    </row>
    <row r="833" spans="2:8" x14ac:dyDescent="0.25">
      <c r="B833" s="21">
        <v>827</v>
      </c>
      <c r="C833" s="22">
        <v>44292</v>
      </c>
      <c r="D833" s="23" t="s">
        <v>9</v>
      </c>
      <c r="E833" s="23" t="s">
        <v>16</v>
      </c>
      <c r="F833" s="23" t="s">
        <v>17</v>
      </c>
      <c r="G833" s="23">
        <v>800</v>
      </c>
      <c r="H833" s="24">
        <v>1</v>
      </c>
    </row>
    <row r="834" spans="2:8" x14ac:dyDescent="0.25">
      <c r="B834" s="21">
        <v>828</v>
      </c>
      <c r="C834" s="22">
        <v>44293</v>
      </c>
      <c r="D834" s="23" t="s">
        <v>9</v>
      </c>
      <c r="E834" s="23" t="s">
        <v>10</v>
      </c>
      <c r="F834" s="23" t="s">
        <v>11</v>
      </c>
      <c r="G834" s="23">
        <v>1100</v>
      </c>
      <c r="H834" s="24">
        <v>1</v>
      </c>
    </row>
    <row r="835" spans="2:8" x14ac:dyDescent="0.25">
      <c r="B835" s="21">
        <v>829</v>
      </c>
      <c r="C835" s="22">
        <v>44294</v>
      </c>
      <c r="D835" s="23" t="s">
        <v>9</v>
      </c>
      <c r="E835" s="23" t="s">
        <v>14</v>
      </c>
      <c r="F835" s="23" t="s">
        <v>11</v>
      </c>
      <c r="G835" s="23">
        <v>900</v>
      </c>
      <c r="H835" s="24">
        <v>1</v>
      </c>
    </row>
    <row r="836" spans="2:8" x14ac:dyDescent="0.25">
      <c r="B836" s="21">
        <v>830</v>
      </c>
      <c r="C836" s="22">
        <v>44295</v>
      </c>
      <c r="D836" s="23" t="s">
        <v>9</v>
      </c>
      <c r="E836" s="23" t="s">
        <v>15</v>
      </c>
      <c r="F836" s="23" t="s">
        <v>11</v>
      </c>
      <c r="G836" s="23">
        <v>1000</v>
      </c>
      <c r="H836" s="24">
        <v>1</v>
      </c>
    </row>
    <row r="837" spans="2:8" x14ac:dyDescent="0.25">
      <c r="B837" s="21">
        <v>831</v>
      </c>
      <c r="C837" s="22">
        <v>44296</v>
      </c>
      <c r="D837" s="23" t="s">
        <v>9</v>
      </c>
      <c r="E837" s="23" t="s">
        <v>19</v>
      </c>
      <c r="F837" s="23" t="s">
        <v>20</v>
      </c>
      <c r="G837" s="23">
        <v>850</v>
      </c>
      <c r="H837" s="24">
        <v>1</v>
      </c>
    </row>
    <row r="838" spans="2:8" x14ac:dyDescent="0.25">
      <c r="B838" s="21">
        <v>832</v>
      </c>
      <c r="C838" s="22">
        <v>44297</v>
      </c>
      <c r="D838" s="23" t="s">
        <v>9</v>
      </c>
      <c r="E838" s="23" t="s">
        <v>18</v>
      </c>
      <c r="F838" s="23" t="s">
        <v>17</v>
      </c>
      <c r="G838" s="23">
        <v>600</v>
      </c>
      <c r="H838" s="24">
        <v>1</v>
      </c>
    </row>
    <row r="839" spans="2:8" x14ac:dyDescent="0.25">
      <c r="B839" s="21">
        <v>833</v>
      </c>
      <c r="C839" s="22">
        <v>44298</v>
      </c>
      <c r="D839" s="23" t="s">
        <v>9</v>
      </c>
      <c r="E839" s="23" t="s">
        <v>14</v>
      </c>
      <c r="F839" s="23" t="s">
        <v>11</v>
      </c>
      <c r="G839" s="23">
        <v>900</v>
      </c>
      <c r="H839" s="24">
        <v>1</v>
      </c>
    </row>
    <row r="840" spans="2:8" x14ac:dyDescent="0.25">
      <c r="B840" s="21">
        <v>834</v>
      </c>
      <c r="C840" s="22">
        <v>44299</v>
      </c>
      <c r="D840" s="23" t="s">
        <v>9</v>
      </c>
      <c r="E840" s="23" t="s">
        <v>15</v>
      </c>
      <c r="F840" s="23" t="s">
        <v>11</v>
      </c>
      <c r="G840" s="23">
        <v>1000</v>
      </c>
      <c r="H840" s="24">
        <v>1</v>
      </c>
    </row>
    <row r="841" spans="2:8" x14ac:dyDescent="0.25">
      <c r="B841" s="21">
        <v>835</v>
      </c>
      <c r="C841" s="22">
        <v>44300</v>
      </c>
      <c r="D841" s="23" t="s">
        <v>9</v>
      </c>
      <c r="E841" s="23" t="s">
        <v>14</v>
      </c>
      <c r="F841" s="23" t="s">
        <v>11</v>
      </c>
      <c r="G841" s="23">
        <v>900</v>
      </c>
      <c r="H841" s="24">
        <v>1</v>
      </c>
    </row>
    <row r="842" spans="2:8" x14ac:dyDescent="0.25">
      <c r="B842" s="21">
        <v>836</v>
      </c>
      <c r="C842" s="22">
        <v>44301</v>
      </c>
      <c r="D842" s="23" t="s">
        <v>9</v>
      </c>
      <c r="E842" s="23" t="s">
        <v>12</v>
      </c>
      <c r="F842" s="23" t="s">
        <v>11</v>
      </c>
      <c r="G842" s="23">
        <v>900</v>
      </c>
      <c r="H842" s="24">
        <v>1</v>
      </c>
    </row>
    <row r="843" spans="2:8" x14ac:dyDescent="0.25">
      <c r="B843" s="21">
        <v>837</v>
      </c>
      <c r="C843" s="22">
        <v>44302</v>
      </c>
      <c r="D843" s="23" t="s">
        <v>9</v>
      </c>
      <c r="E843" s="23" t="s">
        <v>18</v>
      </c>
      <c r="F843" s="23" t="s">
        <v>17</v>
      </c>
      <c r="G843" s="23">
        <v>600</v>
      </c>
      <c r="H843" s="24">
        <v>1</v>
      </c>
    </row>
    <row r="844" spans="2:8" x14ac:dyDescent="0.25">
      <c r="B844" s="21">
        <v>838</v>
      </c>
      <c r="C844" s="22">
        <v>44303</v>
      </c>
      <c r="D844" s="23" t="s">
        <v>9</v>
      </c>
      <c r="E844" s="23" t="s">
        <v>22</v>
      </c>
      <c r="F844" s="23" t="s">
        <v>23</v>
      </c>
      <c r="G844" s="23">
        <v>900</v>
      </c>
      <c r="H844" s="24">
        <v>1</v>
      </c>
    </row>
    <row r="845" spans="2:8" x14ac:dyDescent="0.25">
      <c r="B845" s="21">
        <v>839</v>
      </c>
      <c r="C845" s="22">
        <v>44304</v>
      </c>
      <c r="D845" s="23" t="s">
        <v>9</v>
      </c>
      <c r="E845" s="23" t="s">
        <v>22</v>
      </c>
      <c r="F845" s="23" t="s">
        <v>23</v>
      </c>
      <c r="G845" s="23">
        <v>800</v>
      </c>
      <c r="H845" s="24">
        <v>1</v>
      </c>
    </row>
    <row r="846" spans="2:8" x14ac:dyDescent="0.25">
      <c r="B846" s="21">
        <v>840</v>
      </c>
      <c r="C846" s="22">
        <v>44305</v>
      </c>
      <c r="D846" s="23" t="s">
        <v>9</v>
      </c>
      <c r="E846" s="23" t="s">
        <v>16</v>
      </c>
      <c r="F846" s="23" t="s">
        <v>17</v>
      </c>
      <c r="G846" s="23">
        <v>800</v>
      </c>
      <c r="H846" s="24">
        <v>1</v>
      </c>
    </row>
    <row r="847" spans="2:8" x14ac:dyDescent="0.25">
      <c r="B847" s="21">
        <v>841</v>
      </c>
      <c r="C847" s="22">
        <v>44306</v>
      </c>
      <c r="D847" s="23" t="s">
        <v>9</v>
      </c>
      <c r="E847" s="23" t="s">
        <v>18</v>
      </c>
      <c r="F847" s="23" t="s">
        <v>17</v>
      </c>
      <c r="G847" s="23">
        <v>600</v>
      </c>
      <c r="H847" s="24">
        <v>1</v>
      </c>
    </row>
    <row r="848" spans="2:8" x14ac:dyDescent="0.25">
      <c r="B848" s="21">
        <v>842</v>
      </c>
      <c r="C848" s="22">
        <v>44307</v>
      </c>
      <c r="D848" s="23" t="s">
        <v>9</v>
      </c>
      <c r="E848" s="23" t="s">
        <v>22</v>
      </c>
      <c r="F848" s="23" t="s">
        <v>23</v>
      </c>
      <c r="G848" s="23">
        <v>500</v>
      </c>
      <c r="H848" s="24">
        <v>1</v>
      </c>
    </row>
    <row r="849" spans="2:8" x14ac:dyDescent="0.25">
      <c r="B849" s="21">
        <v>843</v>
      </c>
      <c r="C849" s="22">
        <v>44308</v>
      </c>
      <c r="D849" s="23" t="s">
        <v>9</v>
      </c>
      <c r="E849" s="23" t="s">
        <v>14</v>
      </c>
      <c r="F849" s="23" t="s">
        <v>11</v>
      </c>
      <c r="G849" s="23">
        <v>900</v>
      </c>
      <c r="H849" s="24">
        <v>1</v>
      </c>
    </row>
    <row r="850" spans="2:8" x14ac:dyDescent="0.25">
      <c r="B850" s="21">
        <v>844</v>
      </c>
      <c r="C850" s="22">
        <v>44309</v>
      </c>
      <c r="D850" s="23" t="s">
        <v>9</v>
      </c>
      <c r="E850" s="23" t="s">
        <v>10</v>
      </c>
      <c r="F850" s="23" t="s">
        <v>11</v>
      </c>
      <c r="G850" s="23">
        <v>1100</v>
      </c>
      <c r="H850" s="24">
        <v>1</v>
      </c>
    </row>
    <row r="851" spans="2:8" x14ac:dyDescent="0.25">
      <c r="B851" s="21">
        <v>845</v>
      </c>
      <c r="C851" s="22">
        <v>44310</v>
      </c>
      <c r="D851" s="23" t="s">
        <v>9</v>
      </c>
      <c r="E851" s="23" t="s">
        <v>22</v>
      </c>
      <c r="F851" s="23" t="s">
        <v>23</v>
      </c>
      <c r="G851" s="23">
        <v>500</v>
      </c>
      <c r="H851" s="24">
        <v>1</v>
      </c>
    </row>
    <row r="852" spans="2:8" x14ac:dyDescent="0.25">
      <c r="B852" s="21">
        <v>846</v>
      </c>
      <c r="C852" s="22">
        <v>44311</v>
      </c>
      <c r="D852" s="23" t="s">
        <v>9</v>
      </c>
      <c r="E852" s="23" t="s">
        <v>18</v>
      </c>
      <c r="F852" s="23" t="s">
        <v>17</v>
      </c>
      <c r="G852" s="23">
        <v>600</v>
      </c>
      <c r="H852" s="24">
        <v>1</v>
      </c>
    </row>
    <row r="853" spans="2:8" x14ac:dyDescent="0.25">
      <c r="B853" s="21">
        <v>847</v>
      </c>
      <c r="C853" s="22">
        <v>44312</v>
      </c>
      <c r="D853" s="23" t="s">
        <v>9</v>
      </c>
      <c r="E853" s="23" t="s">
        <v>14</v>
      </c>
      <c r="F853" s="23" t="s">
        <v>11</v>
      </c>
      <c r="G853" s="23">
        <v>900</v>
      </c>
      <c r="H853" s="24">
        <v>1</v>
      </c>
    </row>
    <row r="854" spans="2:8" x14ac:dyDescent="0.25">
      <c r="B854" s="21">
        <v>848</v>
      </c>
      <c r="C854" s="22">
        <v>44313</v>
      </c>
      <c r="D854" s="23" t="s">
        <v>9</v>
      </c>
      <c r="E854" s="23" t="s">
        <v>22</v>
      </c>
      <c r="F854" s="23" t="s">
        <v>23</v>
      </c>
      <c r="G854" s="23">
        <v>500</v>
      </c>
      <c r="H854" s="24">
        <v>1</v>
      </c>
    </row>
    <row r="855" spans="2:8" x14ac:dyDescent="0.25">
      <c r="B855" s="21">
        <v>849</v>
      </c>
      <c r="C855" s="22">
        <v>44314</v>
      </c>
      <c r="D855" s="23" t="s">
        <v>9</v>
      </c>
      <c r="E855" s="23" t="s">
        <v>22</v>
      </c>
      <c r="F855" s="23" t="s">
        <v>23</v>
      </c>
      <c r="G855" s="23">
        <v>500</v>
      </c>
      <c r="H855" s="24">
        <v>1</v>
      </c>
    </row>
    <row r="856" spans="2:8" x14ac:dyDescent="0.25">
      <c r="B856" s="21">
        <v>850</v>
      </c>
      <c r="C856" s="22">
        <v>44315</v>
      </c>
      <c r="D856" s="23" t="s">
        <v>9</v>
      </c>
      <c r="E856" s="23" t="s">
        <v>18</v>
      </c>
      <c r="F856" s="23" t="s">
        <v>17</v>
      </c>
      <c r="G856" s="23">
        <v>600</v>
      </c>
      <c r="H856" s="24">
        <v>1</v>
      </c>
    </row>
    <row r="857" spans="2:8" x14ac:dyDescent="0.25">
      <c r="B857" s="21">
        <v>851</v>
      </c>
      <c r="C857" s="22">
        <v>44316</v>
      </c>
      <c r="D857" s="23" t="s">
        <v>9</v>
      </c>
      <c r="E857" s="23" t="s">
        <v>18</v>
      </c>
      <c r="F857" s="23" t="s">
        <v>17</v>
      </c>
      <c r="G857" s="23">
        <v>600</v>
      </c>
      <c r="H857" s="24">
        <v>1</v>
      </c>
    </row>
    <row r="858" spans="2:8" x14ac:dyDescent="0.25">
      <c r="B858" s="21">
        <v>852</v>
      </c>
      <c r="C858" s="22">
        <v>44317</v>
      </c>
      <c r="D858" s="23" t="s">
        <v>9</v>
      </c>
      <c r="E858" s="23" t="s">
        <v>16</v>
      </c>
      <c r="F858" s="23" t="s">
        <v>17</v>
      </c>
      <c r="G858" s="23">
        <v>800</v>
      </c>
      <c r="H858" s="24">
        <v>1</v>
      </c>
    </row>
    <row r="859" spans="2:8" x14ac:dyDescent="0.25">
      <c r="B859" s="21">
        <v>853</v>
      </c>
      <c r="C859" s="22">
        <v>44318</v>
      </c>
      <c r="D859" s="23" t="s">
        <v>9</v>
      </c>
      <c r="E859" s="23" t="s">
        <v>19</v>
      </c>
      <c r="F859" s="23" t="s">
        <v>20</v>
      </c>
      <c r="G859" s="23">
        <v>850</v>
      </c>
      <c r="H859" s="24">
        <v>1</v>
      </c>
    </row>
    <row r="860" spans="2:8" x14ac:dyDescent="0.25">
      <c r="B860" s="21">
        <v>854</v>
      </c>
      <c r="C860" s="22">
        <v>44319</v>
      </c>
      <c r="D860" s="23" t="s">
        <v>9</v>
      </c>
      <c r="E860" s="23" t="s">
        <v>22</v>
      </c>
      <c r="F860" s="23" t="s">
        <v>23</v>
      </c>
      <c r="G860" s="23">
        <v>500</v>
      </c>
      <c r="H860" s="24">
        <v>1</v>
      </c>
    </row>
    <row r="861" spans="2:8" x14ac:dyDescent="0.25">
      <c r="B861" s="21">
        <v>855</v>
      </c>
      <c r="C861" s="22">
        <v>44320</v>
      </c>
      <c r="D861" s="23" t="s">
        <v>9</v>
      </c>
      <c r="E861" s="23" t="s">
        <v>22</v>
      </c>
      <c r="F861" s="23" t="s">
        <v>23</v>
      </c>
      <c r="G861" s="23">
        <v>500</v>
      </c>
      <c r="H861" s="24">
        <v>1</v>
      </c>
    </row>
    <row r="862" spans="2:8" x14ac:dyDescent="0.25">
      <c r="B862" s="21">
        <v>856</v>
      </c>
      <c r="C862" s="22">
        <v>44321</v>
      </c>
      <c r="D862" s="23" t="s">
        <v>9</v>
      </c>
      <c r="E862" s="23" t="s">
        <v>10</v>
      </c>
      <c r="F862" s="23" t="s">
        <v>11</v>
      </c>
      <c r="G862" s="23">
        <v>1100</v>
      </c>
      <c r="H862" s="24">
        <v>1</v>
      </c>
    </row>
    <row r="863" spans="2:8" x14ac:dyDescent="0.25">
      <c r="B863" s="21">
        <v>857</v>
      </c>
      <c r="C863" s="22">
        <v>44322</v>
      </c>
      <c r="D863" s="23" t="s">
        <v>9</v>
      </c>
      <c r="E863" s="23" t="s">
        <v>22</v>
      </c>
      <c r="F863" s="23" t="s">
        <v>23</v>
      </c>
      <c r="G863" s="23">
        <v>500</v>
      </c>
      <c r="H863" s="24">
        <v>1</v>
      </c>
    </row>
    <row r="864" spans="2:8" x14ac:dyDescent="0.25">
      <c r="B864" s="21">
        <v>858</v>
      </c>
      <c r="C864" s="22">
        <v>44323</v>
      </c>
      <c r="D864" s="23" t="s">
        <v>9</v>
      </c>
      <c r="E864" s="23" t="s">
        <v>15</v>
      </c>
      <c r="F864" s="23" t="s">
        <v>11</v>
      </c>
      <c r="G864" s="23">
        <v>1000</v>
      </c>
      <c r="H864" s="24">
        <v>1</v>
      </c>
    </row>
    <row r="865" spans="2:8" x14ac:dyDescent="0.25">
      <c r="B865" s="21">
        <v>859</v>
      </c>
      <c r="C865" s="22">
        <v>44324</v>
      </c>
      <c r="D865" s="23" t="s">
        <v>9</v>
      </c>
      <c r="E865" s="23" t="s">
        <v>16</v>
      </c>
      <c r="F865" s="23" t="s">
        <v>17</v>
      </c>
      <c r="G865" s="23">
        <v>800</v>
      </c>
      <c r="H865" s="24">
        <v>1</v>
      </c>
    </row>
    <row r="866" spans="2:8" x14ac:dyDescent="0.25">
      <c r="B866" s="21">
        <v>860</v>
      </c>
      <c r="C866" s="22">
        <v>44325</v>
      </c>
      <c r="D866" s="23" t="s">
        <v>9</v>
      </c>
      <c r="E866" s="23" t="s">
        <v>24</v>
      </c>
      <c r="F866" s="23" t="s">
        <v>23</v>
      </c>
      <c r="G866" s="23">
        <v>600</v>
      </c>
      <c r="H866" s="24">
        <v>1</v>
      </c>
    </row>
    <row r="867" spans="2:8" x14ac:dyDescent="0.25">
      <c r="B867" s="21">
        <v>861</v>
      </c>
      <c r="C867" s="22">
        <v>44326</v>
      </c>
      <c r="D867" s="23" t="s">
        <v>9</v>
      </c>
      <c r="E867" s="23" t="s">
        <v>24</v>
      </c>
      <c r="F867" s="23" t="s">
        <v>23</v>
      </c>
      <c r="G867" s="23">
        <v>600</v>
      </c>
      <c r="H867" s="24">
        <v>1</v>
      </c>
    </row>
    <row r="868" spans="2:8" x14ac:dyDescent="0.25">
      <c r="B868" s="21">
        <v>862</v>
      </c>
      <c r="C868" s="22">
        <v>44327</v>
      </c>
      <c r="D868" s="23" t="s">
        <v>9</v>
      </c>
      <c r="E868" s="23" t="s">
        <v>19</v>
      </c>
      <c r="F868" s="23" t="s">
        <v>20</v>
      </c>
      <c r="G868" s="23">
        <v>850</v>
      </c>
      <c r="H868" s="24">
        <v>1</v>
      </c>
    </row>
    <row r="869" spans="2:8" x14ac:dyDescent="0.25">
      <c r="B869" s="21">
        <v>863</v>
      </c>
      <c r="C869" s="22">
        <v>44328</v>
      </c>
      <c r="D869" s="23" t="s">
        <v>9</v>
      </c>
      <c r="E869" s="23" t="s">
        <v>24</v>
      </c>
      <c r="F869" s="23" t="s">
        <v>23</v>
      </c>
      <c r="G869" s="23">
        <v>600</v>
      </c>
      <c r="H869" s="24">
        <v>1</v>
      </c>
    </row>
    <row r="870" spans="2:8" x14ac:dyDescent="0.25">
      <c r="B870" s="21">
        <v>864</v>
      </c>
      <c r="C870" s="22">
        <v>44329</v>
      </c>
      <c r="D870" s="23" t="s">
        <v>9</v>
      </c>
      <c r="E870" s="23" t="s">
        <v>18</v>
      </c>
      <c r="F870" s="23" t="s">
        <v>17</v>
      </c>
      <c r="G870" s="23">
        <v>600</v>
      </c>
      <c r="H870" s="24">
        <v>1</v>
      </c>
    </row>
    <row r="871" spans="2:8" x14ac:dyDescent="0.25">
      <c r="B871" s="21">
        <v>865</v>
      </c>
      <c r="C871" s="22">
        <v>44330</v>
      </c>
      <c r="D871" s="23" t="s">
        <v>9</v>
      </c>
      <c r="E871" s="23" t="s">
        <v>24</v>
      </c>
      <c r="F871" s="23" t="s">
        <v>23</v>
      </c>
      <c r="G871" s="23">
        <v>600</v>
      </c>
      <c r="H871" s="24">
        <v>1</v>
      </c>
    </row>
    <row r="872" spans="2:8" x14ac:dyDescent="0.25">
      <c r="B872" s="21">
        <v>866</v>
      </c>
      <c r="C872" s="22">
        <v>44331</v>
      </c>
      <c r="D872" s="23" t="s">
        <v>9</v>
      </c>
      <c r="E872" s="23" t="s">
        <v>10</v>
      </c>
      <c r="F872" s="23" t="s">
        <v>11</v>
      </c>
      <c r="G872" s="23">
        <v>1100</v>
      </c>
      <c r="H872" s="24">
        <v>1</v>
      </c>
    </row>
    <row r="873" spans="2:8" x14ac:dyDescent="0.25">
      <c r="B873" s="21">
        <v>867</v>
      </c>
      <c r="C873" s="22">
        <v>44332</v>
      </c>
      <c r="D873" s="23" t="s">
        <v>9</v>
      </c>
      <c r="E873" s="23" t="s">
        <v>18</v>
      </c>
      <c r="F873" s="23" t="s">
        <v>17</v>
      </c>
      <c r="G873" s="23">
        <v>600</v>
      </c>
      <c r="H873" s="24">
        <v>1</v>
      </c>
    </row>
    <row r="874" spans="2:8" x14ac:dyDescent="0.25">
      <c r="B874" s="21">
        <v>868</v>
      </c>
      <c r="C874" s="22">
        <v>44333</v>
      </c>
      <c r="D874" s="23" t="s">
        <v>9</v>
      </c>
      <c r="E874" s="23" t="s">
        <v>10</v>
      </c>
      <c r="F874" s="23" t="s">
        <v>11</v>
      </c>
      <c r="G874" s="23">
        <v>1100</v>
      </c>
      <c r="H874" s="24">
        <v>1</v>
      </c>
    </row>
    <row r="875" spans="2:8" x14ac:dyDescent="0.25">
      <c r="B875" s="21">
        <v>869</v>
      </c>
      <c r="C875" s="22">
        <v>44334</v>
      </c>
      <c r="D875" s="23" t="s">
        <v>9</v>
      </c>
      <c r="E875" s="23" t="s">
        <v>10</v>
      </c>
      <c r="F875" s="23" t="s">
        <v>11</v>
      </c>
      <c r="G875" s="23">
        <v>1100</v>
      </c>
      <c r="H875" s="24">
        <v>1</v>
      </c>
    </row>
    <row r="876" spans="2:8" x14ac:dyDescent="0.25">
      <c r="B876" s="21">
        <v>870</v>
      </c>
      <c r="C876" s="22">
        <v>44335</v>
      </c>
      <c r="D876" s="23" t="s">
        <v>9</v>
      </c>
      <c r="E876" s="23" t="s">
        <v>10</v>
      </c>
      <c r="F876" s="23" t="s">
        <v>11</v>
      </c>
      <c r="G876" s="23">
        <v>1100</v>
      </c>
      <c r="H876" s="24">
        <v>1</v>
      </c>
    </row>
    <row r="877" spans="2:8" x14ac:dyDescent="0.25">
      <c r="B877" s="21">
        <v>871</v>
      </c>
      <c r="C877" s="22">
        <v>44336</v>
      </c>
      <c r="D877" s="23" t="s">
        <v>9</v>
      </c>
      <c r="E877" s="23" t="s">
        <v>19</v>
      </c>
      <c r="F877" s="23" t="s">
        <v>20</v>
      </c>
      <c r="G877" s="23">
        <v>850</v>
      </c>
      <c r="H877" s="24">
        <v>1</v>
      </c>
    </row>
    <row r="878" spans="2:8" x14ac:dyDescent="0.25">
      <c r="B878" s="21">
        <v>872</v>
      </c>
      <c r="C878" s="22">
        <v>44337</v>
      </c>
      <c r="D878" s="23" t="s">
        <v>9</v>
      </c>
      <c r="E878" s="23" t="s">
        <v>18</v>
      </c>
      <c r="F878" s="23" t="s">
        <v>17</v>
      </c>
      <c r="G878" s="23">
        <v>600</v>
      </c>
      <c r="H878" s="24">
        <v>1</v>
      </c>
    </row>
    <row r="879" spans="2:8" x14ac:dyDescent="0.25">
      <c r="B879" s="21">
        <v>873</v>
      </c>
      <c r="C879" s="22">
        <v>44338</v>
      </c>
      <c r="D879" s="23" t="s">
        <v>9</v>
      </c>
      <c r="E879" s="23" t="s">
        <v>18</v>
      </c>
      <c r="F879" s="23" t="s">
        <v>17</v>
      </c>
      <c r="G879" s="23">
        <v>600</v>
      </c>
      <c r="H879" s="24">
        <v>1</v>
      </c>
    </row>
    <row r="880" spans="2:8" x14ac:dyDescent="0.25">
      <c r="B880" s="21">
        <v>874</v>
      </c>
      <c r="C880" s="22">
        <v>44339</v>
      </c>
      <c r="D880" s="23" t="s">
        <v>9</v>
      </c>
      <c r="E880" s="23" t="s">
        <v>16</v>
      </c>
      <c r="F880" s="23" t="s">
        <v>17</v>
      </c>
      <c r="G880" s="23">
        <v>800</v>
      </c>
      <c r="H880" s="24">
        <v>1</v>
      </c>
    </row>
    <row r="881" spans="2:8" x14ac:dyDescent="0.25">
      <c r="B881" s="21">
        <v>875</v>
      </c>
      <c r="C881" s="22">
        <v>44340</v>
      </c>
      <c r="D881" s="23" t="s">
        <v>9</v>
      </c>
      <c r="E881" s="23" t="s">
        <v>21</v>
      </c>
      <c r="F881" s="23" t="s">
        <v>20</v>
      </c>
      <c r="G881" s="23">
        <v>1200</v>
      </c>
      <c r="H881" s="24">
        <v>1</v>
      </c>
    </row>
    <row r="882" spans="2:8" x14ac:dyDescent="0.25">
      <c r="B882" s="21">
        <v>876</v>
      </c>
      <c r="C882" s="22">
        <v>44341</v>
      </c>
      <c r="D882" s="23" t="s">
        <v>9</v>
      </c>
      <c r="E882" s="23" t="s">
        <v>15</v>
      </c>
      <c r="F882" s="23" t="s">
        <v>11</v>
      </c>
      <c r="G882" s="23">
        <v>1000</v>
      </c>
      <c r="H882" s="24">
        <v>1</v>
      </c>
    </row>
    <row r="883" spans="2:8" x14ac:dyDescent="0.25">
      <c r="B883" s="21">
        <v>877</v>
      </c>
      <c r="C883" s="22">
        <v>44342</v>
      </c>
      <c r="D883" s="23" t="s">
        <v>9</v>
      </c>
      <c r="E883" s="23" t="s">
        <v>24</v>
      </c>
      <c r="F883" s="23" t="s">
        <v>23</v>
      </c>
      <c r="G883" s="23">
        <v>600</v>
      </c>
      <c r="H883" s="24">
        <v>1</v>
      </c>
    </row>
    <row r="884" spans="2:8" x14ac:dyDescent="0.25">
      <c r="B884" s="21">
        <v>878</v>
      </c>
      <c r="C884" s="22">
        <v>44343</v>
      </c>
      <c r="D884" s="23" t="s">
        <v>9</v>
      </c>
      <c r="E884" s="23" t="s">
        <v>14</v>
      </c>
      <c r="F884" s="23" t="s">
        <v>11</v>
      </c>
      <c r="G884" s="23">
        <v>900</v>
      </c>
      <c r="H884" s="24">
        <v>1</v>
      </c>
    </row>
    <row r="885" spans="2:8" x14ac:dyDescent="0.25">
      <c r="B885" s="21">
        <v>879</v>
      </c>
      <c r="C885" s="22">
        <v>44344</v>
      </c>
      <c r="D885" s="23" t="s">
        <v>9</v>
      </c>
      <c r="E885" s="23" t="s">
        <v>18</v>
      </c>
      <c r="F885" s="23" t="s">
        <v>17</v>
      </c>
      <c r="G885" s="23">
        <v>600</v>
      </c>
      <c r="H885" s="24">
        <v>1</v>
      </c>
    </row>
    <row r="886" spans="2:8" x14ac:dyDescent="0.25">
      <c r="B886" s="21">
        <v>880</v>
      </c>
      <c r="C886" s="22">
        <v>44345</v>
      </c>
      <c r="D886" s="23" t="s">
        <v>9</v>
      </c>
      <c r="E886" s="23" t="s">
        <v>12</v>
      </c>
      <c r="F886" s="23" t="s">
        <v>11</v>
      </c>
      <c r="G886" s="23">
        <v>900</v>
      </c>
      <c r="H886" s="24">
        <v>1</v>
      </c>
    </row>
    <row r="887" spans="2:8" x14ac:dyDescent="0.25">
      <c r="B887" s="21">
        <v>881</v>
      </c>
      <c r="C887" s="22">
        <v>44346</v>
      </c>
      <c r="D887" s="23" t="s">
        <v>9</v>
      </c>
      <c r="E887" s="23" t="s">
        <v>24</v>
      </c>
      <c r="F887" s="23" t="s">
        <v>23</v>
      </c>
      <c r="G887" s="23">
        <v>600</v>
      </c>
      <c r="H887" s="24">
        <v>1</v>
      </c>
    </row>
    <row r="888" spans="2:8" x14ac:dyDescent="0.25">
      <c r="B888" s="21">
        <v>882</v>
      </c>
      <c r="C888" s="22">
        <v>44347</v>
      </c>
      <c r="D888" s="23" t="s">
        <v>9</v>
      </c>
      <c r="E888" s="23" t="s">
        <v>19</v>
      </c>
      <c r="F888" s="23" t="s">
        <v>20</v>
      </c>
      <c r="G888" s="23">
        <v>850</v>
      </c>
      <c r="H888" s="24">
        <v>1</v>
      </c>
    </row>
    <row r="889" spans="2:8" x14ac:dyDescent="0.25">
      <c r="B889" s="21">
        <v>883</v>
      </c>
      <c r="C889" s="22">
        <v>44348</v>
      </c>
      <c r="D889" s="23" t="s">
        <v>9</v>
      </c>
      <c r="E889" s="23" t="s">
        <v>14</v>
      </c>
      <c r="F889" s="23" t="s">
        <v>11</v>
      </c>
      <c r="G889" s="23">
        <v>900</v>
      </c>
      <c r="H889" s="24">
        <v>1</v>
      </c>
    </row>
    <row r="890" spans="2:8" x14ac:dyDescent="0.25">
      <c r="B890" s="21">
        <v>884</v>
      </c>
      <c r="C890" s="22">
        <v>44349</v>
      </c>
      <c r="D890" s="23" t="s">
        <v>9</v>
      </c>
      <c r="E890" s="23" t="s">
        <v>10</v>
      </c>
      <c r="F890" s="23" t="s">
        <v>11</v>
      </c>
      <c r="G890" s="23">
        <v>1100</v>
      </c>
      <c r="H890" s="24">
        <v>1</v>
      </c>
    </row>
    <row r="891" spans="2:8" x14ac:dyDescent="0.25">
      <c r="B891" s="21">
        <v>885</v>
      </c>
      <c r="C891" s="22">
        <v>44350</v>
      </c>
      <c r="D891" s="23" t="s">
        <v>9</v>
      </c>
      <c r="E891" s="23" t="s">
        <v>14</v>
      </c>
      <c r="F891" s="23" t="s">
        <v>11</v>
      </c>
      <c r="G891" s="23">
        <v>900</v>
      </c>
      <c r="H891" s="24">
        <v>1</v>
      </c>
    </row>
    <row r="892" spans="2:8" x14ac:dyDescent="0.25">
      <c r="B892" s="21">
        <v>886</v>
      </c>
      <c r="C892" s="22">
        <v>44351</v>
      </c>
      <c r="D892" s="23" t="s">
        <v>9</v>
      </c>
      <c r="E892" s="23" t="s">
        <v>15</v>
      </c>
      <c r="F892" s="23" t="s">
        <v>11</v>
      </c>
      <c r="G892" s="23">
        <v>1000</v>
      </c>
      <c r="H892" s="24">
        <v>1</v>
      </c>
    </row>
    <row r="893" spans="2:8" x14ac:dyDescent="0.25">
      <c r="B893" s="21">
        <v>887</v>
      </c>
      <c r="C893" s="22">
        <v>44352</v>
      </c>
      <c r="D893" s="23" t="s">
        <v>9</v>
      </c>
      <c r="E893" s="23" t="s">
        <v>10</v>
      </c>
      <c r="F893" s="23" t="s">
        <v>11</v>
      </c>
      <c r="G893" s="23">
        <v>1100</v>
      </c>
      <c r="H893" s="24">
        <v>1</v>
      </c>
    </row>
    <row r="894" spans="2:8" x14ac:dyDescent="0.25">
      <c r="B894" s="21">
        <v>888</v>
      </c>
      <c r="C894" s="22">
        <v>44353</v>
      </c>
      <c r="D894" s="23" t="s">
        <v>9</v>
      </c>
      <c r="E894" s="23" t="s">
        <v>15</v>
      </c>
      <c r="F894" s="23" t="s">
        <v>11</v>
      </c>
      <c r="G894" s="23">
        <v>1000</v>
      </c>
      <c r="H894" s="24">
        <v>1</v>
      </c>
    </row>
    <row r="895" spans="2:8" x14ac:dyDescent="0.25">
      <c r="B895" s="21">
        <v>889</v>
      </c>
      <c r="C895" s="22">
        <v>44354</v>
      </c>
      <c r="D895" s="23" t="s">
        <v>9</v>
      </c>
      <c r="E895" s="23" t="s">
        <v>10</v>
      </c>
      <c r="F895" s="23" t="s">
        <v>11</v>
      </c>
      <c r="G895" s="23">
        <v>1100</v>
      </c>
      <c r="H895" s="24">
        <v>1</v>
      </c>
    </row>
    <row r="896" spans="2:8" x14ac:dyDescent="0.25">
      <c r="B896" s="21">
        <v>890</v>
      </c>
      <c r="C896" s="22">
        <v>44355</v>
      </c>
      <c r="D896" s="23" t="s">
        <v>9</v>
      </c>
      <c r="E896" s="23" t="s">
        <v>14</v>
      </c>
      <c r="F896" s="23" t="s">
        <v>11</v>
      </c>
      <c r="G896" s="23">
        <v>900</v>
      </c>
      <c r="H896" s="24">
        <v>1</v>
      </c>
    </row>
    <row r="897" spans="2:8" x14ac:dyDescent="0.25">
      <c r="B897" s="21">
        <v>891</v>
      </c>
      <c r="C897" s="22">
        <v>44356</v>
      </c>
      <c r="D897" s="23" t="s">
        <v>9</v>
      </c>
      <c r="E897" s="23" t="s">
        <v>12</v>
      </c>
      <c r="F897" s="23" t="s">
        <v>11</v>
      </c>
      <c r="G897" s="23">
        <v>900</v>
      </c>
      <c r="H897" s="24">
        <v>1</v>
      </c>
    </row>
    <row r="898" spans="2:8" x14ac:dyDescent="0.25">
      <c r="B898" s="21">
        <v>892</v>
      </c>
      <c r="C898" s="22">
        <v>44357</v>
      </c>
      <c r="D898" s="23" t="s">
        <v>9</v>
      </c>
      <c r="E898" s="23" t="s">
        <v>10</v>
      </c>
      <c r="F898" s="23" t="s">
        <v>11</v>
      </c>
      <c r="G898" s="23">
        <v>1100</v>
      </c>
      <c r="H898" s="24">
        <v>1</v>
      </c>
    </row>
    <row r="899" spans="2:8" x14ac:dyDescent="0.25">
      <c r="B899" s="21">
        <v>893</v>
      </c>
      <c r="C899" s="22">
        <v>44358</v>
      </c>
      <c r="D899" s="23" t="s">
        <v>9</v>
      </c>
      <c r="E899" s="23" t="s">
        <v>10</v>
      </c>
      <c r="F899" s="23" t="s">
        <v>11</v>
      </c>
      <c r="G899" s="23">
        <v>1100</v>
      </c>
      <c r="H899" s="24">
        <v>1</v>
      </c>
    </row>
    <row r="900" spans="2:8" x14ac:dyDescent="0.25">
      <c r="B900" s="21">
        <v>894</v>
      </c>
      <c r="C900" s="22">
        <v>44359</v>
      </c>
      <c r="D900" s="23" t="s">
        <v>9</v>
      </c>
      <c r="E900" s="23" t="s">
        <v>15</v>
      </c>
      <c r="F900" s="23" t="s">
        <v>11</v>
      </c>
      <c r="G900" s="23">
        <v>1000</v>
      </c>
      <c r="H900" s="24">
        <v>1</v>
      </c>
    </row>
    <row r="901" spans="2:8" x14ac:dyDescent="0.25">
      <c r="B901" s="21">
        <v>895</v>
      </c>
      <c r="C901" s="22">
        <v>44360</v>
      </c>
      <c r="D901" s="23" t="s">
        <v>9</v>
      </c>
      <c r="E901" s="23" t="s">
        <v>12</v>
      </c>
      <c r="F901" s="23" t="s">
        <v>11</v>
      </c>
      <c r="G901" s="23">
        <v>900</v>
      </c>
      <c r="H901" s="24">
        <v>1</v>
      </c>
    </row>
    <row r="902" spans="2:8" x14ac:dyDescent="0.25">
      <c r="B902" s="21">
        <v>896</v>
      </c>
      <c r="C902" s="22">
        <v>44361</v>
      </c>
      <c r="D902" s="23" t="s">
        <v>9</v>
      </c>
      <c r="E902" s="23" t="s">
        <v>18</v>
      </c>
      <c r="F902" s="23" t="s">
        <v>17</v>
      </c>
      <c r="G902" s="23">
        <v>600</v>
      </c>
      <c r="H902" s="24">
        <v>1</v>
      </c>
    </row>
    <row r="903" spans="2:8" x14ac:dyDescent="0.25">
      <c r="B903" s="21">
        <v>897</v>
      </c>
      <c r="C903" s="22">
        <v>44362</v>
      </c>
      <c r="D903" s="23" t="s">
        <v>9</v>
      </c>
      <c r="E903" s="23" t="s">
        <v>12</v>
      </c>
      <c r="F903" s="23" t="s">
        <v>11</v>
      </c>
      <c r="G903" s="23">
        <v>900</v>
      </c>
      <c r="H903" s="24">
        <v>1</v>
      </c>
    </row>
    <row r="904" spans="2:8" x14ac:dyDescent="0.25">
      <c r="B904" s="21">
        <v>898</v>
      </c>
      <c r="C904" s="22">
        <v>44363</v>
      </c>
      <c r="D904" s="23" t="s">
        <v>9</v>
      </c>
      <c r="E904" s="23" t="s">
        <v>18</v>
      </c>
      <c r="F904" s="23" t="s">
        <v>17</v>
      </c>
      <c r="G904" s="23">
        <v>600</v>
      </c>
      <c r="H904" s="24">
        <v>1</v>
      </c>
    </row>
    <row r="905" spans="2:8" x14ac:dyDescent="0.25">
      <c r="B905" s="21">
        <v>899</v>
      </c>
      <c r="C905" s="22">
        <v>44364</v>
      </c>
      <c r="D905" s="23" t="s">
        <v>9</v>
      </c>
      <c r="E905" s="23" t="s">
        <v>14</v>
      </c>
      <c r="F905" s="23" t="s">
        <v>11</v>
      </c>
      <c r="G905" s="23">
        <v>900</v>
      </c>
      <c r="H905" s="24">
        <v>1</v>
      </c>
    </row>
    <row r="906" spans="2:8" x14ac:dyDescent="0.25">
      <c r="B906" s="21">
        <v>900</v>
      </c>
      <c r="C906" s="22">
        <v>44365</v>
      </c>
      <c r="D906" s="23" t="s">
        <v>9</v>
      </c>
      <c r="E906" s="23" t="s">
        <v>10</v>
      </c>
      <c r="F906" s="23" t="s">
        <v>11</v>
      </c>
      <c r="G906" s="23">
        <v>1100</v>
      </c>
      <c r="H906" s="24">
        <v>2</v>
      </c>
    </row>
    <row r="907" spans="2:8" x14ac:dyDescent="0.25">
      <c r="B907" s="21">
        <v>901</v>
      </c>
      <c r="C907" s="22">
        <v>44366</v>
      </c>
      <c r="D907" s="23" t="s">
        <v>9</v>
      </c>
      <c r="E907" s="23" t="s">
        <v>18</v>
      </c>
      <c r="F907" s="23" t="s">
        <v>17</v>
      </c>
      <c r="G907" s="23">
        <v>600</v>
      </c>
      <c r="H907" s="24">
        <v>1</v>
      </c>
    </row>
    <row r="908" spans="2:8" x14ac:dyDescent="0.25">
      <c r="B908" s="21">
        <v>902</v>
      </c>
      <c r="C908" s="22">
        <v>44367</v>
      </c>
      <c r="D908" s="23" t="s">
        <v>9</v>
      </c>
      <c r="E908" s="23" t="s">
        <v>18</v>
      </c>
      <c r="F908" s="23" t="s">
        <v>17</v>
      </c>
      <c r="G908" s="23">
        <v>600</v>
      </c>
      <c r="H908" s="24">
        <v>1</v>
      </c>
    </row>
    <row r="909" spans="2:8" x14ac:dyDescent="0.25">
      <c r="B909" s="21">
        <v>903</v>
      </c>
      <c r="C909" s="22">
        <v>44368</v>
      </c>
      <c r="D909" s="23" t="s">
        <v>9</v>
      </c>
      <c r="E909" s="23" t="s">
        <v>14</v>
      </c>
      <c r="F909" s="23" t="s">
        <v>11</v>
      </c>
      <c r="G909" s="23">
        <v>900</v>
      </c>
      <c r="H909" s="24">
        <v>1</v>
      </c>
    </row>
    <row r="910" spans="2:8" x14ac:dyDescent="0.25">
      <c r="B910" s="21">
        <v>904</v>
      </c>
      <c r="C910" s="22">
        <v>44369</v>
      </c>
      <c r="D910" s="23" t="s">
        <v>9</v>
      </c>
      <c r="E910" s="23" t="s">
        <v>10</v>
      </c>
      <c r="F910" s="23" t="s">
        <v>11</v>
      </c>
      <c r="G910" s="23">
        <v>1100</v>
      </c>
      <c r="H910" s="24">
        <v>1</v>
      </c>
    </row>
    <row r="911" spans="2:8" x14ac:dyDescent="0.25">
      <c r="B911" s="21">
        <v>905</v>
      </c>
      <c r="C911" s="22">
        <v>44370</v>
      </c>
      <c r="D911" s="23" t="s">
        <v>9</v>
      </c>
      <c r="E911" s="23" t="s">
        <v>18</v>
      </c>
      <c r="F911" s="23" t="s">
        <v>17</v>
      </c>
      <c r="G911" s="23">
        <v>600</v>
      </c>
      <c r="H911" s="24">
        <v>1</v>
      </c>
    </row>
    <row r="912" spans="2:8" x14ac:dyDescent="0.25">
      <c r="B912" s="21">
        <v>906</v>
      </c>
      <c r="C912" s="22">
        <v>44371</v>
      </c>
      <c r="D912" s="23" t="s">
        <v>9</v>
      </c>
      <c r="E912" s="23" t="s">
        <v>24</v>
      </c>
      <c r="F912" s="23" t="s">
        <v>23</v>
      </c>
      <c r="G912" s="23">
        <v>600</v>
      </c>
      <c r="H912" s="24">
        <v>1</v>
      </c>
    </row>
    <row r="913" spans="2:8" x14ac:dyDescent="0.25">
      <c r="B913" s="21">
        <v>907</v>
      </c>
      <c r="C913" s="22">
        <v>44372</v>
      </c>
      <c r="D913" s="23" t="s">
        <v>9</v>
      </c>
      <c r="E913" s="23" t="s">
        <v>18</v>
      </c>
      <c r="F913" s="23" t="s">
        <v>17</v>
      </c>
      <c r="G913" s="23">
        <v>600</v>
      </c>
      <c r="H913" s="24">
        <v>1</v>
      </c>
    </row>
    <row r="914" spans="2:8" x14ac:dyDescent="0.25">
      <c r="B914" s="21">
        <v>908</v>
      </c>
      <c r="C914" s="22">
        <v>44373</v>
      </c>
      <c r="D914" s="23" t="s">
        <v>9</v>
      </c>
      <c r="E914" s="23" t="s">
        <v>24</v>
      </c>
      <c r="F914" s="23" t="s">
        <v>23</v>
      </c>
      <c r="G914" s="23">
        <v>600</v>
      </c>
      <c r="H914" s="24">
        <v>1</v>
      </c>
    </row>
    <row r="915" spans="2:8" x14ac:dyDescent="0.25">
      <c r="B915" s="21">
        <v>909</v>
      </c>
      <c r="C915" s="22">
        <v>44374</v>
      </c>
      <c r="D915" s="23" t="s">
        <v>9</v>
      </c>
      <c r="E915" s="23" t="s">
        <v>24</v>
      </c>
      <c r="F915" s="23" t="s">
        <v>23</v>
      </c>
      <c r="G915" s="23">
        <v>600</v>
      </c>
      <c r="H915" s="24">
        <v>2</v>
      </c>
    </row>
    <row r="916" spans="2:8" x14ac:dyDescent="0.25">
      <c r="B916" s="21">
        <v>910</v>
      </c>
      <c r="C916" s="22">
        <v>44375</v>
      </c>
      <c r="D916" s="23" t="s">
        <v>9</v>
      </c>
      <c r="E916" s="23" t="s">
        <v>18</v>
      </c>
      <c r="F916" s="23" t="s">
        <v>17</v>
      </c>
      <c r="G916" s="23">
        <v>600</v>
      </c>
      <c r="H916" s="24">
        <v>1</v>
      </c>
    </row>
    <row r="917" spans="2:8" x14ac:dyDescent="0.25">
      <c r="B917" s="21">
        <v>911</v>
      </c>
      <c r="C917" s="22">
        <v>44376</v>
      </c>
      <c r="D917" s="23" t="s">
        <v>9</v>
      </c>
      <c r="E917" s="23" t="s">
        <v>10</v>
      </c>
      <c r="F917" s="23" t="s">
        <v>11</v>
      </c>
      <c r="G917" s="23">
        <v>1100</v>
      </c>
      <c r="H917" s="24">
        <v>3</v>
      </c>
    </row>
    <row r="918" spans="2:8" x14ac:dyDescent="0.25">
      <c r="B918" s="21">
        <v>912</v>
      </c>
      <c r="C918" s="22">
        <v>44377</v>
      </c>
      <c r="D918" s="23" t="s">
        <v>9</v>
      </c>
      <c r="E918" s="23" t="s">
        <v>10</v>
      </c>
      <c r="F918" s="23" t="s">
        <v>11</v>
      </c>
      <c r="G918" s="23">
        <v>1100</v>
      </c>
      <c r="H918" s="24">
        <v>1</v>
      </c>
    </row>
    <row r="919" spans="2:8" x14ac:dyDescent="0.25">
      <c r="B919" s="21">
        <v>913</v>
      </c>
      <c r="C919" s="22">
        <v>44378</v>
      </c>
      <c r="D919" s="23" t="s">
        <v>9</v>
      </c>
      <c r="E919" s="23" t="s">
        <v>19</v>
      </c>
      <c r="F919" s="23" t="s">
        <v>20</v>
      </c>
      <c r="G919" s="23">
        <v>850</v>
      </c>
      <c r="H919" s="24">
        <v>1</v>
      </c>
    </row>
    <row r="920" spans="2:8" x14ac:dyDescent="0.25">
      <c r="B920" s="21">
        <v>914</v>
      </c>
      <c r="C920" s="22">
        <v>44379</v>
      </c>
      <c r="D920" s="23" t="s">
        <v>9</v>
      </c>
      <c r="E920" s="23" t="s">
        <v>21</v>
      </c>
      <c r="F920" s="23" t="s">
        <v>20</v>
      </c>
      <c r="G920" s="23">
        <v>1200</v>
      </c>
      <c r="H920" s="24">
        <v>1</v>
      </c>
    </row>
    <row r="921" spans="2:8" x14ac:dyDescent="0.25">
      <c r="B921" s="21">
        <v>915</v>
      </c>
      <c r="C921" s="22">
        <v>44380</v>
      </c>
      <c r="D921" s="23" t="s">
        <v>9</v>
      </c>
      <c r="E921" s="23" t="s">
        <v>16</v>
      </c>
      <c r="F921" s="23" t="s">
        <v>17</v>
      </c>
      <c r="G921" s="23">
        <v>800</v>
      </c>
      <c r="H921" s="24">
        <v>1</v>
      </c>
    </row>
    <row r="922" spans="2:8" x14ac:dyDescent="0.25">
      <c r="B922" s="21">
        <v>916</v>
      </c>
      <c r="C922" s="22">
        <v>44381</v>
      </c>
      <c r="D922" s="23" t="s">
        <v>9</v>
      </c>
      <c r="E922" s="23" t="s">
        <v>14</v>
      </c>
      <c r="F922" s="23" t="s">
        <v>11</v>
      </c>
      <c r="G922" s="23">
        <v>900</v>
      </c>
      <c r="H922" s="24">
        <v>1</v>
      </c>
    </row>
    <row r="923" spans="2:8" x14ac:dyDescent="0.25">
      <c r="B923" s="21">
        <v>917</v>
      </c>
      <c r="C923" s="22">
        <v>44382</v>
      </c>
      <c r="D923" s="23" t="s">
        <v>9</v>
      </c>
      <c r="E923" s="23" t="s">
        <v>10</v>
      </c>
      <c r="F923" s="23" t="s">
        <v>11</v>
      </c>
      <c r="G923" s="23">
        <v>1100</v>
      </c>
      <c r="H923" s="24">
        <v>1</v>
      </c>
    </row>
    <row r="924" spans="2:8" x14ac:dyDescent="0.25">
      <c r="B924" s="21">
        <v>918</v>
      </c>
      <c r="C924" s="22">
        <v>44383</v>
      </c>
      <c r="D924" s="23" t="s">
        <v>9</v>
      </c>
      <c r="E924" s="23" t="s">
        <v>12</v>
      </c>
      <c r="F924" s="23" t="s">
        <v>11</v>
      </c>
      <c r="G924" s="23">
        <v>900</v>
      </c>
      <c r="H924" s="24">
        <v>1</v>
      </c>
    </row>
    <row r="925" spans="2:8" x14ac:dyDescent="0.25">
      <c r="B925" s="21">
        <v>919</v>
      </c>
      <c r="C925" s="22">
        <v>44384</v>
      </c>
      <c r="D925" s="23" t="s">
        <v>9</v>
      </c>
      <c r="E925" s="23" t="s">
        <v>10</v>
      </c>
      <c r="F925" s="23" t="s">
        <v>11</v>
      </c>
      <c r="G925" s="23">
        <v>1100</v>
      </c>
      <c r="H925" s="24">
        <v>1</v>
      </c>
    </row>
    <row r="926" spans="2:8" x14ac:dyDescent="0.25">
      <c r="B926" s="21">
        <v>920</v>
      </c>
      <c r="C926" s="22">
        <v>44385</v>
      </c>
      <c r="D926" s="23" t="s">
        <v>9</v>
      </c>
      <c r="E926" s="23" t="s">
        <v>22</v>
      </c>
      <c r="F926" s="23" t="s">
        <v>23</v>
      </c>
      <c r="G926" s="23">
        <v>900</v>
      </c>
      <c r="H926" s="24">
        <v>1</v>
      </c>
    </row>
    <row r="927" spans="2:8" x14ac:dyDescent="0.25">
      <c r="B927" s="21">
        <v>921</v>
      </c>
      <c r="C927" s="22">
        <v>44386</v>
      </c>
      <c r="D927" s="23" t="s">
        <v>9</v>
      </c>
      <c r="E927" s="23" t="s">
        <v>22</v>
      </c>
      <c r="F927" s="23" t="s">
        <v>23</v>
      </c>
      <c r="G927" s="23">
        <v>500</v>
      </c>
      <c r="H927" s="24">
        <v>1</v>
      </c>
    </row>
    <row r="928" spans="2:8" x14ac:dyDescent="0.25">
      <c r="B928" s="21">
        <v>922</v>
      </c>
      <c r="C928" s="22">
        <v>44387</v>
      </c>
      <c r="D928" s="23" t="s">
        <v>9</v>
      </c>
      <c r="E928" s="23" t="s">
        <v>15</v>
      </c>
      <c r="F928" s="23" t="s">
        <v>11</v>
      </c>
      <c r="G928" s="23">
        <v>1000</v>
      </c>
      <c r="H928" s="24">
        <v>1</v>
      </c>
    </row>
    <row r="929" spans="2:8" x14ac:dyDescent="0.25">
      <c r="B929" s="21">
        <v>923</v>
      </c>
      <c r="C929" s="22">
        <v>44388</v>
      </c>
      <c r="D929" s="23" t="s">
        <v>9</v>
      </c>
      <c r="E929" s="23" t="s">
        <v>24</v>
      </c>
      <c r="F929" s="23" t="s">
        <v>23</v>
      </c>
      <c r="G929" s="23">
        <v>600</v>
      </c>
      <c r="H929" s="24">
        <v>1</v>
      </c>
    </row>
    <row r="930" spans="2:8" x14ac:dyDescent="0.25">
      <c r="B930" s="21">
        <v>924</v>
      </c>
      <c r="C930" s="22">
        <v>44389</v>
      </c>
      <c r="D930" s="23" t="s">
        <v>9</v>
      </c>
      <c r="E930" s="23" t="s">
        <v>12</v>
      </c>
      <c r="F930" s="23" t="s">
        <v>11</v>
      </c>
      <c r="G930" s="23">
        <v>900</v>
      </c>
      <c r="H930" s="24">
        <v>2</v>
      </c>
    </row>
    <row r="931" spans="2:8" x14ac:dyDescent="0.25">
      <c r="B931" s="21">
        <v>925</v>
      </c>
      <c r="C931" s="22">
        <v>44390</v>
      </c>
      <c r="D931" s="23" t="s">
        <v>9</v>
      </c>
      <c r="E931" s="23" t="s">
        <v>19</v>
      </c>
      <c r="F931" s="23" t="s">
        <v>20</v>
      </c>
      <c r="G931" s="23">
        <v>850</v>
      </c>
      <c r="H931" s="24">
        <v>1</v>
      </c>
    </row>
    <row r="932" spans="2:8" x14ac:dyDescent="0.25">
      <c r="B932" s="21">
        <v>926</v>
      </c>
      <c r="C932" s="22">
        <v>44391</v>
      </c>
      <c r="D932" s="23" t="s">
        <v>9</v>
      </c>
      <c r="E932" s="23" t="s">
        <v>16</v>
      </c>
      <c r="F932" s="23" t="s">
        <v>17</v>
      </c>
      <c r="G932" s="23">
        <v>800</v>
      </c>
      <c r="H932" s="24">
        <v>1</v>
      </c>
    </row>
    <row r="933" spans="2:8" x14ac:dyDescent="0.25">
      <c r="B933" s="21">
        <v>927</v>
      </c>
      <c r="C933" s="22">
        <v>44392</v>
      </c>
      <c r="D933" s="23" t="s">
        <v>9</v>
      </c>
      <c r="E933" s="23" t="s">
        <v>12</v>
      </c>
      <c r="F933" s="23" t="s">
        <v>11</v>
      </c>
      <c r="G933" s="23">
        <v>900</v>
      </c>
      <c r="H933" s="24">
        <v>1</v>
      </c>
    </row>
    <row r="934" spans="2:8" x14ac:dyDescent="0.25">
      <c r="B934" s="21">
        <v>928</v>
      </c>
      <c r="C934" s="22">
        <v>44393</v>
      </c>
      <c r="D934" s="23" t="s">
        <v>9</v>
      </c>
      <c r="E934" s="23" t="s">
        <v>12</v>
      </c>
      <c r="F934" s="23" t="s">
        <v>11</v>
      </c>
      <c r="G934" s="23">
        <v>900</v>
      </c>
      <c r="H934" s="24">
        <v>1</v>
      </c>
    </row>
    <row r="935" spans="2:8" x14ac:dyDescent="0.25">
      <c r="B935" s="21">
        <v>929</v>
      </c>
      <c r="C935" s="22">
        <v>44394</v>
      </c>
      <c r="D935" s="23" t="s">
        <v>9</v>
      </c>
      <c r="E935" s="23" t="s">
        <v>10</v>
      </c>
      <c r="F935" s="23" t="s">
        <v>11</v>
      </c>
      <c r="G935" s="23">
        <v>1100</v>
      </c>
      <c r="H935" s="24">
        <v>1</v>
      </c>
    </row>
    <row r="936" spans="2:8" x14ac:dyDescent="0.25">
      <c r="B936" s="21">
        <v>930</v>
      </c>
      <c r="C936" s="22">
        <v>44395</v>
      </c>
      <c r="D936" s="23" t="s">
        <v>9</v>
      </c>
      <c r="E936" s="23" t="s">
        <v>14</v>
      </c>
      <c r="F936" s="23" t="s">
        <v>11</v>
      </c>
      <c r="G936" s="23">
        <v>900</v>
      </c>
      <c r="H936" s="24">
        <v>1</v>
      </c>
    </row>
    <row r="937" spans="2:8" x14ac:dyDescent="0.25">
      <c r="B937" s="21">
        <v>931</v>
      </c>
      <c r="C937" s="22">
        <v>44396</v>
      </c>
      <c r="D937" s="23" t="s">
        <v>9</v>
      </c>
      <c r="E937" s="23" t="s">
        <v>18</v>
      </c>
      <c r="F937" s="23" t="s">
        <v>17</v>
      </c>
      <c r="G937" s="23">
        <v>600</v>
      </c>
      <c r="H937" s="24">
        <v>1</v>
      </c>
    </row>
    <row r="938" spans="2:8" x14ac:dyDescent="0.25">
      <c r="B938" s="21">
        <v>932</v>
      </c>
      <c r="C938" s="22">
        <v>44397</v>
      </c>
      <c r="D938" s="23" t="s">
        <v>9</v>
      </c>
      <c r="E938" s="23" t="s">
        <v>18</v>
      </c>
      <c r="F938" s="23" t="s">
        <v>17</v>
      </c>
      <c r="G938" s="23">
        <v>600</v>
      </c>
      <c r="H938" s="24">
        <v>1</v>
      </c>
    </row>
    <row r="939" spans="2:8" x14ac:dyDescent="0.25">
      <c r="B939" s="21">
        <v>933</v>
      </c>
      <c r="C939" s="22">
        <v>44398</v>
      </c>
      <c r="D939" s="23" t="s">
        <v>9</v>
      </c>
      <c r="E939" s="23" t="s">
        <v>14</v>
      </c>
      <c r="F939" s="23" t="s">
        <v>11</v>
      </c>
      <c r="G939" s="23">
        <v>900</v>
      </c>
      <c r="H939" s="24">
        <v>1</v>
      </c>
    </row>
    <row r="940" spans="2:8" x14ac:dyDescent="0.25">
      <c r="B940" s="21">
        <v>934</v>
      </c>
      <c r="C940" s="22">
        <v>44399</v>
      </c>
      <c r="D940" s="23" t="s">
        <v>9</v>
      </c>
      <c r="E940" s="23" t="s">
        <v>19</v>
      </c>
      <c r="F940" s="23" t="s">
        <v>20</v>
      </c>
      <c r="G940" s="23">
        <v>850</v>
      </c>
      <c r="H940" s="24">
        <v>1</v>
      </c>
    </row>
    <row r="941" spans="2:8" x14ac:dyDescent="0.25">
      <c r="B941" s="21">
        <v>935</v>
      </c>
      <c r="C941" s="22">
        <v>44400</v>
      </c>
      <c r="D941" s="23" t="s">
        <v>9</v>
      </c>
      <c r="E941" s="23" t="s">
        <v>14</v>
      </c>
      <c r="F941" s="23" t="s">
        <v>11</v>
      </c>
      <c r="G941" s="23">
        <v>900</v>
      </c>
      <c r="H941" s="24">
        <v>1</v>
      </c>
    </row>
    <row r="942" spans="2:8" x14ac:dyDescent="0.25">
      <c r="B942" s="21">
        <v>936</v>
      </c>
      <c r="C942" s="22">
        <v>44401</v>
      </c>
      <c r="D942" s="23" t="s">
        <v>9</v>
      </c>
      <c r="E942" s="23" t="s">
        <v>18</v>
      </c>
      <c r="F942" s="23" t="s">
        <v>17</v>
      </c>
      <c r="G942" s="23">
        <v>600</v>
      </c>
      <c r="H942" s="24">
        <v>1</v>
      </c>
    </row>
    <row r="943" spans="2:8" x14ac:dyDescent="0.25">
      <c r="B943" s="21">
        <v>937</v>
      </c>
      <c r="C943" s="22">
        <v>44402</v>
      </c>
      <c r="D943" s="23" t="s">
        <v>9</v>
      </c>
      <c r="E943" s="23" t="s">
        <v>18</v>
      </c>
      <c r="F943" s="23" t="s">
        <v>17</v>
      </c>
      <c r="G943" s="23">
        <v>600</v>
      </c>
      <c r="H943" s="24">
        <v>1</v>
      </c>
    </row>
    <row r="944" spans="2:8" x14ac:dyDescent="0.25">
      <c r="B944" s="21">
        <v>938</v>
      </c>
      <c r="C944" s="22">
        <v>44403</v>
      </c>
      <c r="D944" s="23" t="s">
        <v>9</v>
      </c>
      <c r="E944" s="23" t="s">
        <v>10</v>
      </c>
      <c r="F944" s="23" t="s">
        <v>11</v>
      </c>
      <c r="G944" s="23">
        <v>1100</v>
      </c>
      <c r="H944" s="24">
        <v>1</v>
      </c>
    </row>
    <row r="945" spans="2:8" x14ac:dyDescent="0.25">
      <c r="B945" s="21">
        <v>939</v>
      </c>
      <c r="C945" s="22">
        <v>44404</v>
      </c>
      <c r="D945" s="23" t="s">
        <v>9</v>
      </c>
      <c r="E945" s="23" t="s">
        <v>12</v>
      </c>
      <c r="F945" s="23" t="s">
        <v>11</v>
      </c>
      <c r="G945" s="23">
        <v>900</v>
      </c>
      <c r="H945" s="24">
        <v>1</v>
      </c>
    </row>
    <row r="946" spans="2:8" x14ac:dyDescent="0.25">
      <c r="B946" s="21">
        <v>940</v>
      </c>
      <c r="C946" s="22">
        <v>44405</v>
      </c>
      <c r="D946" s="23" t="s">
        <v>9</v>
      </c>
      <c r="E946" s="23" t="s">
        <v>10</v>
      </c>
      <c r="F946" s="23" t="s">
        <v>11</v>
      </c>
      <c r="G946" s="23">
        <v>1100</v>
      </c>
      <c r="H946" s="24">
        <v>1</v>
      </c>
    </row>
    <row r="947" spans="2:8" x14ac:dyDescent="0.25">
      <c r="B947" s="21">
        <v>941</v>
      </c>
      <c r="C947" s="22">
        <v>44406</v>
      </c>
      <c r="D947" s="23" t="s">
        <v>9</v>
      </c>
      <c r="E947" s="23" t="s">
        <v>18</v>
      </c>
      <c r="F947" s="23" t="s">
        <v>17</v>
      </c>
      <c r="G947" s="23">
        <v>600</v>
      </c>
      <c r="H947" s="24">
        <v>1</v>
      </c>
    </row>
    <row r="948" spans="2:8" x14ac:dyDescent="0.25">
      <c r="B948" s="21">
        <v>942</v>
      </c>
      <c r="C948" s="22">
        <v>44407</v>
      </c>
      <c r="D948" s="23" t="s">
        <v>9</v>
      </c>
      <c r="E948" s="23" t="s">
        <v>21</v>
      </c>
      <c r="F948" s="23" t="s">
        <v>20</v>
      </c>
      <c r="G948" s="23">
        <v>1200</v>
      </c>
      <c r="H948" s="24">
        <v>1</v>
      </c>
    </row>
    <row r="949" spans="2:8" x14ac:dyDescent="0.25">
      <c r="B949" s="21">
        <v>943</v>
      </c>
      <c r="C949" s="22">
        <v>44408</v>
      </c>
      <c r="D949" s="23" t="s">
        <v>9</v>
      </c>
      <c r="E949" s="23" t="s">
        <v>24</v>
      </c>
      <c r="F949" s="23" t="s">
        <v>23</v>
      </c>
      <c r="G949" s="23">
        <v>600</v>
      </c>
      <c r="H949" s="24">
        <v>1</v>
      </c>
    </row>
    <row r="950" spans="2:8" x14ac:dyDescent="0.25">
      <c r="B950" s="21">
        <v>944</v>
      </c>
      <c r="C950" s="22">
        <v>44409</v>
      </c>
      <c r="D950" s="23" t="s">
        <v>9</v>
      </c>
      <c r="E950" s="23" t="s">
        <v>10</v>
      </c>
      <c r="F950" s="23" t="s">
        <v>11</v>
      </c>
      <c r="G950" s="23">
        <v>1100</v>
      </c>
      <c r="H950" s="24">
        <v>1</v>
      </c>
    </row>
    <row r="951" spans="2:8" x14ac:dyDescent="0.25">
      <c r="B951" s="21">
        <v>945</v>
      </c>
      <c r="C951" s="22">
        <v>44410</v>
      </c>
      <c r="D951" s="23" t="s">
        <v>9</v>
      </c>
      <c r="E951" s="23" t="s">
        <v>22</v>
      </c>
      <c r="F951" s="23" t="s">
        <v>23</v>
      </c>
      <c r="G951" s="23">
        <v>500</v>
      </c>
      <c r="H951" s="24">
        <v>1</v>
      </c>
    </row>
    <row r="952" spans="2:8" x14ac:dyDescent="0.25">
      <c r="B952" s="21">
        <v>946</v>
      </c>
      <c r="C952" s="22">
        <v>44411</v>
      </c>
      <c r="D952" s="23" t="s">
        <v>9</v>
      </c>
      <c r="E952" s="23" t="s">
        <v>12</v>
      </c>
      <c r="F952" s="23" t="s">
        <v>11</v>
      </c>
      <c r="G952" s="23">
        <v>900</v>
      </c>
      <c r="H952" s="24">
        <v>1</v>
      </c>
    </row>
    <row r="953" spans="2:8" x14ac:dyDescent="0.25">
      <c r="B953" s="21">
        <v>947</v>
      </c>
      <c r="C953" s="22">
        <v>44412</v>
      </c>
      <c r="D953" s="23" t="s">
        <v>9</v>
      </c>
      <c r="E953" s="23" t="s">
        <v>19</v>
      </c>
      <c r="F953" s="23" t="s">
        <v>20</v>
      </c>
      <c r="G953" s="23">
        <v>850</v>
      </c>
      <c r="H953" s="24">
        <v>1</v>
      </c>
    </row>
    <row r="954" spans="2:8" x14ac:dyDescent="0.25">
      <c r="B954" s="21">
        <v>948</v>
      </c>
      <c r="C954" s="22">
        <v>44413</v>
      </c>
      <c r="D954" s="23" t="s">
        <v>9</v>
      </c>
      <c r="E954" s="23" t="s">
        <v>18</v>
      </c>
      <c r="F954" s="23" t="s">
        <v>17</v>
      </c>
      <c r="G954" s="23">
        <v>600</v>
      </c>
      <c r="H954" s="24">
        <v>1</v>
      </c>
    </row>
    <row r="955" spans="2:8" x14ac:dyDescent="0.25">
      <c r="B955" s="21">
        <v>949</v>
      </c>
      <c r="C955" s="22">
        <v>44414</v>
      </c>
      <c r="D955" s="23" t="s">
        <v>9</v>
      </c>
      <c r="E955" s="23" t="s">
        <v>10</v>
      </c>
      <c r="F955" s="23" t="s">
        <v>11</v>
      </c>
      <c r="G955" s="23">
        <v>1100</v>
      </c>
      <c r="H955" s="24">
        <v>1</v>
      </c>
    </row>
    <row r="956" spans="2:8" x14ac:dyDescent="0.25">
      <c r="B956" s="21">
        <v>950</v>
      </c>
      <c r="C956" s="22">
        <v>44415</v>
      </c>
      <c r="D956" s="23" t="s">
        <v>9</v>
      </c>
      <c r="E956" s="23" t="s">
        <v>22</v>
      </c>
      <c r="F956" s="23" t="s">
        <v>23</v>
      </c>
      <c r="G956" s="23">
        <v>500</v>
      </c>
      <c r="H956" s="24">
        <v>1</v>
      </c>
    </row>
    <row r="957" spans="2:8" x14ac:dyDescent="0.25">
      <c r="B957" s="21">
        <v>951</v>
      </c>
      <c r="C957" s="22">
        <v>44416</v>
      </c>
      <c r="D957" s="23" t="s">
        <v>9</v>
      </c>
      <c r="E957" s="23" t="s">
        <v>18</v>
      </c>
      <c r="F957" s="23" t="s">
        <v>17</v>
      </c>
      <c r="G957" s="23">
        <v>600</v>
      </c>
      <c r="H957" s="24">
        <v>1</v>
      </c>
    </row>
    <row r="958" spans="2:8" x14ac:dyDescent="0.25">
      <c r="B958" s="21">
        <v>952</v>
      </c>
      <c r="C958" s="22">
        <v>44417</v>
      </c>
      <c r="D958" s="23" t="s">
        <v>9</v>
      </c>
      <c r="E958" s="23" t="s">
        <v>15</v>
      </c>
      <c r="F958" s="23" t="s">
        <v>11</v>
      </c>
      <c r="G958" s="23">
        <v>1000</v>
      </c>
      <c r="H958" s="24">
        <v>1</v>
      </c>
    </row>
    <row r="959" spans="2:8" x14ac:dyDescent="0.25">
      <c r="B959" s="21">
        <v>953</v>
      </c>
      <c r="C959" s="22">
        <v>44418</v>
      </c>
      <c r="D959" s="23" t="s">
        <v>9</v>
      </c>
      <c r="E959" s="23" t="s">
        <v>18</v>
      </c>
      <c r="F959" s="23" t="s">
        <v>17</v>
      </c>
      <c r="G959" s="23">
        <v>600</v>
      </c>
      <c r="H959" s="24">
        <v>1</v>
      </c>
    </row>
    <row r="960" spans="2:8" x14ac:dyDescent="0.25">
      <c r="B960" s="21">
        <v>954</v>
      </c>
      <c r="C960" s="22">
        <v>44419</v>
      </c>
      <c r="D960" s="23" t="s">
        <v>9</v>
      </c>
      <c r="E960" s="23" t="s">
        <v>10</v>
      </c>
      <c r="F960" s="23" t="s">
        <v>11</v>
      </c>
      <c r="G960" s="23">
        <v>1100</v>
      </c>
      <c r="H960" s="24">
        <v>1</v>
      </c>
    </row>
    <row r="961" spans="2:8" x14ac:dyDescent="0.25">
      <c r="B961" s="21">
        <v>955</v>
      </c>
      <c r="C961" s="22">
        <v>44420</v>
      </c>
      <c r="D961" s="23" t="s">
        <v>9</v>
      </c>
      <c r="E961" s="23" t="s">
        <v>22</v>
      </c>
      <c r="F961" s="23" t="s">
        <v>23</v>
      </c>
      <c r="G961" s="23">
        <v>500</v>
      </c>
      <c r="H961" s="24">
        <v>1</v>
      </c>
    </row>
    <row r="962" spans="2:8" x14ac:dyDescent="0.25">
      <c r="B962" s="21">
        <v>956</v>
      </c>
      <c r="C962" s="22">
        <v>44421</v>
      </c>
      <c r="D962" s="23" t="s">
        <v>9</v>
      </c>
      <c r="E962" s="23" t="s">
        <v>10</v>
      </c>
      <c r="F962" s="23" t="s">
        <v>11</v>
      </c>
      <c r="G962" s="23">
        <v>1100</v>
      </c>
      <c r="H962" s="24">
        <v>2</v>
      </c>
    </row>
    <row r="963" spans="2:8" x14ac:dyDescent="0.25">
      <c r="B963" s="21">
        <v>957</v>
      </c>
      <c r="C963" s="22">
        <v>44422</v>
      </c>
      <c r="D963" s="23" t="s">
        <v>9</v>
      </c>
      <c r="E963" s="23" t="s">
        <v>18</v>
      </c>
      <c r="F963" s="23" t="s">
        <v>17</v>
      </c>
      <c r="G963" s="23">
        <v>600</v>
      </c>
      <c r="H963" s="24">
        <v>1</v>
      </c>
    </row>
    <row r="964" spans="2:8" x14ac:dyDescent="0.25">
      <c r="B964" s="21">
        <v>958</v>
      </c>
      <c r="C964" s="22">
        <v>44423</v>
      </c>
      <c r="D964" s="23" t="s">
        <v>9</v>
      </c>
      <c r="E964" s="23" t="s">
        <v>16</v>
      </c>
      <c r="F964" s="23" t="s">
        <v>17</v>
      </c>
      <c r="G964" s="23">
        <v>800</v>
      </c>
      <c r="H964" s="24">
        <v>1</v>
      </c>
    </row>
    <row r="965" spans="2:8" x14ac:dyDescent="0.25">
      <c r="B965" s="21">
        <v>959</v>
      </c>
      <c r="C965" s="22">
        <v>44424</v>
      </c>
      <c r="D965" s="23" t="s">
        <v>9</v>
      </c>
      <c r="E965" s="23" t="s">
        <v>14</v>
      </c>
      <c r="F965" s="23" t="s">
        <v>11</v>
      </c>
      <c r="G965" s="23">
        <v>900</v>
      </c>
      <c r="H965" s="24">
        <v>1</v>
      </c>
    </row>
    <row r="966" spans="2:8" x14ac:dyDescent="0.25">
      <c r="B966" s="21">
        <v>960</v>
      </c>
      <c r="C966" s="22">
        <v>44425</v>
      </c>
      <c r="D966" s="23" t="s">
        <v>9</v>
      </c>
      <c r="E966" s="23" t="s">
        <v>24</v>
      </c>
      <c r="F966" s="23" t="s">
        <v>23</v>
      </c>
      <c r="G966" s="23">
        <v>600</v>
      </c>
      <c r="H966" s="24">
        <v>1</v>
      </c>
    </row>
    <row r="967" spans="2:8" x14ac:dyDescent="0.25">
      <c r="B967" s="21">
        <v>961</v>
      </c>
      <c r="C967" s="22">
        <v>44426</v>
      </c>
      <c r="D967" s="23" t="s">
        <v>9</v>
      </c>
      <c r="E967" s="23" t="s">
        <v>10</v>
      </c>
      <c r="F967" s="23" t="s">
        <v>11</v>
      </c>
      <c r="G967" s="23">
        <v>1100</v>
      </c>
      <c r="H967" s="24">
        <v>2</v>
      </c>
    </row>
    <row r="968" spans="2:8" x14ac:dyDescent="0.25">
      <c r="B968" s="21">
        <v>962</v>
      </c>
      <c r="C968" s="22">
        <v>44427</v>
      </c>
      <c r="D968" s="23" t="s">
        <v>9</v>
      </c>
      <c r="E968" s="23" t="s">
        <v>24</v>
      </c>
      <c r="F968" s="23" t="s">
        <v>23</v>
      </c>
      <c r="G968" s="23">
        <v>600</v>
      </c>
      <c r="H968" s="24">
        <v>1</v>
      </c>
    </row>
    <row r="969" spans="2:8" x14ac:dyDescent="0.25">
      <c r="B969" s="21">
        <v>963</v>
      </c>
      <c r="C969" s="22">
        <v>44428</v>
      </c>
      <c r="D969" s="23" t="s">
        <v>9</v>
      </c>
      <c r="E969" s="23" t="s">
        <v>14</v>
      </c>
      <c r="F969" s="23" t="s">
        <v>11</v>
      </c>
      <c r="G969" s="23">
        <v>900</v>
      </c>
      <c r="H969" s="24">
        <v>1</v>
      </c>
    </row>
    <row r="970" spans="2:8" x14ac:dyDescent="0.25">
      <c r="B970" s="21">
        <v>964</v>
      </c>
      <c r="C970" s="22">
        <v>44429</v>
      </c>
      <c r="D970" s="23" t="s">
        <v>9</v>
      </c>
      <c r="E970" s="23" t="s">
        <v>18</v>
      </c>
      <c r="F970" s="23" t="s">
        <v>17</v>
      </c>
      <c r="G970" s="23">
        <v>600</v>
      </c>
      <c r="H970" s="24">
        <v>1</v>
      </c>
    </row>
    <row r="971" spans="2:8" x14ac:dyDescent="0.25">
      <c r="B971" s="21">
        <v>965</v>
      </c>
      <c r="C971" s="22">
        <v>44430</v>
      </c>
      <c r="D971" s="23" t="s">
        <v>9</v>
      </c>
      <c r="E971" s="23" t="s">
        <v>12</v>
      </c>
      <c r="F971" s="23" t="s">
        <v>11</v>
      </c>
      <c r="G971" s="23">
        <v>900</v>
      </c>
      <c r="H971" s="24">
        <v>1</v>
      </c>
    </row>
    <row r="972" spans="2:8" x14ac:dyDescent="0.25">
      <c r="B972" s="21">
        <v>966</v>
      </c>
      <c r="C972" s="22">
        <v>44431</v>
      </c>
      <c r="D972" s="23" t="s">
        <v>9</v>
      </c>
      <c r="E972" s="23" t="s">
        <v>24</v>
      </c>
      <c r="F972" s="23" t="s">
        <v>23</v>
      </c>
      <c r="G972" s="23">
        <v>600</v>
      </c>
      <c r="H972" s="24">
        <v>1</v>
      </c>
    </row>
    <row r="973" spans="2:8" x14ac:dyDescent="0.25">
      <c r="B973" s="21">
        <v>967</v>
      </c>
      <c r="C973" s="22">
        <v>44432</v>
      </c>
      <c r="D973" s="23" t="s">
        <v>9</v>
      </c>
      <c r="E973" s="23" t="s">
        <v>19</v>
      </c>
      <c r="F973" s="23" t="s">
        <v>20</v>
      </c>
      <c r="G973" s="23">
        <v>850</v>
      </c>
      <c r="H973" s="24">
        <v>1</v>
      </c>
    </row>
    <row r="974" spans="2:8" x14ac:dyDescent="0.25">
      <c r="B974" s="21">
        <v>968</v>
      </c>
      <c r="C974" s="22">
        <v>44433</v>
      </c>
      <c r="D974" s="23" t="s">
        <v>9</v>
      </c>
      <c r="E974" s="23" t="s">
        <v>14</v>
      </c>
      <c r="F974" s="23" t="s">
        <v>11</v>
      </c>
      <c r="G974" s="23">
        <v>900</v>
      </c>
      <c r="H974" s="24">
        <v>1</v>
      </c>
    </row>
    <row r="975" spans="2:8" x14ac:dyDescent="0.25">
      <c r="B975" s="21">
        <v>969</v>
      </c>
      <c r="C975" s="22">
        <v>44434</v>
      </c>
      <c r="D975" s="23" t="s">
        <v>9</v>
      </c>
      <c r="E975" s="23" t="s">
        <v>10</v>
      </c>
      <c r="F975" s="23" t="s">
        <v>11</v>
      </c>
      <c r="G975" s="23">
        <v>1100</v>
      </c>
      <c r="H975" s="24">
        <v>1</v>
      </c>
    </row>
    <row r="976" spans="2:8" x14ac:dyDescent="0.25">
      <c r="B976" s="21">
        <v>970</v>
      </c>
      <c r="C976" s="22">
        <v>44435</v>
      </c>
      <c r="D976" s="23" t="s">
        <v>9</v>
      </c>
      <c r="E976" s="23" t="s">
        <v>14</v>
      </c>
      <c r="F976" s="23" t="s">
        <v>11</v>
      </c>
      <c r="G976" s="23">
        <v>900</v>
      </c>
      <c r="H976" s="24">
        <v>1</v>
      </c>
    </row>
    <row r="977" spans="2:8" x14ac:dyDescent="0.25">
      <c r="B977" s="21">
        <v>971</v>
      </c>
      <c r="C977" s="22">
        <v>44436</v>
      </c>
      <c r="D977" s="23" t="s">
        <v>9</v>
      </c>
      <c r="E977" s="23" t="s">
        <v>15</v>
      </c>
      <c r="F977" s="23" t="s">
        <v>11</v>
      </c>
      <c r="G977" s="23">
        <v>1000</v>
      </c>
      <c r="H977" s="24">
        <v>1</v>
      </c>
    </row>
    <row r="978" spans="2:8" x14ac:dyDescent="0.25">
      <c r="B978" s="21">
        <v>972</v>
      </c>
      <c r="C978" s="22">
        <v>44437</v>
      </c>
      <c r="D978" s="23" t="s">
        <v>9</v>
      </c>
      <c r="E978" s="23" t="s">
        <v>10</v>
      </c>
      <c r="F978" s="23" t="s">
        <v>11</v>
      </c>
      <c r="G978" s="23">
        <v>1100</v>
      </c>
      <c r="H978" s="24">
        <v>1</v>
      </c>
    </row>
    <row r="979" spans="2:8" x14ac:dyDescent="0.25">
      <c r="B979" s="21">
        <v>973</v>
      </c>
      <c r="C979" s="22">
        <v>44438</v>
      </c>
      <c r="D979" s="23" t="s">
        <v>9</v>
      </c>
      <c r="E979" s="23" t="s">
        <v>15</v>
      </c>
      <c r="F979" s="23" t="s">
        <v>11</v>
      </c>
      <c r="G979" s="23">
        <v>1000</v>
      </c>
      <c r="H979" s="24">
        <v>1</v>
      </c>
    </row>
    <row r="980" spans="2:8" x14ac:dyDescent="0.25">
      <c r="B980" s="21">
        <v>974</v>
      </c>
      <c r="C980" s="22">
        <v>44439</v>
      </c>
      <c r="D980" s="23" t="s">
        <v>9</v>
      </c>
      <c r="E980" s="23" t="s">
        <v>10</v>
      </c>
      <c r="F980" s="23" t="s">
        <v>11</v>
      </c>
      <c r="G980" s="23">
        <v>1100</v>
      </c>
      <c r="H980" s="24">
        <v>1</v>
      </c>
    </row>
    <row r="981" spans="2:8" x14ac:dyDescent="0.25">
      <c r="B981" s="21">
        <v>975</v>
      </c>
      <c r="C981" s="22">
        <v>44440</v>
      </c>
      <c r="D981" s="23" t="s">
        <v>9</v>
      </c>
      <c r="E981" s="23" t="s">
        <v>14</v>
      </c>
      <c r="F981" s="23" t="s">
        <v>11</v>
      </c>
      <c r="G981" s="23">
        <v>900</v>
      </c>
      <c r="H981" s="24">
        <v>1</v>
      </c>
    </row>
    <row r="982" spans="2:8" x14ac:dyDescent="0.25">
      <c r="B982" s="21">
        <v>976</v>
      </c>
      <c r="C982" s="22">
        <v>44441</v>
      </c>
      <c r="D982" s="23" t="s">
        <v>9</v>
      </c>
      <c r="E982" s="23" t="s">
        <v>12</v>
      </c>
      <c r="F982" s="23" t="s">
        <v>11</v>
      </c>
      <c r="G982" s="23">
        <v>900</v>
      </c>
      <c r="H982" s="24">
        <v>1</v>
      </c>
    </row>
    <row r="983" spans="2:8" x14ac:dyDescent="0.25">
      <c r="B983" s="21">
        <v>977</v>
      </c>
      <c r="C983" s="22">
        <v>44442</v>
      </c>
      <c r="D983" s="23" t="s">
        <v>9</v>
      </c>
      <c r="E983" s="23" t="s">
        <v>10</v>
      </c>
      <c r="F983" s="23" t="s">
        <v>11</v>
      </c>
      <c r="G983" s="23">
        <v>1100</v>
      </c>
      <c r="H983" s="24">
        <v>1</v>
      </c>
    </row>
    <row r="984" spans="2:8" x14ac:dyDescent="0.25">
      <c r="B984" s="21">
        <v>978</v>
      </c>
      <c r="C984" s="22">
        <v>44443</v>
      </c>
      <c r="D984" s="23" t="s">
        <v>9</v>
      </c>
      <c r="E984" s="23" t="s">
        <v>10</v>
      </c>
      <c r="F984" s="23" t="s">
        <v>11</v>
      </c>
      <c r="G984" s="23">
        <v>1100</v>
      </c>
      <c r="H984" s="24">
        <v>1</v>
      </c>
    </row>
    <row r="985" spans="2:8" x14ac:dyDescent="0.25">
      <c r="B985" s="21">
        <v>979</v>
      </c>
      <c r="C985" s="22">
        <v>44444</v>
      </c>
      <c r="D985" s="23" t="s">
        <v>9</v>
      </c>
      <c r="E985" s="23" t="s">
        <v>15</v>
      </c>
      <c r="F985" s="23" t="s">
        <v>11</v>
      </c>
      <c r="G985" s="23">
        <v>1000</v>
      </c>
      <c r="H985" s="24">
        <v>1</v>
      </c>
    </row>
    <row r="986" spans="2:8" x14ac:dyDescent="0.25">
      <c r="B986" s="21">
        <v>980</v>
      </c>
      <c r="C986" s="22">
        <v>44445</v>
      </c>
      <c r="D986" s="23" t="s">
        <v>9</v>
      </c>
      <c r="E986" s="23" t="s">
        <v>12</v>
      </c>
      <c r="F986" s="23" t="s">
        <v>11</v>
      </c>
      <c r="G986" s="23">
        <v>900</v>
      </c>
      <c r="H986" s="24">
        <v>1</v>
      </c>
    </row>
    <row r="987" spans="2:8" x14ac:dyDescent="0.25">
      <c r="B987" s="21">
        <v>981</v>
      </c>
      <c r="C987" s="22">
        <v>44446</v>
      </c>
      <c r="D987" s="23" t="s">
        <v>9</v>
      </c>
      <c r="E987" s="23" t="s">
        <v>18</v>
      </c>
      <c r="F987" s="23" t="s">
        <v>17</v>
      </c>
      <c r="G987" s="23">
        <v>600</v>
      </c>
      <c r="H987" s="24">
        <v>1</v>
      </c>
    </row>
    <row r="988" spans="2:8" x14ac:dyDescent="0.25">
      <c r="B988" s="21">
        <v>982</v>
      </c>
      <c r="C988" s="22">
        <v>44447</v>
      </c>
      <c r="D988" s="23" t="s">
        <v>9</v>
      </c>
      <c r="E988" s="23" t="s">
        <v>12</v>
      </c>
      <c r="F988" s="23" t="s">
        <v>11</v>
      </c>
      <c r="G988" s="23">
        <v>900</v>
      </c>
      <c r="H988" s="24">
        <v>1</v>
      </c>
    </row>
    <row r="989" spans="2:8" x14ac:dyDescent="0.25">
      <c r="B989" s="21">
        <v>983</v>
      </c>
      <c r="C989" s="22">
        <v>44448</v>
      </c>
      <c r="D989" s="23" t="s">
        <v>9</v>
      </c>
      <c r="E989" s="23" t="s">
        <v>18</v>
      </c>
      <c r="F989" s="23" t="s">
        <v>17</v>
      </c>
      <c r="G989" s="23">
        <v>600</v>
      </c>
      <c r="H989" s="24">
        <v>1</v>
      </c>
    </row>
    <row r="990" spans="2:8" x14ac:dyDescent="0.25">
      <c r="B990" s="21">
        <v>984</v>
      </c>
      <c r="C990" s="22">
        <v>44449</v>
      </c>
      <c r="D990" s="23" t="s">
        <v>9</v>
      </c>
      <c r="E990" s="23" t="s">
        <v>14</v>
      </c>
      <c r="F990" s="23" t="s">
        <v>11</v>
      </c>
      <c r="G990" s="23">
        <v>900</v>
      </c>
      <c r="H990" s="24">
        <v>1</v>
      </c>
    </row>
    <row r="991" spans="2:8" x14ac:dyDescent="0.25">
      <c r="B991" s="21">
        <v>985</v>
      </c>
      <c r="C991" s="22">
        <v>44450</v>
      </c>
      <c r="D991" s="23" t="s">
        <v>9</v>
      </c>
      <c r="E991" s="23" t="s">
        <v>10</v>
      </c>
      <c r="F991" s="23" t="s">
        <v>11</v>
      </c>
      <c r="G991" s="23">
        <v>1100</v>
      </c>
      <c r="H991" s="24">
        <v>2</v>
      </c>
    </row>
    <row r="992" spans="2:8" x14ac:dyDescent="0.25">
      <c r="B992" s="21">
        <v>986</v>
      </c>
      <c r="C992" s="22">
        <v>44451</v>
      </c>
      <c r="D992" s="23" t="s">
        <v>9</v>
      </c>
      <c r="E992" s="23" t="s">
        <v>18</v>
      </c>
      <c r="F992" s="23" t="s">
        <v>17</v>
      </c>
      <c r="G992" s="23">
        <v>600</v>
      </c>
      <c r="H992" s="24">
        <v>1</v>
      </c>
    </row>
    <row r="993" spans="2:8" x14ac:dyDescent="0.25">
      <c r="B993" s="21">
        <v>987</v>
      </c>
      <c r="C993" s="22">
        <v>44452</v>
      </c>
      <c r="D993" s="23" t="s">
        <v>9</v>
      </c>
      <c r="E993" s="23" t="s">
        <v>18</v>
      </c>
      <c r="F993" s="23" t="s">
        <v>17</v>
      </c>
      <c r="G993" s="23">
        <v>600</v>
      </c>
      <c r="H993" s="24">
        <v>1</v>
      </c>
    </row>
    <row r="994" spans="2:8" x14ac:dyDescent="0.25">
      <c r="B994" s="21">
        <v>988</v>
      </c>
      <c r="C994" s="22">
        <v>44453</v>
      </c>
      <c r="D994" s="23" t="s">
        <v>9</v>
      </c>
      <c r="E994" s="23" t="s">
        <v>14</v>
      </c>
      <c r="F994" s="23" t="s">
        <v>11</v>
      </c>
      <c r="G994" s="23">
        <v>900</v>
      </c>
      <c r="H994" s="24">
        <v>1</v>
      </c>
    </row>
    <row r="995" spans="2:8" x14ac:dyDescent="0.25">
      <c r="B995" s="21">
        <v>989</v>
      </c>
      <c r="C995" s="22">
        <v>44454</v>
      </c>
      <c r="D995" s="23" t="s">
        <v>9</v>
      </c>
      <c r="E995" s="23" t="s">
        <v>10</v>
      </c>
      <c r="F995" s="23" t="s">
        <v>11</v>
      </c>
      <c r="G995" s="23">
        <v>1100</v>
      </c>
      <c r="H995" s="24">
        <v>1</v>
      </c>
    </row>
    <row r="996" spans="2:8" x14ac:dyDescent="0.25">
      <c r="B996" s="21">
        <v>990</v>
      </c>
      <c r="C996" s="22">
        <v>44455</v>
      </c>
      <c r="D996" s="23" t="s">
        <v>9</v>
      </c>
      <c r="E996" s="23" t="s">
        <v>18</v>
      </c>
      <c r="F996" s="23" t="s">
        <v>17</v>
      </c>
      <c r="G996" s="23">
        <v>600</v>
      </c>
      <c r="H996" s="24">
        <v>1</v>
      </c>
    </row>
    <row r="997" spans="2:8" x14ac:dyDescent="0.25">
      <c r="B997" s="21">
        <v>991</v>
      </c>
      <c r="C997" s="22">
        <v>44456</v>
      </c>
      <c r="D997" s="23" t="s">
        <v>9</v>
      </c>
      <c r="E997" s="23" t="s">
        <v>24</v>
      </c>
      <c r="F997" s="23" t="s">
        <v>23</v>
      </c>
      <c r="G997" s="23">
        <v>600</v>
      </c>
      <c r="H997" s="24">
        <v>1</v>
      </c>
    </row>
    <row r="998" spans="2:8" x14ac:dyDescent="0.25">
      <c r="B998" s="21">
        <v>992</v>
      </c>
      <c r="C998" s="22">
        <v>44457</v>
      </c>
      <c r="D998" s="23" t="s">
        <v>9</v>
      </c>
      <c r="E998" s="23" t="s">
        <v>18</v>
      </c>
      <c r="F998" s="23" t="s">
        <v>17</v>
      </c>
      <c r="G998" s="23">
        <v>600</v>
      </c>
      <c r="H998" s="24">
        <v>1</v>
      </c>
    </row>
    <row r="999" spans="2:8" x14ac:dyDescent="0.25">
      <c r="B999" s="21">
        <v>993</v>
      </c>
      <c r="C999" s="22">
        <v>44458</v>
      </c>
      <c r="D999" s="23" t="s">
        <v>9</v>
      </c>
      <c r="E999" s="23" t="s">
        <v>24</v>
      </c>
      <c r="F999" s="23" t="s">
        <v>23</v>
      </c>
      <c r="G999" s="23">
        <v>600</v>
      </c>
      <c r="H999" s="24">
        <v>1</v>
      </c>
    </row>
    <row r="1000" spans="2:8" x14ac:dyDescent="0.25">
      <c r="B1000" s="21">
        <v>994</v>
      </c>
      <c r="C1000" s="22">
        <v>44459</v>
      </c>
      <c r="D1000" s="23" t="s">
        <v>9</v>
      </c>
      <c r="E1000" s="23" t="s">
        <v>24</v>
      </c>
      <c r="F1000" s="23" t="s">
        <v>23</v>
      </c>
      <c r="G1000" s="23">
        <v>600</v>
      </c>
      <c r="H1000" s="24">
        <v>2</v>
      </c>
    </row>
    <row r="1001" spans="2:8" x14ac:dyDescent="0.25">
      <c r="B1001" s="21">
        <v>995</v>
      </c>
      <c r="C1001" s="22">
        <v>44460</v>
      </c>
      <c r="D1001" s="23" t="s">
        <v>9</v>
      </c>
      <c r="E1001" s="23" t="s">
        <v>18</v>
      </c>
      <c r="F1001" s="23" t="s">
        <v>17</v>
      </c>
      <c r="G1001" s="23">
        <v>600</v>
      </c>
      <c r="H1001" s="24">
        <v>1</v>
      </c>
    </row>
    <row r="1002" spans="2:8" x14ac:dyDescent="0.25">
      <c r="B1002" s="21">
        <v>996</v>
      </c>
      <c r="C1002" s="22">
        <v>44461</v>
      </c>
      <c r="D1002" s="23" t="s">
        <v>9</v>
      </c>
      <c r="E1002" s="23" t="s">
        <v>10</v>
      </c>
      <c r="F1002" s="23" t="s">
        <v>11</v>
      </c>
      <c r="G1002" s="23">
        <v>1100</v>
      </c>
      <c r="H1002" s="24">
        <v>3</v>
      </c>
    </row>
    <row r="1003" spans="2:8" x14ac:dyDescent="0.25">
      <c r="B1003" s="21">
        <v>997</v>
      </c>
      <c r="C1003" s="22">
        <v>44462</v>
      </c>
      <c r="D1003" s="23" t="s">
        <v>9</v>
      </c>
      <c r="E1003" s="23" t="s">
        <v>10</v>
      </c>
      <c r="F1003" s="23" t="s">
        <v>11</v>
      </c>
      <c r="G1003" s="23">
        <v>1100</v>
      </c>
      <c r="H1003" s="24">
        <v>1</v>
      </c>
    </row>
    <row r="1004" spans="2:8" x14ac:dyDescent="0.25">
      <c r="B1004" s="21">
        <v>998</v>
      </c>
      <c r="C1004" s="22">
        <v>44463</v>
      </c>
      <c r="D1004" s="23" t="s">
        <v>9</v>
      </c>
      <c r="E1004" s="23" t="s">
        <v>19</v>
      </c>
      <c r="F1004" s="23" t="s">
        <v>20</v>
      </c>
      <c r="G1004" s="23">
        <v>850</v>
      </c>
      <c r="H1004" s="24">
        <v>1</v>
      </c>
    </row>
    <row r="1005" spans="2:8" x14ac:dyDescent="0.25">
      <c r="B1005" s="21">
        <v>999</v>
      </c>
      <c r="C1005" s="22">
        <v>44464</v>
      </c>
      <c r="D1005" s="23" t="s">
        <v>9</v>
      </c>
      <c r="E1005" s="23" t="s">
        <v>21</v>
      </c>
      <c r="F1005" s="23" t="s">
        <v>20</v>
      </c>
      <c r="G1005" s="23">
        <v>1200</v>
      </c>
      <c r="H1005" s="24">
        <v>1</v>
      </c>
    </row>
    <row r="1006" spans="2:8" x14ac:dyDescent="0.25">
      <c r="B1006" s="21">
        <v>1000</v>
      </c>
      <c r="C1006" s="22">
        <v>44465</v>
      </c>
      <c r="D1006" s="23" t="s">
        <v>9</v>
      </c>
      <c r="E1006" s="23" t="s">
        <v>16</v>
      </c>
      <c r="F1006" s="23" t="s">
        <v>17</v>
      </c>
      <c r="G1006" s="23">
        <v>800</v>
      </c>
      <c r="H1006" s="24">
        <v>1</v>
      </c>
    </row>
    <row r="1007" spans="2:8" x14ac:dyDescent="0.25">
      <c r="B1007" s="21">
        <v>1001</v>
      </c>
      <c r="C1007" s="22">
        <v>44466</v>
      </c>
      <c r="D1007" s="23" t="s">
        <v>9</v>
      </c>
      <c r="E1007" s="23" t="s">
        <v>14</v>
      </c>
      <c r="F1007" s="23" t="s">
        <v>11</v>
      </c>
      <c r="G1007" s="23">
        <v>900</v>
      </c>
      <c r="H1007" s="24">
        <v>1</v>
      </c>
    </row>
    <row r="1008" spans="2:8" x14ac:dyDescent="0.25">
      <c r="B1008" s="21">
        <v>1002</v>
      </c>
      <c r="C1008" s="22">
        <v>44467</v>
      </c>
      <c r="D1008" s="23" t="s">
        <v>9</v>
      </c>
      <c r="E1008" s="23" t="s">
        <v>10</v>
      </c>
      <c r="F1008" s="23" t="s">
        <v>11</v>
      </c>
      <c r="G1008" s="23">
        <v>1100</v>
      </c>
      <c r="H1008" s="24">
        <v>1</v>
      </c>
    </row>
    <row r="1009" spans="2:8" x14ac:dyDescent="0.25">
      <c r="B1009" s="21">
        <v>1003</v>
      </c>
      <c r="C1009" s="22">
        <v>44468</v>
      </c>
      <c r="D1009" s="23" t="s">
        <v>9</v>
      </c>
      <c r="E1009" s="23" t="s">
        <v>12</v>
      </c>
      <c r="F1009" s="23" t="s">
        <v>11</v>
      </c>
      <c r="G1009" s="23">
        <v>900</v>
      </c>
      <c r="H1009" s="24">
        <v>1</v>
      </c>
    </row>
    <row r="1010" spans="2:8" x14ac:dyDescent="0.25">
      <c r="B1010" s="21">
        <v>1004</v>
      </c>
      <c r="C1010" s="22">
        <v>44469</v>
      </c>
      <c r="D1010" s="23" t="s">
        <v>9</v>
      </c>
      <c r="E1010" s="23" t="s">
        <v>10</v>
      </c>
      <c r="F1010" s="23" t="s">
        <v>11</v>
      </c>
      <c r="G1010" s="23">
        <v>1100</v>
      </c>
      <c r="H1010" s="24">
        <v>1</v>
      </c>
    </row>
    <row r="1011" spans="2:8" x14ac:dyDescent="0.25">
      <c r="B1011" s="21">
        <v>1005</v>
      </c>
      <c r="C1011" s="22">
        <v>44470</v>
      </c>
      <c r="D1011" s="23" t="s">
        <v>9</v>
      </c>
      <c r="E1011" s="23" t="s">
        <v>22</v>
      </c>
      <c r="F1011" s="23" t="s">
        <v>23</v>
      </c>
      <c r="G1011" s="23">
        <v>900</v>
      </c>
      <c r="H1011" s="24">
        <v>1</v>
      </c>
    </row>
    <row r="1012" spans="2:8" x14ac:dyDescent="0.25">
      <c r="B1012" s="21">
        <v>1006</v>
      </c>
      <c r="C1012" s="22">
        <v>44471</v>
      </c>
      <c r="D1012" s="23" t="s">
        <v>9</v>
      </c>
      <c r="E1012" s="23" t="s">
        <v>22</v>
      </c>
      <c r="F1012" s="23" t="s">
        <v>23</v>
      </c>
      <c r="G1012" s="23">
        <v>500</v>
      </c>
      <c r="H1012" s="24">
        <v>1</v>
      </c>
    </row>
    <row r="1013" spans="2:8" x14ac:dyDescent="0.25">
      <c r="B1013" s="21">
        <v>1007</v>
      </c>
      <c r="C1013" s="22">
        <v>44472</v>
      </c>
      <c r="D1013" s="23" t="s">
        <v>9</v>
      </c>
      <c r="E1013" s="23" t="s">
        <v>15</v>
      </c>
      <c r="F1013" s="23" t="s">
        <v>11</v>
      </c>
      <c r="G1013" s="23">
        <v>1000</v>
      </c>
      <c r="H1013" s="24">
        <v>1</v>
      </c>
    </row>
    <row r="1014" spans="2:8" x14ac:dyDescent="0.25">
      <c r="B1014" s="21">
        <v>1008</v>
      </c>
      <c r="C1014" s="22">
        <v>44473</v>
      </c>
      <c r="D1014" s="23" t="s">
        <v>9</v>
      </c>
      <c r="E1014" s="23" t="s">
        <v>24</v>
      </c>
      <c r="F1014" s="23" t="s">
        <v>23</v>
      </c>
      <c r="G1014" s="23">
        <v>600</v>
      </c>
      <c r="H1014" s="24">
        <v>1</v>
      </c>
    </row>
    <row r="1015" spans="2:8" x14ac:dyDescent="0.25">
      <c r="B1015" s="21">
        <v>1009</v>
      </c>
      <c r="C1015" s="22">
        <v>44474</v>
      </c>
      <c r="D1015" s="23" t="s">
        <v>9</v>
      </c>
      <c r="E1015" s="23" t="s">
        <v>12</v>
      </c>
      <c r="F1015" s="23" t="s">
        <v>11</v>
      </c>
      <c r="G1015" s="23">
        <v>900</v>
      </c>
      <c r="H1015" s="24">
        <v>2</v>
      </c>
    </row>
    <row r="1016" spans="2:8" x14ac:dyDescent="0.25">
      <c r="B1016" s="21">
        <v>1010</v>
      </c>
      <c r="C1016" s="22">
        <v>44475</v>
      </c>
      <c r="D1016" s="23" t="s">
        <v>9</v>
      </c>
      <c r="E1016" s="23" t="s">
        <v>19</v>
      </c>
      <c r="F1016" s="23" t="s">
        <v>20</v>
      </c>
      <c r="G1016" s="23">
        <v>850</v>
      </c>
      <c r="H1016" s="24">
        <v>1</v>
      </c>
    </row>
    <row r="1017" spans="2:8" x14ac:dyDescent="0.25">
      <c r="B1017" s="21">
        <v>1011</v>
      </c>
      <c r="C1017" s="22">
        <v>44476</v>
      </c>
      <c r="D1017" s="23" t="s">
        <v>9</v>
      </c>
      <c r="E1017" s="23" t="s">
        <v>16</v>
      </c>
      <c r="F1017" s="23" t="s">
        <v>17</v>
      </c>
      <c r="G1017" s="23">
        <v>800</v>
      </c>
      <c r="H1017" s="24">
        <v>1</v>
      </c>
    </row>
    <row r="1018" spans="2:8" x14ac:dyDescent="0.25">
      <c r="B1018" s="21">
        <v>1012</v>
      </c>
      <c r="C1018" s="22">
        <v>44477</v>
      </c>
      <c r="D1018" s="23" t="s">
        <v>9</v>
      </c>
      <c r="E1018" s="23" t="s">
        <v>12</v>
      </c>
      <c r="F1018" s="23" t="s">
        <v>11</v>
      </c>
      <c r="G1018" s="23">
        <v>900</v>
      </c>
      <c r="H1018" s="24">
        <v>1</v>
      </c>
    </row>
    <row r="1019" spans="2:8" x14ac:dyDescent="0.25">
      <c r="B1019" s="21">
        <v>1013</v>
      </c>
      <c r="C1019" s="22">
        <v>44478</v>
      </c>
      <c r="D1019" s="23" t="s">
        <v>9</v>
      </c>
      <c r="E1019" s="23" t="s">
        <v>12</v>
      </c>
      <c r="F1019" s="23" t="s">
        <v>11</v>
      </c>
      <c r="G1019" s="23">
        <v>900</v>
      </c>
      <c r="H1019" s="24">
        <v>1</v>
      </c>
    </row>
    <row r="1020" spans="2:8" x14ac:dyDescent="0.25">
      <c r="B1020" s="21">
        <v>1014</v>
      </c>
      <c r="C1020" s="22">
        <v>44479</v>
      </c>
      <c r="D1020" s="23" t="s">
        <v>9</v>
      </c>
      <c r="E1020" s="23" t="s">
        <v>10</v>
      </c>
      <c r="F1020" s="23" t="s">
        <v>11</v>
      </c>
      <c r="G1020" s="23">
        <v>1100</v>
      </c>
      <c r="H1020" s="24">
        <v>1</v>
      </c>
    </row>
    <row r="1021" spans="2:8" x14ac:dyDescent="0.25">
      <c r="B1021" s="21">
        <v>1015</v>
      </c>
      <c r="C1021" s="22">
        <v>44480</v>
      </c>
      <c r="D1021" s="23" t="s">
        <v>9</v>
      </c>
      <c r="E1021" s="23" t="s">
        <v>14</v>
      </c>
      <c r="F1021" s="23" t="s">
        <v>11</v>
      </c>
      <c r="G1021" s="23">
        <v>900</v>
      </c>
      <c r="H1021" s="24">
        <v>1</v>
      </c>
    </row>
    <row r="1022" spans="2:8" x14ac:dyDescent="0.25">
      <c r="B1022" s="21">
        <v>1016</v>
      </c>
      <c r="C1022" s="22">
        <v>44481</v>
      </c>
      <c r="D1022" s="23" t="s">
        <v>9</v>
      </c>
      <c r="E1022" s="23" t="s">
        <v>18</v>
      </c>
      <c r="F1022" s="23" t="s">
        <v>17</v>
      </c>
      <c r="G1022" s="23">
        <v>600</v>
      </c>
      <c r="H1022" s="24">
        <v>1</v>
      </c>
    </row>
    <row r="1023" spans="2:8" x14ac:dyDescent="0.25">
      <c r="B1023" s="21">
        <v>1017</v>
      </c>
      <c r="C1023" s="22">
        <v>44482</v>
      </c>
      <c r="D1023" s="23" t="s">
        <v>9</v>
      </c>
      <c r="E1023" s="23" t="s">
        <v>18</v>
      </c>
      <c r="F1023" s="23" t="s">
        <v>17</v>
      </c>
      <c r="G1023" s="23">
        <v>600</v>
      </c>
      <c r="H1023" s="24">
        <v>1</v>
      </c>
    </row>
    <row r="1024" spans="2:8" x14ac:dyDescent="0.25">
      <c r="B1024" s="21">
        <v>1018</v>
      </c>
      <c r="C1024" s="22">
        <v>44483</v>
      </c>
      <c r="D1024" s="23" t="s">
        <v>9</v>
      </c>
      <c r="E1024" s="23" t="s">
        <v>14</v>
      </c>
      <c r="F1024" s="23" t="s">
        <v>11</v>
      </c>
      <c r="G1024" s="23">
        <v>900</v>
      </c>
      <c r="H1024" s="24">
        <v>1</v>
      </c>
    </row>
    <row r="1025" spans="2:8" x14ac:dyDescent="0.25">
      <c r="B1025" s="21">
        <v>1019</v>
      </c>
      <c r="C1025" s="22">
        <v>44484</v>
      </c>
      <c r="D1025" s="23" t="s">
        <v>9</v>
      </c>
      <c r="E1025" s="23" t="s">
        <v>19</v>
      </c>
      <c r="F1025" s="23" t="s">
        <v>20</v>
      </c>
      <c r="G1025" s="23">
        <v>850</v>
      </c>
      <c r="H1025" s="24">
        <v>1</v>
      </c>
    </row>
    <row r="1026" spans="2:8" x14ac:dyDescent="0.25">
      <c r="B1026" s="21">
        <v>1020</v>
      </c>
      <c r="C1026" s="22">
        <v>44485</v>
      </c>
      <c r="D1026" s="23" t="s">
        <v>9</v>
      </c>
      <c r="E1026" s="23" t="s">
        <v>14</v>
      </c>
      <c r="F1026" s="23" t="s">
        <v>11</v>
      </c>
      <c r="G1026" s="23">
        <v>900</v>
      </c>
      <c r="H1026" s="24">
        <v>1</v>
      </c>
    </row>
    <row r="1027" spans="2:8" x14ac:dyDescent="0.25">
      <c r="B1027" s="21">
        <v>1021</v>
      </c>
      <c r="C1027" s="22">
        <v>44486</v>
      </c>
      <c r="D1027" s="23" t="s">
        <v>9</v>
      </c>
      <c r="E1027" s="23" t="s">
        <v>18</v>
      </c>
      <c r="F1027" s="23" t="s">
        <v>17</v>
      </c>
      <c r="G1027" s="23">
        <v>600</v>
      </c>
      <c r="H1027" s="24">
        <v>1</v>
      </c>
    </row>
    <row r="1028" spans="2:8" x14ac:dyDescent="0.25">
      <c r="B1028" s="21">
        <v>1022</v>
      </c>
      <c r="C1028" s="22">
        <v>44487</v>
      </c>
      <c r="D1028" s="23" t="s">
        <v>13</v>
      </c>
      <c r="E1028" s="23" t="s">
        <v>18</v>
      </c>
      <c r="F1028" s="23" t="s">
        <v>17</v>
      </c>
      <c r="G1028" s="23">
        <v>600</v>
      </c>
      <c r="H1028" s="24">
        <v>1</v>
      </c>
    </row>
    <row r="1029" spans="2:8" x14ac:dyDescent="0.25">
      <c r="B1029" s="21">
        <v>1023</v>
      </c>
      <c r="C1029" s="22">
        <v>44488</v>
      </c>
      <c r="D1029" s="23" t="s">
        <v>13</v>
      </c>
      <c r="E1029" s="23" t="s">
        <v>10</v>
      </c>
      <c r="F1029" s="23" t="s">
        <v>11</v>
      </c>
      <c r="G1029" s="23">
        <v>1100</v>
      </c>
      <c r="H1029" s="24">
        <v>1</v>
      </c>
    </row>
    <row r="1030" spans="2:8" x14ac:dyDescent="0.25">
      <c r="B1030" s="21">
        <v>1024</v>
      </c>
      <c r="C1030" s="22">
        <v>44489</v>
      </c>
      <c r="D1030" s="23" t="s">
        <v>13</v>
      </c>
      <c r="E1030" s="23" t="s">
        <v>12</v>
      </c>
      <c r="F1030" s="23" t="s">
        <v>11</v>
      </c>
      <c r="G1030" s="23">
        <v>900</v>
      </c>
      <c r="H1030" s="24">
        <v>1</v>
      </c>
    </row>
    <row r="1031" spans="2:8" x14ac:dyDescent="0.25">
      <c r="B1031" s="21">
        <v>1025</v>
      </c>
      <c r="C1031" s="22">
        <v>44490</v>
      </c>
      <c r="D1031" s="23" t="s">
        <v>13</v>
      </c>
      <c r="E1031" s="23" t="s">
        <v>10</v>
      </c>
      <c r="F1031" s="23" t="s">
        <v>11</v>
      </c>
      <c r="G1031" s="23">
        <v>1100</v>
      </c>
      <c r="H1031" s="24">
        <v>1</v>
      </c>
    </row>
    <row r="1032" spans="2:8" x14ac:dyDescent="0.25">
      <c r="B1032" s="21">
        <v>1026</v>
      </c>
      <c r="C1032" s="22">
        <v>44491</v>
      </c>
      <c r="D1032" s="23" t="s">
        <v>13</v>
      </c>
      <c r="E1032" s="23" t="s">
        <v>18</v>
      </c>
      <c r="F1032" s="23" t="s">
        <v>17</v>
      </c>
      <c r="G1032" s="23">
        <v>600</v>
      </c>
      <c r="H1032" s="24">
        <v>1</v>
      </c>
    </row>
    <row r="1033" spans="2:8" x14ac:dyDescent="0.25">
      <c r="B1033" s="21">
        <v>1027</v>
      </c>
      <c r="C1033" s="22">
        <v>44492</v>
      </c>
      <c r="D1033" s="23" t="s">
        <v>13</v>
      </c>
      <c r="E1033" s="23" t="s">
        <v>21</v>
      </c>
      <c r="F1033" s="23" t="s">
        <v>20</v>
      </c>
      <c r="G1033" s="23">
        <v>1200</v>
      </c>
      <c r="H1033" s="24">
        <v>1</v>
      </c>
    </row>
    <row r="1034" spans="2:8" x14ac:dyDescent="0.25">
      <c r="B1034" s="21">
        <v>1028</v>
      </c>
      <c r="C1034" s="22">
        <v>44493</v>
      </c>
      <c r="D1034" s="23" t="s">
        <v>13</v>
      </c>
      <c r="E1034" s="23" t="s">
        <v>24</v>
      </c>
      <c r="F1034" s="23" t="s">
        <v>23</v>
      </c>
      <c r="G1034" s="23">
        <v>600</v>
      </c>
      <c r="H1034" s="24">
        <v>1</v>
      </c>
    </row>
    <row r="1035" spans="2:8" x14ac:dyDescent="0.25">
      <c r="B1035" s="21">
        <v>1029</v>
      </c>
      <c r="C1035" s="22">
        <v>44494</v>
      </c>
      <c r="D1035" s="23" t="s">
        <v>13</v>
      </c>
      <c r="E1035" s="23" t="s">
        <v>10</v>
      </c>
      <c r="F1035" s="23" t="s">
        <v>11</v>
      </c>
      <c r="G1035" s="23">
        <v>1100</v>
      </c>
      <c r="H1035" s="24">
        <v>1</v>
      </c>
    </row>
    <row r="1036" spans="2:8" x14ac:dyDescent="0.25">
      <c r="B1036" s="21">
        <v>1030</v>
      </c>
      <c r="C1036" s="22">
        <v>44495</v>
      </c>
      <c r="D1036" s="23" t="s">
        <v>13</v>
      </c>
      <c r="E1036" s="23" t="s">
        <v>22</v>
      </c>
      <c r="F1036" s="23" t="s">
        <v>23</v>
      </c>
      <c r="G1036" s="23">
        <v>500</v>
      </c>
      <c r="H1036" s="24">
        <v>1</v>
      </c>
    </row>
    <row r="1037" spans="2:8" x14ac:dyDescent="0.25">
      <c r="B1037" s="21">
        <v>1031</v>
      </c>
      <c r="C1037" s="22">
        <v>44496</v>
      </c>
      <c r="D1037" s="23" t="s">
        <v>9</v>
      </c>
      <c r="E1037" s="23" t="s">
        <v>12</v>
      </c>
      <c r="F1037" s="23" t="s">
        <v>11</v>
      </c>
      <c r="G1037" s="23">
        <v>900</v>
      </c>
      <c r="H1037" s="24">
        <v>1</v>
      </c>
    </row>
    <row r="1038" spans="2:8" x14ac:dyDescent="0.25">
      <c r="B1038" s="21">
        <v>1032</v>
      </c>
      <c r="C1038" s="22">
        <v>44497</v>
      </c>
      <c r="D1038" s="23" t="s">
        <v>9</v>
      </c>
      <c r="E1038" s="23" t="s">
        <v>19</v>
      </c>
      <c r="F1038" s="23" t="s">
        <v>20</v>
      </c>
      <c r="G1038" s="23">
        <v>850</v>
      </c>
      <c r="H1038" s="24">
        <v>1</v>
      </c>
    </row>
    <row r="1039" spans="2:8" x14ac:dyDescent="0.25">
      <c r="B1039" s="21">
        <v>1033</v>
      </c>
      <c r="C1039" s="22">
        <v>44498</v>
      </c>
      <c r="D1039" s="23" t="s">
        <v>9</v>
      </c>
      <c r="E1039" s="23" t="s">
        <v>18</v>
      </c>
      <c r="F1039" s="23" t="s">
        <v>17</v>
      </c>
      <c r="G1039" s="23">
        <v>600</v>
      </c>
      <c r="H1039" s="24">
        <v>1</v>
      </c>
    </row>
    <row r="1040" spans="2:8" x14ac:dyDescent="0.25">
      <c r="B1040" s="21">
        <v>1034</v>
      </c>
      <c r="C1040" s="22">
        <v>44499</v>
      </c>
      <c r="D1040" s="23" t="s">
        <v>9</v>
      </c>
      <c r="E1040" s="23" t="s">
        <v>10</v>
      </c>
      <c r="F1040" s="23" t="s">
        <v>11</v>
      </c>
      <c r="G1040" s="23">
        <v>1100</v>
      </c>
      <c r="H1040" s="24">
        <v>1</v>
      </c>
    </row>
    <row r="1041" spans="2:8" x14ac:dyDescent="0.25">
      <c r="B1041" s="21">
        <v>1035</v>
      </c>
      <c r="C1041" s="22">
        <v>44500</v>
      </c>
      <c r="D1041" s="23" t="s">
        <v>9</v>
      </c>
      <c r="E1041" s="23" t="s">
        <v>22</v>
      </c>
      <c r="F1041" s="23" t="s">
        <v>23</v>
      </c>
      <c r="G1041" s="23">
        <v>500</v>
      </c>
      <c r="H1041" s="24">
        <v>1</v>
      </c>
    </row>
    <row r="1042" spans="2:8" x14ac:dyDescent="0.25">
      <c r="B1042" s="16">
        <v>1036</v>
      </c>
      <c r="C1042" s="17">
        <v>44501</v>
      </c>
      <c r="D1042" s="18" t="s">
        <v>9</v>
      </c>
      <c r="E1042" s="18" t="s">
        <v>18</v>
      </c>
      <c r="F1042" s="18" t="s">
        <v>17</v>
      </c>
      <c r="G1042" s="18">
        <v>600</v>
      </c>
      <c r="H1042" s="19">
        <v>1</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249977111117893"/>
  </sheetPr>
  <dimension ref="B2:D15"/>
  <sheetViews>
    <sheetView topLeftCell="A3" zoomScale="115" zoomScaleNormal="145" workbookViewId="0">
      <selection activeCell="B5" sqref="B5"/>
    </sheetView>
  </sheetViews>
  <sheetFormatPr defaultColWidth="8.8984375" defaultRowHeight="13.8" x14ac:dyDescent="0.25"/>
  <cols>
    <col min="1" max="1" width="2.59765625" style="2" customWidth="1"/>
    <col min="2" max="2" width="66.296875" style="2" customWidth="1"/>
    <col min="3" max="16384" width="8.8984375" style="2"/>
  </cols>
  <sheetData>
    <row r="2" spans="2:4" ht="20.399999999999999" x14ac:dyDescent="0.35">
      <c r="B2" s="7" t="s">
        <v>37</v>
      </c>
    </row>
    <row r="3" spans="2:4" ht="27" customHeight="1" x14ac:dyDescent="0.3">
      <c r="B3" s="6" t="s">
        <v>36</v>
      </c>
    </row>
    <row r="4" spans="2:4" ht="28.8" customHeight="1" x14ac:dyDescent="0.3">
      <c r="B4" s="6" t="s">
        <v>47</v>
      </c>
    </row>
    <row r="5" spans="2:4" ht="30" customHeight="1" x14ac:dyDescent="0.3">
      <c r="B5" s="6" t="s">
        <v>48</v>
      </c>
    </row>
    <row r="6" spans="2:4" ht="15" x14ac:dyDescent="0.25">
      <c r="B6" s="3"/>
    </row>
    <row r="7" spans="2:4" ht="15" x14ac:dyDescent="0.25">
      <c r="B7" s="3" t="s">
        <v>35</v>
      </c>
    </row>
    <row r="8" spans="2:4" ht="15.6" x14ac:dyDescent="0.3">
      <c r="B8" s="5" t="s">
        <v>34</v>
      </c>
      <c r="C8" s="3" t="s">
        <v>33</v>
      </c>
      <c r="D8" s="3"/>
    </row>
    <row r="9" spans="2:4" ht="15.6" x14ac:dyDescent="0.3">
      <c r="B9" s="4" t="s">
        <v>32</v>
      </c>
      <c r="C9" s="3" t="s">
        <v>31</v>
      </c>
      <c r="D9" s="3"/>
    </row>
    <row r="10" spans="2:4" ht="15.6" x14ac:dyDescent="0.3">
      <c r="B10" s="4" t="s">
        <v>3</v>
      </c>
      <c r="C10" s="3" t="s">
        <v>30</v>
      </c>
      <c r="D10" s="3"/>
    </row>
    <row r="11" spans="2:4" ht="15.6" x14ac:dyDescent="0.3">
      <c r="B11" s="4" t="s">
        <v>4</v>
      </c>
      <c r="C11" s="3" t="s">
        <v>29</v>
      </c>
      <c r="D11" s="3"/>
    </row>
    <row r="12" spans="2:4" ht="15.6" x14ac:dyDescent="0.3">
      <c r="B12" s="4" t="s">
        <v>5</v>
      </c>
      <c r="C12" s="3" t="s">
        <v>28</v>
      </c>
      <c r="D12" s="3"/>
    </row>
    <row r="13" spans="2:4" ht="15.6" x14ac:dyDescent="0.3">
      <c r="B13" s="4" t="s">
        <v>6</v>
      </c>
      <c r="C13" s="3" t="s">
        <v>27</v>
      </c>
      <c r="D13" s="3"/>
    </row>
    <row r="14" spans="2:4" ht="15.6" x14ac:dyDescent="0.3">
      <c r="B14" s="4" t="s">
        <v>7</v>
      </c>
      <c r="C14" s="3" t="s">
        <v>26</v>
      </c>
      <c r="D14" s="3"/>
    </row>
    <row r="15" spans="2:4" ht="15.6" x14ac:dyDescent="0.3">
      <c r="B15" s="4" t="s">
        <v>8</v>
      </c>
      <c r="C15" s="3" t="s">
        <v>25</v>
      </c>
      <c r="D15" s="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B3:D9"/>
  <sheetViews>
    <sheetView tabSelected="1" zoomScale="190" zoomScaleNormal="190" workbookViewId="0">
      <selection activeCell="G5" sqref="G5"/>
    </sheetView>
  </sheetViews>
  <sheetFormatPr defaultRowHeight="13.8" x14ac:dyDescent="0.25"/>
  <cols>
    <col min="2" max="2" width="9.296875" customWidth="1"/>
    <col min="3" max="3" width="35.59765625" bestFit="1" customWidth="1"/>
  </cols>
  <sheetData>
    <row r="3" spans="2:4" x14ac:dyDescent="0.25">
      <c r="B3" s="15">
        <v>1</v>
      </c>
      <c r="C3" s="15" t="s">
        <v>49</v>
      </c>
    </row>
    <row r="4" spans="2:4" x14ac:dyDescent="0.25">
      <c r="B4" s="15">
        <v>2</v>
      </c>
      <c r="C4" s="15" t="s">
        <v>51</v>
      </c>
      <c r="D4" t="s">
        <v>50</v>
      </c>
    </row>
    <row r="5" spans="2:4" x14ac:dyDescent="0.25">
      <c r="B5" s="15">
        <v>3</v>
      </c>
      <c r="C5" s="15" t="s">
        <v>52</v>
      </c>
    </row>
    <row r="6" spans="2:4" x14ac:dyDescent="0.25">
      <c r="B6" s="15">
        <v>4</v>
      </c>
      <c r="C6" s="15" t="s">
        <v>53</v>
      </c>
    </row>
    <row r="7" spans="2:4" x14ac:dyDescent="0.25">
      <c r="B7" s="15">
        <v>5</v>
      </c>
      <c r="C7" s="15" t="s">
        <v>54</v>
      </c>
    </row>
    <row r="8" spans="2:4" x14ac:dyDescent="0.25">
      <c r="B8" s="15"/>
    </row>
    <row r="9" spans="2:4" x14ac:dyDescent="0.25">
      <c r="B9" s="15"/>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sheetPr>
  <dimension ref="A1"/>
  <sheetViews>
    <sheetView zoomScale="190" zoomScaleNormal="190" workbookViewId="0">
      <selection activeCell="I1" sqref="I1"/>
    </sheetView>
  </sheetViews>
  <sheetFormatPr defaultRowHeight="13.8"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G103"/>
  <sheetViews>
    <sheetView workbookViewId="0">
      <selection activeCell="C36" sqref="C36"/>
    </sheetView>
  </sheetViews>
  <sheetFormatPr defaultRowHeight="13.8" x14ac:dyDescent="0.25"/>
  <cols>
    <col min="1" max="1" width="12.59765625" bestFit="1" customWidth="1"/>
    <col min="2" max="2" width="18.69921875" bestFit="1" customWidth="1"/>
    <col min="3" max="3" width="19.69921875" bestFit="1" customWidth="1"/>
    <col min="4" max="4" width="15.59765625" bestFit="1" customWidth="1"/>
    <col min="5" max="5" width="12.69921875" bestFit="1" customWidth="1"/>
    <col min="6" max="6" width="21.8984375" bestFit="1" customWidth="1"/>
    <col min="7" max="10" width="15.59765625" bestFit="1" customWidth="1"/>
    <col min="11" max="11" width="10.796875" bestFit="1" customWidth="1"/>
    <col min="12" max="15" width="15.59765625" bestFit="1" customWidth="1"/>
    <col min="16" max="16" width="10.796875" bestFit="1" customWidth="1"/>
  </cols>
  <sheetData>
    <row r="2" spans="1:3" x14ac:dyDescent="0.25">
      <c r="A2">
        <v>1</v>
      </c>
    </row>
    <row r="3" spans="1:3" x14ac:dyDescent="0.25">
      <c r="A3" t="s">
        <v>38</v>
      </c>
    </row>
    <row r="4" spans="1:3" x14ac:dyDescent="0.25">
      <c r="A4" s="10">
        <v>986650</v>
      </c>
    </row>
    <row r="9" spans="1:3" x14ac:dyDescent="0.25">
      <c r="A9">
        <v>2</v>
      </c>
    </row>
    <row r="10" spans="1:3" x14ac:dyDescent="0.25">
      <c r="A10" s="8" t="s">
        <v>39</v>
      </c>
      <c r="B10" t="s">
        <v>38</v>
      </c>
      <c r="C10" t="s">
        <v>41</v>
      </c>
    </row>
    <row r="11" spans="1:3" x14ac:dyDescent="0.25">
      <c r="A11" s="9" t="s">
        <v>10</v>
      </c>
      <c r="B11" s="10">
        <v>254100</v>
      </c>
      <c r="C11">
        <v>231</v>
      </c>
    </row>
    <row r="12" spans="1:3" x14ac:dyDescent="0.25">
      <c r="A12" s="9" t="s">
        <v>12</v>
      </c>
      <c r="B12" s="10">
        <v>195800</v>
      </c>
      <c r="C12">
        <v>204</v>
      </c>
    </row>
    <row r="13" spans="1:3" x14ac:dyDescent="0.25">
      <c r="A13" s="9" t="s">
        <v>18</v>
      </c>
      <c r="B13" s="10">
        <v>121800</v>
      </c>
      <c r="C13">
        <v>203</v>
      </c>
    </row>
    <row r="14" spans="1:3" x14ac:dyDescent="0.25">
      <c r="A14" s="9" t="s">
        <v>14</v>
      </c>
      <c r="B14" s="10">
        <v>116100</v>
      </c>
      <c r="C14">
        <v>129</v>
      </c>
    </row>
    <row r="15" spans="1:3" x14ac:dyDescent="0.25">
      <c r="A15" s="9" t="s">
        <v>15</v>
      </c>
      <c r="B15" s="10">
        <v>68000</v>
      </c>
      <c r="C15">
        <v>68</v>
      </c>
    </row>
    <row r="16" spans="1:3" x14ac:dyDescent="0.25">
      <c r="A16" s="9" t="s">
        <v>21</v>
      </c>
      <c r="B16" s="10">
        <v>58800</v>
      </c>
      <c r="C16">
        <v>49</v>
      </c>
    </row>
    <row r="17" spans="1:3" x14ac:dyDescent="0.25">
      <c r="A17" s="9" t="s">
        <v>16</v>
      </c>
      <c r="B17" s="10">
        <v>56000</v>
      </c>
      <c r="C17">
        <v>70</v>
      </c>
    </row>
    <row r="18" spans="1:3" x14ac:dyDescent="0.25">
      <c r="A18" s="9" t="s">
        <v>19</v>
      </c>
      <c r="B18" s="10">
        <v>48450</v>
      </c>
      <c r="C18">
        <v>57</v>
      </c>
    </row>
    <row r="19" spans="1:3" x14ac:dyDescent="0.25">
      <c r="A19" s="9" t="s">
        <v>22</v>
      </c>
      <c r="B19" s="10">
        <v>35800</v>
      </c>
      <c r="C19">
        <v>56</v>
      </c>
    </row>
    <row r="20" spans="1:3" x14ac:dyDescent="0.25">
      <c r="A20" s="9" t="s">
        <v>24</v>
      </c>
      <c r="B20" s="10">
        <v>31800</v>
      </c>
      <c r="C20">
        <v>56</v>
      </c>
    </row>
    <row r="21" spans="1:3" x14ac:dyDescent="0.25">
      <c r="A21" s="9" t="s">
        <v>40</v>
      </c>
      <c r="B21" s="10">
        <v>986650</v>
      </c>
      <c r="C21">
        <v>1123</v>
      </c>
    </row>
    <row r="25" spans="1:3" x14ac:dyDescent="0.25">
      <c r="A25">
        <v>3</v>
      </c>
    </row>
    <row r="26" spans="1:3" x14ac:dyDescent="0.25">
      <c r="A26" s="8" t="s">
        <v>39</v>
      </c>
      <c r="B26" t="s">
        <v>38</v>
      </c>
      <c r="C26" t="s">
        <v>42</v>
      </c>
    </row>
    <row r="27" spans="1:3" x14ac:dyDescent="0.25">
      <c r="A27" s="9" t="s">
        <v>11</v>
      </c>
      <c r="B27" s="10">
        <v>634000</v>
      </c>
      <c r="C27" s="11">
        <v>0.6425784219328029</v>
      </c>
    </row>
    <row r="28" spans="1:3" x14ac:dyDescent="0.25">
      <c r="A28" s="9" t="s">
        <v>17</v>
      </c>
      <c r="B28" s="10">
        <v>177800</v>
      </c>
      <c r="C28" s="11">
        <v>0.18020574671869458</v>
      </c>
    </row>
    <row r="29" spans="1:3" x14ac:dyDescent="0.25">
      <c r="A29" s="9" t="s">
        <v>20</v>
      </c>
      <c r="B29" s="10">
        <v>107250</v>
      </c>
      <c r="C29" s="11">
        <v>0.10870116049257589</v>
      </c>
    </row>
    <row r="30" spans="1:3" x14ac:dyDescent="0.25">
      <c r="A30" s="9" t="s">
        <v>23</v>
      </c>
      <c r="B30" s="10">
        <v>67600</v>
      </c>
      <c r="C30" s="11">
        <v>6.8514670855926621E-2</v>
      </c>
    </row>
    <row r="31" spans="1:3" x14ac:dyDescent="0.25">
      <c r="A31" s="9" t="s">
        <v>40</v>
      </c>
      <c r="B31" s="10">
        <v>986650</v>
      </c>
      <c r="C31" s="11">
        <v>1</v>
      </c>
    </row>
    <row r="36" spans="1:2" x14ac:dyDescent="0.25">
      <c r="A36">
        <v>4</v>
      </c>
    </row>
    <row r="37" spans="1:2" x14ac:dyDescent="0.25">
      <c r="A37" s="8" t="s">
        <v>39</v>
      </c>
      <c r="B37" t="s">
        <v>38</v>
      </c>
    </row>
    <row r="38" spans="1:2" x14ac:dyDescent="0.25">
      <c r="A38" s="9" t="s">
        <v>9</v>
      </c>
      <c r="B38" s="10">
        <v>920700</v>
      </c>
    </row>
    <row r="39" spans="1:2" x14ac:dyDescent="0.25">
      <c r="A39" s="9" t="s">
        <v>13</v>
      </c>
      <c r="B39" s="10">
        <v>65950</v>
      </c>
    </row>
    <row r="40" spans="1:2" x14ac:dyDescent="0.25">
      <c r="A40" s="9" t="s">
        <v>40</v>
      </c>
      <c r="B40" s="10">
        <v>986650</v>
      </c>
    </row>
    <row r="44" spans="1:2" x14ac:dyDescent="0.25">
      <c r="A44">
        <v>5</v>
      </c>
    </row>
    <row r="45" spans="1:2" x14ac:dyDescent="0.25">
      <c r="A45" s="8" t="s">
        <v>39</v>
      </c>
      <c r="B45" t="s">
        <v>38</v>
      </c>
    </row>
    <row r="46" spans="1:2" x14ac:dyDescent="0.25">
      <c r="A46" s="9">
        <v>1</v>
      </c>
      <c r="B46" s="10">
        <v>87450</v>
      </c>
    </row>
    <row r="47" spans="1:2" x14ac:dyDescent="0.25">
      <c r="A47" s="9">
        <v>2</v>
      </c>
      <c r="B47" s="10">
        <v>84250</v>
      </c>
    </row>
    <row r="48" spans="1:2" x14ac:dyDescent="0.25">
      <c r="A48" s="9">
        <v>3</v>
      </c>
      <c r="B48" s="10">
        <v>94200</v>
      </c>
    </row>
    <row r="49" spans="1:3" x14ac:dyDescent="0.25">
      <c r="A49" s="9">
        <v>4</v>
      </c>
      <c r="B49" s="10">
        <v>74650</v>
      </c>
    </row>
    <row r="50" spans="1:3" x14ac:dyDescent="0.25">
      <c r="A50" s="9">
        <v>5</v>
      </c>
      <c r="B50" s="10">
        <v>83350</v>
      </c>
    </row>
    <row r="51" spans="1:3" x14ac:dyDescent="0.25">
      <c r="A51" s="9">
        <v>6</v>
      </c>
      <c r="B51" s="10">
        <v>88900</v>
      </c>
    </row>
    <row r="52" spans="1:3" x14ac:dyDescent="0.25">
      <c r="A52" s="9">
        <v>7</v>
      </c>
      <c r="B52" s="10">
        <v>87800</v>
      </c>
    </row>
    <row r="53" spans="1:3" x14ac:dyDescent="0.25">
      <c r="A53" s="9">
        <v>8</v>
      </c>
      <c r="B53" s="10">
        <v>83150</v>
      </c>
    </row>
    <row r="54" spans="1:3" x14ac:dyDescent="0.25">
      <c r="A54" s="9">
        <v>9</v>
      </c>
      <c r="B54" s="10">
        <v>88050</v>
      </c>
    </row>
    <row r="55" spans="1:3" x14ac:dyDescent="0.25">
      <c r="A55" s="9">
        <v>10</v>
      </c>
      <c r="B55" s="10">
        <v>90400</v>
      </c>
    </row>
    <row r="56" spans="1:3" x14ac:dyDescent="0.25">
      <c r="A56" s="9">
        <v>11</v>
      </c>
      <c r="B56" s="10">
        <v>60350</v>
      </c>
    </row>
    <row r="57" spans="1:3" x14ac:dyDescent="0.25">
      <c r="A57" s="9">
        <v>12</v>
      </c>
      <c r="B57" s="10">
        <v>64100</v>
      </c>
    </row>
    <row r="58" spans="1:3" x14ac:dyDescent="0.25">
      <c r="A58" s="9" t="s">
        <v>40</v>
      </c>
      <c r="B58" s="10">
        <v>986650</v>
      </c>
    </row>
    <row r="63" spans="1:3" x14ac:dyDescent="0.25">
      <c r="A63">
        <v>6</v>
      </c>
    </row>
    <row r="64" spans="1:3" x14ac:dyDescent="0.25">
      <c r="A64" s="8" t="s">
        <v>39</v>
      </c>
      <c r="B64" t="s">
        <v>38</v>
      </c>
      <c r="C64" t="s">
        <v>41</v>
      </c>
    </row>
    <row r="65" spans="1:5" x14ac:dyDescent="0.25">
      <c r="A65" s="9" t="s">
        <v>10</v>
      </c>
      <c r="B65" s="10">
        <v>254100</v>
      </c>
      <c r="C65">
        <v>231</v>
      </c>
    </row>
    <row r="66" spans="1:5" x14ac:dyDescent="0.25">
      <c r="A66" s="9" t="s">
        <v>12</v>
      </c>
      <c r="B66" s="10">
        <v>195800</v>
      </c>
      <c r="C66">
        <v>204</v>
      </c>
    </row>
    <row r="67" spans="1:5" x14ac:dyDescent="0.25">
      <c r="A67" s="9" t="s">
        <v>18</v>
      </c>
      <c r="B67" s="10">
        <v>121800</v>
      </c>
      <c r="C67">
        <v>203</v>
      </c>
    </row>
    <row r="68" spans="1:5" x14ac:dyDescent="0.25">
      <c r="A68" s="9" t="s">
        <v>14</v>
      </c>
      <c r="B68" s="10">
        <v>116100</v>
      </c>
      <c r="C68">
        <v>129</v>
      </c>
    </row>
    <row r="69" spans="1:5" x14ac:dyDescent="0.25">
      <c r="A69" s="9" t="s">
        <v>15</v>
      </c>
      <c r="B69" s="10">
        <v>68000</v>
      </c>
      <c r="C69">
        <v>68</v>
      </c>
    </row>
    <row r="70" spans="1:5" x14ac:dyDescent="0.25">
      <c r="A70" s="9" t="s">
        <v>40</v>
      </c>
      <c r="B70" s="10">
        <v>755800</v>
      </c>
      <c r="C70">
        <v>835</v>
      </c>
    </row>
    <row r="76" spans="1:5" x14ac:dyDescent="0.25">
      <c r="E76">
        <v>7</v>
      </c>
    </row>
    <row r="77" spans="1:5" x14ac:dyDescent="0.25">
      <c r="A77">
        <v>7</v>
      </c>
      <c r="E77" t="s">
        <v>45</v>
      </c>
    </row>
    <row r="78" spans="1:5" x14ac:dyDescent="0.25">
      <c r="A78" s="8" t="s">
        <v>39</v>
      </c>
      <c r="B78" t="s">
        <v>43</v>
      </c>
      <c r="E78">
        <v>1036</v>
      </c>
    </row>
    <row r="79" spans="1:5" x14ac:dyDescent="0.25">
      <c r="A79" s="9" t="s">
        <v>11</v>
      </c>
      <c r="B79" s="10">
        <v>1120.1413427561838</v>
      </c>
    </row>
    <row r="80" spans="1:5" x14ac:dyDescent="0.25">
      <c r="A80" s="12" t="s">
        <v>10</v>
      </c>
      <c r="B80" s="10">
        <v>1276.8844221105528</v>
      </c>
    </row>
    <row r="81" spans="1:7" x14ac:dyDescent="0.25">
      <c r="A81" s="12" t="s">
        <v>12</v>
      </c>
      <c r="B81" s="10">
        <v>1100</v>
      </c>
    </row>
    <row r="82" spans="1:7" x14ac:dyDescent="0.25">
      <c r="A82" s="12" t="s">
        <v>15</v>
      </c>
      <c r="B82" s="10">
        <v>1000</v>
      </c>
    </row>
    <row r="83" spans="1:7" x14ac:dyDescent="0.25">
      <c r="A83" s="12" t="s">
        <v>14</v>
      </c>
      <c r="B83" s="10">
        <v>959.50413223140492</v>
      </c>
      <c r="E83">
        <v>7</v>
      </c>
    </row>
    <row r="84" spans="1:7" x14ac:dyDescent="0.25">
      <c r="A84" s="9" t="s">
        <v>20</v>
      </c>
      <c r="B84" s="10">
        <v>1041.2621359223301</v>
      </c>
      <c r="E84" t="s">
        <v>43</v>
      </c>
    </row>
    <row r="85" spans="1:7" x14ac:dyDescent="0.25">
      <c r="A85" s="12" t="s">
        <v>21</v>
      </c>
      <c r="B85" s="10">
        <v>1278.2608695652175</v>
      </c>
      <c r="E85" s="10">
        <v>952.3648648648649</v>
      </c>
    </row>
    <row r="86" spans="1:7" x14ac:dyDescent="0.25">
      <c r="A86" s="12" t="s">
        <v>19</v>
      </c>
      <c r="B86" s="10">
        <v>850</v>
      </c>
    </row>
    <row r="87" spans="1:7" x14ac:dyDescent="0.25">
      <c r="A87" s="9" t="s">
        <v>17</v>
      </c>
      <c r="B87" s="10">
        <v>683.84615384615381</v>
      </c>
    </row>
    <row r="88" spans="1:7" x14ac:dyDescent="0.25">
      <c r="A88" s="12" t="s">
        <v>16</v>
      </c>
      <c r="B88" s="10">
        <v>888.88888888888891</v>
      </c>
    </row>
    <row r="89" spans="1:7" x14ac:dyDescent="0.25">
      <c r="A89" s="12" t="s">
        <v>18</v>
      </c>
      <c r="B89" s="10">
        <v>618.27411167512696</v>
      </c>
      <c r="E89">
        <v>7</v>
      </c>
    </row>
    <row r="90" spans="1:7" x14ac:dyDescent="0.25">
      <c r="A90" s="9" t="s">
        <v>23</v>
      </c>
      <c r="B90" s="10">
        <v>631.77570093457939</v>
      </c>
      <c r="E90" s="8" t="s">
        <v>39</v>
      </c>
      <c r="G90" t="s">
        <v>46</v>
      </c>
    </row>
    <row r="91" spans="1:7" x14ac:dyDescent="0.25">
      <c r="A91" s="12" t="s">
        <v>22</v>
      </c>
      <c r="B91" s="10">
        <v>639.28571428571433</v>
      </c>
      <c r="E91" s="9" t="s">
        <v>24</v>
      </c>
      <c r="G91">
        <f>COUNTA(E91:E100)</f>
        <v>10</v>
      </c>
    </row>
    <row r="92" spans="1:7" x14ac:dyDescent="0.25">
      <c r="A92" s="12" t="s">
        <v>24</v>
      </c>
      <c r="B92" s="10">
        <v>623.52941176470586</v>
      </c>
      <c r="E92" s="9" t="s">
        <v>12</v>
      </c>
    </row>
    <row r="93" spans="1:7" x14ac:dyDescent="0.25">
      <c r="A93" s="9" t="s">
        <v>40</v>
      </c>
      <c r="B93" s="10">
        <v>952.3648648648649</v>
      </c>
      <c r="E93" s="9" t="s">
        <v>15</v>
      </c>
    </row>
    <row r="94" spans="1:7" x14ac:dyDescent="0.25">
      <c r="E94" s="9" t="s">
        <v>10</v>
      </c>
    </row>
    <row r="95" spans="1:7" x14ac:dyDescent="0.25">
      <c r="E95" s="9" t="s">
        <v>14</v>
      </c>
    </row>
    <row r="96" spans="1:7" x14ac:dyDescent="0.25">
      <c r="E96" s="9" t="s">
        <v>19</v>
      </c>
    </row>
    <row r="97" spans="1:5" x14ac:dyDescent="0.25">
      <c r="E97" s="9" t="s">
        <v>21</v>
      </c>
    </row>
    <row r="98" spans="1:5" x14ac:dyDescent="0.25">
      <c r="E98" s="9" t="s">
        <v>16</v>
      </c>
    </row>
    <row r="99" spans="1:5" x14ac:dyDescent="0.25">
      <c r="A99" t="s">
        <v>44</v>
      </c>
      <c r="E99" s="9" t="s">
        <v>18</v>
      </c>
    </row>
    <row r="100" spans="1:5" x14ac:dyDescent="0.25">
      <c r="A100" s="8" t="s">
        <v>39</v>
      </c>
      <c r="B100" t="s">
        <v>38</v>
      </c>
      <c r="E100" s="9" t="s">
        <v>22</v>
      </c>
    </row>
    <row r="101" spans="1:5" x14ac:dyDescent="0.25">
      <c r="A101" s="9" t="s">
        <v>11</v>
      </c>
      <c r="B101" s="10">
        <v>634000</v>
      </c>
      <c r="E101" s="9" t="s">
        <v>40</v>
      </c>
    </row>
    <row r="102" spans="1:5" x14ac:dyDescent="0.25">
      <c r="A102" s="9" t="s">
        <v>17</v>
      </c>
      <c r="B102" s="10">
        <v>177800</v>
      </c>
    </row>
    <row r="103" spans="1:5" x14ac:dyDescent="0.25">
      <c r="A103" s="9" t="s">
        <v>40</v>
      </c>
      <c r="B103" s="10">
        <v>811800</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showGridLines="0" zoomScale="46" zoomScaleNormal="46" workbookViewId="0">
      <selection activeCell="AX11" sqref="AX11"/>
    </sheetView>
  </sheetViews>
  <sheetFormatPr defaultColWidth="8.8984375" defaultRowHeight="13.8" x14ac:dyDescent="0.25"/>
  <cols>
    <col min="1" max="16384" width="8.8984375" style="2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Task_DB</vt:lpstr>
      <vt:lpstr>Task_PT</vt:lpstr>
      <vt:lpstr>Cleaned-data</vt:lpstr>
      <vt:lpstr>Sheet2</vt:lpstr>
      <vt:lpstr>new dash</vt:lpstr>
      <vt:lpstr>Raw-data</vt:lpstr>
      <vt:lpstr>Meta-data</vt:lpstr>
      <vt:lpstr>KPIS</vt:lpstr>
      <vt:lpstr>Questions</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Hello</dc:creator>
  <cp:lastModifiedBy>عائشة علي عبد الناصر</cp:lastModifiedBy>
  <dcterms:created xsi:type="dcterms:W3CDTF">2015-06-05T18:17:20Z</dcterms:created>
  <dcterms:modified xsi:type="dcterms:W3CDTF">2026-06-08T16:43:53Z</dcterms:modified>
</cp:coreProperties>
</file>